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432f1569add6446/Documents/"/>
    </mc:Choice>
  </mc:AlternateContent>
  <xr:revisionPtr revIDLastSave="0" documentId="8_{FDDF6B21-54B3-49BF-A849-3FD874A8C6A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aw data" sheetId="1" r:id="rId1"/>
    <sheet name="clean data" sheetId="2" r:id="rId2"/>
  </sheets>
  <definedNames>
    <definedName name="_xlnm._FilterDatabase" localSheetId="0" hidden="1">'raw data'!$A$2:$Y$1020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4" i="2" l="1"/>
  <c r="Z20" i="2"/>
  <c r="Z26" i="2"/>
  <c r="Z38" i="2"/>
  <c r="Z44" i="2"/>
  <c r="Z50" i="2"/>
  <c r="Z62" i="2"/>
  <c r="Z65" i="2"/>
  <c r="Z68" i="2"/>
  <c r="Z69" i="2"/>
  <c r="Z70" i="2"/>
  <c r="Z74" i="2"/>
  <c r="Z86" i="2"/>
  <c r="Z89" i="2"/>
  <c r="Z110" i="2"/>
  <c r="Z113" i="2"/>
  <c r="Z114" i="2"/>
  <c r="Z128" i="2"/>
  <c r="Z133" i="2"/>
  <c r="Z134" i="2"/>
  <c r="Z145" i="2"/>
  <c r="Z146" i="2"/>
  <c r="Z149" i="2"/>
  <c r="Z150" i="2"/>
  <c r="Z164" i="2"/>
  <c r="Z169" i="2"/>
  <c r="Z170" i="2"/>
  <c r="Z181" i="2"/>
  <c r="Z182" i="2"/>
  <c r="Z185" i="2"/>
  <c r="Z186" i="2"/>
  <c r="Z200" i="2"/>
  <c r="Z205" i="2"/>
  <c r="Z206" i="2"/>
  <c r="Z217" i="2"/>
  <c r="Z218" i="2"/>
  <c r="Z221" i="2"/>
  <c r="Z222" i="2"/>
  <c r="Z236" i="2"/>
  <c r="Z241" i="2"/>
  <c r="Z242" i="2"/>
  <c r="Z253" i="2"/>
  <c r="Z254" i="2"/>
  <c r="Z257" i="2"/>
  <c r="Z258" i="2"/>
  <c r="Z272" i="2"/>
  <c r="Z277" i="2"/>
  <c r="Z278" i="2"/>
  <c r="Z289" i="2"/>
  <c r="Z290" i="2"/>
  <c r="Z293" i="2"/>
  <c r="Z294" i="2"/>
  <c r="Z308" i="2"/>
  <c r="Z313" i="2"/>
  <c r="Z314" i="2"/>
  <c r="Z325" i="2"/>
  <c r="Z326" i="2"/>
  <c r="Z329" i="2"/>
  <c r="Z330" i="2"/>
  <c r="Z344" i="2"/>
  <c r="Z349" i="2"/>
  <c r="Z350" i="2"/>
  <c r="Z361" i="2"/>
  <c r="Z362" i="2"/>
  <c r="Z365" i="2"/>
  <c r="Z366" i="2"/>
  <c r="Z380" i="2"/>
  <c r="Z385" i="2"/>
  <c r="Z386" i="2"/>
  <c r="Z397" i="2"/>
  <c r="Z398" i="2"/>
  <c r="Z401" i="2"/>
  <c r="Z402" i="2"/>
  <c r="Z416" i="2"/>
  <c r="Z421" i="2"/>
  <c r="Z422" i="2"/>
  <c r="Z433" i="2"/>
  <c r="Z434" i="2"/>
  <c r="Z437" i="2"/>
  <c r="Z438" i="2"/>
  <c r="Z452" i="2"/>
  <c r="Z457" i="2"/>
  <c r="Z458" i="2"/>
  <c r="Z469" i="2"/>
  <c r="Z470" i="2"/>
  <c r="Z473" i="2"/>
  <c r="Z474" i="2"/>
  <c r="Z488" i="2"/>
  <c r="Z493" i="2"/>
  <c r="Z494" i="2"/>
  <c r="Z505" i="2"/>
  <c r="Z506" i="2"/>
  <c r="Z509" i="2"/>
  <c r="Z510" i="2"/>
  <c r="Z524" i="2"/>
  <c r="Z529" i="2"/>
  <c r="Z530" i="2"/>
  <c r="Z541" i="2"/>
  <c r="Z542" i="2"/>
  <c r="Z545" i="2"/>
  <c r="Z546" i="2"/>
  <c r="Z560" i="2"/>
  <c r="Z565" i="2"/>
  <c r="Z566" i="2"/>
  <c r="Z577" i="2"/>
  <c r="Z578" i="2"/>
  <c r="Z581" i="2"/>
  <c r="Z582" i="2"/>
  <c r="Z596" i="2"/>
  <c r="Z601" i="2"/>
  <c r="Z602" i="2"/>
  <c r="Z613" i="2"/>
  <c r="Z614" i="2"/>
  <c r="Z617" i="2"/>
  <c r="Z620" i="2"/>
  <c r="Z637" i="2"/>
  <c r="Z638" i="2"/>
  <c r="Z649" i="2"/>
  <c r="Z650" i="2"/>
  <c r="Z653" i="2"/>
  <c r="Z656" i="2"/>
  <c r="Z668" i="2"/>
  <c r="Z669" i="2"/>
  <c r="Z673" i="2"/>
  <c r="Z674" i="2"/>
  <c r="Z685" i="2"/>
  <c r="Z686" i="2"/>
  <c r="Z689" i="2"/>
  <c r="Z702" i="2"/>
  <c r="Z707" i="2"/>
  <c r="Z709" i="2"/>
  <c r="Z710" i="2"/>
  <c r="Z721" i="2"/>
  <c r="Z722" i="2"/>
  <c r="Z728" i="2"/>
  <c r="Z740" i="2"/>
  <c r="Z741" i="2"/>
  <c r="Z745" i="2"/>
  <c r="Z746" i="2"/>
  <c r="Z757" i="2"/>
  <c r="Z758" i="2"/>
  <c r="Z761" i="2"/>
  <c r="Z764" i="2"/>
  <c r="Z765" i="2"/>
  <c r="Z774" i="2"/>
  <c r="Z781" i="2"/>
  <c r="Z782" i="2"/>
  <c r="Z793" i="2"/>
  <c r="Z794" i="2"/>
  <c r="Z797" i="2"/>
  <c r="Z798" i="2"/>
  <c r="Z800" i="2"/>
  <c r="Z812" i="2"/>
  <c r="Z817" i="2"/>
  <c r="Z818" i="2"/>
  <c r="Z829" i="2"/>
  <c r="Z830" i="2"/>
  <c r="Z833" i="2"/>
  <c r="Z836" i="2"/>
  <c r="Z852" i="2"/>
  <c r="Z853" i="2"/>
  <c r="Z864" i="2"/>
  <c r="Z865" i="2"/>
  <c r="Z866" i="2"/>
  <c r="Z869" i="2"/>
  <c r="Z877" i="2"/>
  <c r="Z878" i="2"/>
  <c r="Z881" i="2"/>
  <c r="Z884" i="2"/>
  <c r="Z885" i="2"/>
  <c r="Z886" i="2"/>
  <c r="Z896" i="2"/>
  <c r="Z900" i="2"/>
  <c r="Z901" i="2"/>
  <c r="Z912" i="2"/>
  <c r="Z913" i="2"/>
  <c r="Z914" i="2"/>
  <c r="Z925" i="2"/>
  <c r="Z926" i="2"/>
  <c r="Z932" i="2"/>
  <c r="Z933" i="2"/>
  <c r="Z944" i="2"/>
  <c r="Z945" i="2"/>
  <c r="Z948" i="2"/>
  <c r="Z949" i="2"/>
  <c r="Z960" i="2"/>
  <c r="Z961" i="2"/>
  <c r="Z962" i="2"/>
  <c r="Z963" i="2"/>
  <c r="Z965" i="2"/>
  <c r="Z972" i="2"/>
  <c r="Z973" i="2"/>
  <c r="Z974" i="2"/>
  <c r="Z975" i="2"/>
  <c r="Z984" i="2"/>
  <c r="Z985" i="2"/>
  <c r="Z986" i="2"/>
  <c r="Z987" i="2"/>
  <c r="Z989" i="2"/>
  <c r="Z990" i="2"/>
  <c r="Z997" i="2"/>
  <c r="Z998" i="2"/>
  <c r="Z999" i="2"/>
  <c r="Z1004" i="2"/>
  <c r="Z1010" i="2"/>
  <c r="Z1011" i="2"/>
  <c r="Z1013" i="2"/>
  <c r="Z1014" i="2"/>
  <c r="Z1016" i="2"/>
  <c r="Y3" i="2"/>
  <c r="Z3" i="2" s="1"/>
  <c r="Y4" i="2"/>
  <c r="Z4" i="2" s="1"/>
  <c r="Y5" i="2"/>
  <c r="Z5" i="2" s="1"/>
  <c r="Y6" i="2"/>
  <c r="Z6" i="2" s="1"/>
  <c r="Y7" i="2"/>
  <c r="Z7" i="2" s="1"/>
  <c r="Y8" i="2"/>
  <c r="Z8" i="2" s="1"/>
  <c r="Y9" i="2"/>
  <c r="Z9" i="2" s="1"/>
  <c r="Y10" i="2"/>
  <c r="Z10" i="2" s="1"/>
  <c r="Y11" i="2"/>
  <c r="Z11" i="2" s="1"/>
  <c r="Y12" i="2"/>
  <c r="Z12" i="2" s="1"/>
  <c r="Y13" i="2"/>
  <c r="Z13" i="2" s="1"/>
  <c r="Y14" i="2"/>
  <c r="Y15" i="2"/>
  <c r="Z15" i="2" s="1"/>
  <c r="Y16" i="2"/>
  <c r="Z16" i="2" s="1"/>
  <c r="Y17" i="2"/>
  <c r="Z17" i="2" s="1"/>
  <c r="Y18" i="2"/>
  <c r="Z18" i="2" s="1"/>
  <c r="Y19" i="2"/>
  <c r="Z19" i="2" s="1"/>
  <c r="Y20" i="2"/>
  <c r="Y21" i="2"/>
  <c r="Z21" i="2" s="1"/>
  <c r="Y22" i="2"/>
  <c r="Z22" i="2" s="1"/>
  <c r="Y23" i="2"/>
  <c r="Z23" i="2" s="1"/>
  <c r="Y24" i="2"/>
  <c r="Z24" i="2" s="1"/>
  <c r="Y25" i="2"/>
  <c r="Z25" i="2" s="1"/>
  <c r="Y26" i="2"/>
  <c r="Y27" i="2"/>
  <c r="Z27" i="2" s="1"/>
  <c r="Y28" i="2"/>
  <c r="Z28" i="2" s="1"/>
  <c r="Y29" i="2"/>
  <c r="Z29" i="2" s="1"/>
  <c r="Y30" i="2"/>
  <c r="Z30" i="2" s="1"/>
  <c r="Y31" i="2"/>
  <c r="Z31" i="2" s="1"/>
  <c r="Y32" i="2"/>
  <c r="Z32" i="2" s="1"/>
  <c r="Y33" i="2"/>
  <c r="Z33" i="2" s="1"/>
  <c r="Y34" i="2"/>
  <c r="Z34" i="2" s="1"/>
  <c r="Y35" i="2"/>
  <c r="Z35" i="2" s="1"/>
  <c r="Y36" i="2"/>
  <c r="Z36" i="2" s="1"/>
  <c r="Y37" i="2"/>
  <c r="Z37" i="2" s="1"/>
  <c r="Y38" i="2"/>
  <c r="Y39" i="2"/>
  <c r="Z39" i="2" s="1"/>
  <c r="Y40" i="2"/>
  <c r="Z40" i="2" s="1"/>
  <c r="Y41" i="2"/>
  <c r="Z41" i="2" s="1"/>
  <c r="Y42" i="2"/>
  <c r="Z42" i="2" s="1"/>
  <c r="Y43" i="2"/>
  <c r="Z43" i="2" s="1"/>
  <c r="Y44" i="2"/>
  <c r="Y45" i="2"/>
  <c r="Z45" i="2" s="1"/>
  <c r="Y46" i="2"/>
  <c r="Z46" i="2" s="1"/>
  <c r="Y47" i="2"/>
  <c r="Z47" i="2" s="1"/>
  <c r="Y48" i="2"/>
  <c r="Z48" i="2" s="1"/>
  <c r="Y49" i="2"/>
  <c r="Z49" i="2" s="1"/>
  <c r="Y50" i="2"/>
  <c r="Y51" i="2"/>
  <c r="Z51" i="2" s="1"/>
  <c r="Y52" i="2"/>
  <c r="Z52" i="2" s="1"/>
  <c r="Y53" i="2"/>
  <c r="Z53" i="2" s="1"/>
  <c r="Y54" i="2"/>
  <c r="Z54" i="2" s="1"/>
  <c r="Y55" i="2"/>
  <c r="Z55" i="2" s="1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Y63" i="2"/>
  <c r="Z63" i="2" s="1"/>
  <c r="Y64" i="2"/>
  <c r="Z64" i="2" s="1"/>
  <c r="Y65" i="2"/>
  <c r="Y66" i="2"/>
  <c r="Z66" i="2" s="1"/>
  <c r="Y67" i="2"/>
  <c r="Z67" i="2" s="1"/>
  <c r="Y68" i="2"/>
  <c r="Y69" i="2"/>
  <c r="Y70" i="2"/>
  <c r="Y71" i="2"/>
  <c r="Z71" i="2" s="1"/>
  <c r="Y72" i="2"/>
  <c r="Z72" i="2" s="1"/>
  <c r="Y73" i="2"/>
  <c r="Z73" i="2" s="1"/>
  <c r="Y74" i="2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Y87" i="2"/>
  <c r="Z87" i="2" s="1"/>
  <c r="Y88" i="2"/>
  <c r="Z88" i="2" s="1"/>
  <c r="Y89" i="2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Y111" i="2"/>
  <c r="Z111" i="2" s="1"/>
  <c r="Y112" i="2"/>
  <c r="Z112" i="2" s="1"/>
  <c r="Y113" i="2"/>
  <c r="Y114" i="2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Y129" i="2"/>
  <c r="Z129" i="2" s="1"/>
  <c r="Y130" i="2"/>
  <c r="Z130" i="2" s="1"/>
  <c r="Y131" i="2"/>
  <c r="Z131" i="2" s="1"/>
  <c r="Y132" i="2"/>
  <c r="Z132" i="2" s="1"/>
  <c r="Y133" i="2"/>
  <c r="Y134" i="2"/>
  <c r="Y135" i="2"/>
  <c r="Z135" i="2" s="1"/>
  <c r="Y136" i="2"/>
  <c r="Z136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Y146" i="2"/>
  <c r="Y147" i="2"/>
  <c r="Z147" i="2" s="1"/>
  <c r="Y148" i="2"/>
  <c r="Z148" i="2" s="1"/>
  <c r="Y149" i="2"/>
  <c r="Y150" i="2"/>
  <c r="Y151" i="2"/>
  <c r="Z151" i="2" s="1"/>
  <c r="Y152" i="2"/>
  <c r="Z152" i="2" s="1"/>
  <c r="Y153" i="2"/>
  <c r="Z153" i="2" s="1"/>
  <c r="Y154" i="2"/>
  <c r="Z154" i="2" s="1"/>
  <c r="Y155" i="2"/>
  <c r="Z155" i="2" s="1"/>
  <c r="Y156" i="2"/>
  <c r="Z156" i="2" s="1"/>
  <c r="Y157" i="2"/>
  <c r="Z157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Y165" i="2"/>
  <c r="Z165" i="2" s="1"/>
  <c r="Y166" i="2"/>
  <c r="Z166" i="2" s="1"/>
  <c r="Y167" i="2"/>
  <c r="Z167" i="2" s="1"/>
  <c r="Y168" i="2"/>
  <c r="Z168" i="2" s="1"/>
  <c r="Y169" i="2"/>
  <c r="Y170" i="2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Y182" i="2"/>
  <c r="Y183" i="2"/>
  <c r="Z183" i="2" s="1"/>
  <c r="Y184" i="2"/>
  <c r="Z184" i="2" s="1"/>
  <c r="Y185" i="2"/>
  <c r="Y186" i="2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Y201" i="2"/>
  <c r="Z201" i="2" s="1"/>
  <c r="Y202" i="2"/>
  <c r="Z202" i="2" s="1"/>
  <c r="Y203" i="2"/>
  <c r="Z203" i="2" s="1"/>
  <c r="Y204" i="2"/>
  <c r="Z204" i="2" s="1"/>
  <c r="Y205" i="2"/>
  <c r="Y206" i="2"/>
  <c r="Y207" i="2"/>
  <c r="Z207" i="2" s="1"/>
  <c r="Y208" i="2"/>
  <c r="Z208" i="2" s="1"/>
  <c r="Y209" i="2"/>
  <c r="Z209" i="2" s="1"/>
  <c r="Y210" i="2"/>
  <c r="Z210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Y218" i="2"/>
  <c r="Y219" i="2"/>
  <c r="Z219" i="2" s="1"/>
  <c r="Y220" i="2"/>
  <c r="Z220" i="2" s="1"/>
  <c r="Y221" i="2"/>
  <c r="Y222" i="2"/>
  <c r="Y223" i="2"/>
  <c r="Z223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Y237" i="2"/>
  <c r="Z237" i="2" s="1"/>
  <c r="Y238" i="2"/>
  <c r="Z238" i="2" s="1"/>
  <c r="Y239" i="2"/>
  <c r="Z239" i="2" s="1"/>
  <c r="Y240" i="2"/>
  <c r="Z240" i="2" s="1"/>
  <c r="Y241" i="2"/>
  <c r="Y242" i="2"/>
  <c r="Y243" i="2"/>
  <c r="Z243" i="2" s="1"/>
  <c r="Y244" i="2"/>
  <c r="Z244" i="2" s="1"/>
  <c r="Y245" i="2"/>
  <c r="Z245" i="2" s="1"/>
  <c r="Y246" i="2"/>
  <c r="Z246" i="2" s="1"/>
  <c r="Y247" i="2"/>
  <c r="Z247" i="2" s="1"/>
  <c r="Y248" i="2"/>
  <c r="Z248" i="2" s="1"/>
  <c r="Y249" i="2"/>
  <c r="Z249" i="2" s="1"/>
  <c r="Y250" i="2"/>
  <c r="Z250" i="2" s="1"/>
  <c r="Y251" i="2"/>
  <c r="Z251" i="2" s="1"/>
  <c r="Y252" i="2"/>
  <c r="Z252" i="2" s="1"/>
  <c r="Y253" i="2"/>
  <c r="Y254" i="2"/>
  <c r="Y255" i="2"/>
  <c r="Z255" i="2" s="1"/>
  <c r="Y256" i="2"/>
  <c r="Z256" i="2" s="1"/>
  <c r="Y257" i="2"/>
  <c r="Y258" i="2"/>
  <c r="Y259" i="2"/>
  <c r="Z259" i="2" s="1"/>
  <c r="Y260" i="2"/>
  <c r="Z260" i="2" s="1"/>
  <c r="Y261" i="2"/>
  <c r="Z261" i="2" s="1"/>
  <c r="Y262" i="2"/>
  <c r="Z262" i="2" s="1"/>
  <c r="Y263" i="2"/>
  <c r="Z263" i="2" s="1"/>
  <c r="Y264" i="2"/>
  <c r="Z264" i="2" s="1"/>
  <c r="Y265" i="2"/>
  <c r="Z265" i="2" s="1"/>
  <c r="Y266" i="2"/>
  <c r="Z266" i="2" s="1"/>
  <c r="Y267" i="2"/>
  <c r="Z267" i="2" s="1"/>
  <c r="Y268" i="2"/>
  <c r="Z268" i="2" s="1"/>
  <c r="Y269" i="2"/>
  <c r="Z269" i="2" s="1"/>
  <c r="Y270" i="2"/>
  <c r="Z270" i="2" s="1"/>
  <c r="Y271" i="2"/>
  <c r="Z271" i="2" s="1"/>
  <c r="Y272" i="2"/>
  <c r="Y273" i="2"/>
  <c r="Z273" i="2" s="1"/>
  <c r="Y274" i="2"/>
  <c r="Z274" i="2" s="1"/>
  <c r="Y275" i="2"/>
  <c r="Z275" i="2" s="1"/>
  <c r="Y276" i="2"/>
  <c r="Z276" i="2" s="1"/>
  <c r="Y277" i="2"/>
  <c r="Y278" i="2"/>
  <c r="Y279" i="2"/>
  <c r="Z279" i="2" s="1"/>
  <c r="Y280" i="2"/>
  <c r="Z280" i="2" s="1"/>
  <c r="Y281" i="2"/>
  <c r="Z281" i="2" s="1"/>
  <c r="Y282" i="2"/>
  <c r="Z282" i="2" s="1"/>
  <c r="Y283" i="2"/>
  <c r="Z283" i="2" s="1"/>
  <c r="Y284" i="2"/>
  <c r="Z284" i="2" s="1"/>
  <c r="Y285" i="2"/>
  <c r="Z285" i="2" s="1"/>
  <c r="Y286" i="2"/>
  <c r="Z286" i="2" s="1"/>
  <c r="Y287" i="2"/>
  <c r="Z287" i="2" s="1"/>
  <c r="Y288" i="2"/>
  <c r="Z288" i="2" s="1"/>
  <c r="Y289" i="2"/>
  <c r="Y290" i="2"/>
  <c r="Y291" i="2"/>
  <c r="Z291" i="2" s="1"/>
  <c r="Y292" i="2"/>
  <c r="Z292" i="2" s="1"/>
  <c r="Y293" i="2"/>
  <c r="Y294" i="2"/>
  <c r="Y295" i="2"/>
  <c r="Z295" i="2" s="1"/>
  <c r="Y296" i="2"/>
  <c r="Z296" i="2" s="1"/>
  <c r="Y297" i="2"/>
  <c r="Z297" i="2" s="1"/>
  <c r="Y298" i="2"/>
  <c r="Z298" i="2" s="1"/>
  <c r="Y299" i="2"/>
  <c r="Z299" i="2" s="1"/>
  <c r="Y300" i="2"/>
  <c r="Z300" i="2" s="1"/>
  <c r="Y301" i="2"/>
  <c r="Z301" i="2" s="1"/>
  <c r="Y302" i="2"/>
  <c r="Z302" i="2" s="1"/>
  <c r="Y303" i="2"/>
  <c r="Z303" i="2" s="1"/>
  <c r="Y304" i="2"/>
  <c r="Z304" i="2" s="1"/>
  <c r="Y305" i="2"/>
  <c r="Z305" i="2" s="1"/>
  <c r="Y306" i="2"/>
  <c r="Z306" i="2" s="1"/>
  <c r="Y307" i="2"/>
  <c r="Z307" i="2" s="1"/>
  <c r="Y308" i="2"/>
  <c r="Y309" i="2"/>
  <c r="Z309" i="2" s="1"/>
  <c r="Y310" i="2"/>
  <c r="Z310" i="2" s="1"/>
  <c r="Y311" i="2"/>
  <c r="Z311" i="2" s="1"/>
  <c r="Y312" i="2"/>
  <c r="Z312" i="2" s="1"/>
  <c r="Y313" i="2"/>
  <c r="Y314" i="2"/>
  <c r="Y315" i="2"/>
  <c r="Z315" i="2" s="1"/>
  <c r="Y316" i="2"/>
  <c r="Z316" i="2" s="1"/>
  <c r="Y317" i="2"/>
  <c r="Z317" i="2" s="1"/>
  <c r="Y318" i="2"/>
  <c r="Z318" i="2" s="1"/>
  <c r="Y319" i="2"/>
  <c r="Z319" i="2" s="1"/>
  <c r="Y320" i="2"/>
  <c r="Z320" i="2" s="1"/>
  <c r="Y321" i="2"/>
  <c r="Z321" i="2" s="1"/>
  <c r="Y322" i="2"/>
  <c r="Z322" i="2" s="1"/>
  <c r="Y323" i="2"/>
  <c r="Z323" i="2" s="1"/>
  <c r="Y324" i="2"/>
  <c r="Z324" i="2" s="1"/>
  <c r="Y325" i="2"/>
  <c r="Y326" i="2"/>
  <c r="Y327" i="2"/>
  <c r="Z327" i="2" s="1"/>
  <c r="Y328" i="2"/>
  <c r="Z328" i="2" s="1"/>
  <c r="Y329" i="2"/>
  <c r="Y330" i="2"/>
  <c r="Y331" i="2"/>
  <c r="Z331" i="2" s="1"/>
  <c r="Y332" i="2"/>
  <c r="Z332" i="2" s="1"/>
  <c r="Y333" i="2"/>
  <c r="Z333" i="2" s="1"/>
  <c r="Y334" i="2"/>
  <c r="Z334" i="2" s="1"/>
  <c r="Y335" i="2"/>
  <c r="Z335" i="2" s="1"/>
  <c r="Y336" i="2"/>
  <c r="Z336" i="2" s="1"/>
  <c r="Y337" i="2"/>
  <c r="Z337" i="2" s="1"/>
  <c r="Y338" i="2"/>
  <c r="Z338" i="2" s="1"/>
  <c r="Y339" i="2"/>
  <c r="Z339" i="2" s="1"/>
  <c r="Y340" i="2"/>
  <c r="Z340" i="2" s="1"/>
  <c r="Y341" i="2"/>
  <c r="Z341" i="2" s="1"/>
  <c r="Y342" i="2"/>
  <c r="Z342" i="2" s="1"/>
  <c r="Y343" i="2"/>
  <c r="Z343" i="2" s="1"/>
  <c r="Y344" i="2"/>
  <c r="Y345" i="2"/>
  <c r="Z345" i="2" s="1"/>
  <c r="Y346" i="2"/>
  <c r="Z346" i="2" s="1"/>
  <c r="Y347" i="2"/>
  <c r="Z347" i="2" s="1"/>
  <c r="Y348" i="2"/>
  <c r="Z348" i="2" s="1"/>
  <c r="Y349" i="2"/>
  <c r="Y350" i="2"/>
  <c r="Y351" i="2"/>
  <c r="Z351" i="2" s="1"/>
  <c r="Y352" i="2"/>
  <c r="Z352" i="2" s="1"/>
  <c r="Y353" i="2"/>
  <c r="Z353" i="2" s="1"/>
  <c r="Y354" i="2"/>
  <c r="Z354" i="2" s="1"/>
  <c r="Y355" i="2"/>
  <c r="Z355" i="2" s="1"/>
  <c r="Y356" i="2"/>
  <c r="Z356" i="2" s="1"/>
  <c r="Y357" i="2"/>
  <c r="Z357" i="2" s="1"/>
  <c r="Y358" i="2"/>
  <c r="Z358" i="2" s="1"/>
  <c r="Y359" i="2"/>
  <c r="Z359" i="2" s="1"/>
  <c r="Y360" i="2"/>
  <c r="Z360" i="2" s="1"/>
  <c r="Y361" i="2"/>
  <c r="Y362" i="2"/>
  <c r="Y363" i="2"/>
  <c r="Z363" i="2" s="1"/>
  <c r="Y364" i="2"/>
  <c r="Z364" i="2" s="1"/>
  <c r="Y365" i="2"/>
  <c r="Y366" i="2"/>
  <c r="Y367" i="2"/>
  <c r="Z367" i="2" s="1"/>
  <c r="Y368" i="2"/>
  <c r="Z368" i="2" s="1"/>
  <c r="Y369" i="2"/>
  <c r="Z369" i="2" s="1"/>
  <c r="Y370" i="2"/>
  <c r="Z370" i="2" s="1"/>
  <c r="Y371" i="2"/>
  <c r="Z371" i="2" s="1"/>
  <c r="Y372" i="2"/>
  <c r="Z372" i="2" s="1"/>
  <c r="Y373" i="2"/>
  <c r="Z373" i="2" s="1"/>
  <c r="Y374" i="2"/>
  <c r="Z374" i="2" s="1"/>
  <c r="Y375" i="2"/>
  <c r="Z375" i="2" s="1"/>
  <c r="Y376" i="2"/>
  <c r="Z376" i="2" s="1"/>
  <c r="Y377" i="2"/>
  <c r="Z377" i="2" s="1"/>
  <c r="Y378" i="2"/>
  <c r="Z378" i="2" s="1"/>
  <c r="Y379" i="2"/>
  <c r="Z379" i="2" s="1"/>
  <c r="Y380" i="2"/>
  <c r="Y381" i="2"/>
  <c r="Z381" i="2" s="1"/>
  <c r="Y382" i="2"/>
  <c r="Z382" i="2" s="1"/>
  <c r="Y383" i="2"/>
  <c r="Z383" i="2" s="1"/>
  <c r="Y384" i="2"/>
  <c r="Z384" i="2" s="1"/>
  <c r="Y385" i="2"/>
  <c r="Y386" i="2"/>
  <c r="Y387" i="2"/>
  <c r="Z387" i="2" s="1"/>
  <c r="Y388" i="2"/>
  <c r="Z388" i="2" s="1"/>
  <c r="Y389" i="2"/>
  <c r="Z389" i="2" s="1"/>
  <c r="Y390" i="2"/>
  <c r="Z390" i="2" s="1"/>
  <c r="Y391" i="2"/>
  <c r="Z391" i="2" s="1"/>
  <c r="Y392" i="2"/>
  <c r="Z392" i="2" s="1"/>
  <c r="Y393" i="2"/>
  <c r="Z393" i="2" s="1"/>
  <c r="Y394" i="2"/>
  <c r="Z394" i="2" s="1"/>
  <c r="Y395" i="2"/>
  <c r="Z395" i="2" s="1"/>
  <c r="Y396" i="2"/>
  <c r="Z396" i="2" s="1"/>
  <c r="Y397" i="2"/>
  <c r="Y398" i="2"/>
  <c r="Y399" i="2"/>
  <c r="Z399" i="2" s="1"/>
  <c r="Y400" i="2"/>
  <c r="Z400" i="2" s="1"/>
  <c r="Y401" i="2"/>
  <c r="Y402" i="2"/>
  <c r="Y403" i="2"/>
  <c r="Z403" i="2" s="1"/>
  <c r="Y404" i="2"/>
  <c r="Z404" i="2" s="1"/>
  <c r="Y405" i="2"/>
  <c r="Z405" i="2" s="1"/>
  <c r="Y406" i="2"/>
  <c r="Z406" i="2" s="1"/>
  <c r="Y407" i="2"/>
  <c r="Z407" i="2" s="1"/>
  <c r="Y408" i="2"/>
  <c r="Z408" i="2" s="1"/>
  <c r="Y409" i="2"/>
  <c r="Z409" i="2" s="1"/>
  <c r="Y410" i="2"/>
  <c r="Z410" i="2" s="1"/>
  <c r="Y411" i="2"/>
  <c r="Z411" i="2" s="1"/>
  <c r="Y412" i="2"/>
  <c r="Z412" i="2" s="1"/>
  <c r="Y413" i="2"/>
  <c r="Z413" i="2" s="1"/>
  <c r="Y414" i="2"/>
  <c r="Z414" i="2" s="1"/>
  <c r="Y415" i="2"/>
  <c r="Z415" i="2" s="1"/>
  <c r="Y416" i="2"/>
  <c r="Y417" i="2"/>
  <c r="Z417" i="2" s="1"/>
  <c r="Y418" i="2"/>
  <c r="Z418" i="2" s="1"/>
  <c r="Y419" i="2"/>
  <c r="Z419" i="2" s="1"/>
  <c r="Y420" i="2"/>
  <c r="Z420" i="2" s="1"/>
  <c r="Y421" i="2"/>
  <c r="Y422" i="2"/>
  <c r="Y423" i="2"/>
  <c r="Z423" i="2" s="1"/>
  <c r="Y424" i="2"/>
  <c r="Z424" i="2" s="1"/>
  <c r="Y425" i="2"/>
  <c r="Z425" i="2" s="1"/>
  <c r="Y426" i="2"/>
  <c r="Z426" i="2" s="1"/>
  <c r="Y427" i="2"/>
  <c r="Z427" i="2" s="1"/>
  <c r="Y428" i="2"/>
  <c r="Z428" i="2" s="1"/>
  <c r="Y429" i="2"/>
  <c r="Z429" i="2" s="1"/>
  <c r="Y430" i="2"/>
  <c r="Z430" i="2" s="1"/>
  <c r="Y431" i="2"/>
  <c r="Z431" i="2" s="1"/>
  <c r="Y432" i="2"/>
  <c r="Z432" i="2" s="1"/>
  <c r="Y433" i="2"/>
  <c r="Y434" i="2"/>
  <c r="Y435" i="2"/>
  <c r="Z435" i="2" s="1"/>
  <c r="Y436" i="2"/>
  <c r="Z436" i="2" s="1"/>
  <c r="Y437" i="2"/>
  <c r="Y438" i="2"/>
  <c r="Y439" i="2"/>
  <c r="Z439" i="2" s="1"/>
  <c r="Y440" i="2"/>
  <c r="Z440" i="2" s="1"/>
  <c r="Y441" i="2"/>
  <c r="Z441" i="2" s="1"/>
  <c r="Y442" i="2"/>
  <c r="Z442" i="2" s="1"/>
  <c r="Y443" i="2"/>
  <c r="Z443" i="2" s="1"/>
  <c r="Y444" i="2"/>
  <c r="Z444" i="2" s="1"/>
  <c r="Y445" i="2"/>
  <c r="Z445" i="2" s="1"/>
  <c r="Y446" i="2"/>
  <c r="Z446" i="2" s="1"/>
  <c r="Y447" i="2"/>
  <c r="Z447" i="2" s="1"/>
  <c r="Y448" i="2"/>
  <c r="Z448" i="2" s="1"/>
  <c r="Y449" i="2"/>
  <c r="Z449" i="2" s="1"/>
  <c r="Y450" i="2"/>
  <c r="Z450" i="2" s="1"/>
  <c r="Y451" i="2"/>
  <c r="Z451" i="2" s="1"/>
  <c r="Y452" i="2"/>
  <c r="Y453" i="2"/>
  <c r="Z453" i="2" s="1"/>
  <c r="Y454" i="2"/>
  <c r="Z454" i="2" s="1"/>
  <c r="Y455" i="2"/>
  <c r="Z455" i="2" s="1"/>
  <c r="Y456" i="2"/>
  <c r="Z456" i="2" s="1"/>
  <c r="Y457" i="2"/>
  <c r="Y458" i="2"/>
  <c r="Y459" i="2"/>
  <c r="Z459" i="2" s="1"/>
  <c r="Y460" i="2"/>
  <c r="Z460" i="2" s="1"/>
  <c r="Y461" i="2"/>
  <c r="Z461" i="2" s="1"/>
  <c r="Y462" i="2"/>
  <c r="Z462" i="2" s="1"/>
  <c r="Y463" i="2"/>
  <c r="Z463" i="2" s="1"/>
  <c r="Y464" i="2"/>
  <c r="Z464" i="2" s="1"/>
  <c r="Y465" i="2"/>
  <c r="Z465" i="2" s="1"/>
  <c r="Y466" i="2"/>
  <c r="Z466" i="2" s="1"/>
  <c r="Y467" i="2"/>
  <c r="Z467" i="2" s="1"/>
  <c r="Y468" i="2"/>
  <c r="Z468" i="2" s="1"/>
  <c r="Y469" i="2"/>
  <c r="Y470" i="2"/>
  <c r="Y471" i="2"/>
  <c r="Z471" i="2" s="1"/>
  <c r="Y472" i="2"/>
  <c r="Z472" i="2" s="1"/>
  <c r="Y473" i="2"/>
  <c r="Y474" i="2"/>
  <c r="Y475" i="2"/>
  <c r="Z475" i="2" s="1"/>
  <c r="Y476" i="2"/>
  <c r="Z476" i="2" s="1"/>
  <c r="Y477" i="2"/>
  <c r="Z477" i="2" s="1"/>
  <c r="Y478" i="2"/>
  <c r="Z478" i="2" s="1"/>
  <c r="Y479" i="2"/>
  <c r="Z479" i="2" s="1"/>
  <c r="Y480" i="2"/>
  <c r="Z480" i="2" s="1"/>
  <c r="Y481" i="2"/>
  <c r="Z481" i="2" s="1"/>
  <c r="Y482" i="2"/>
  <c r="Z482" i="2" s="1"/>
  <c r="Y483" i="2"/>
  <c r="Z483" i="2" s="1"/>
  <c r="Y484" i="2"/>
  <c r="Z484" i="2" s="1"/>
  <c r="Y485" i="2"/>
  <c r="Z485" i="2" s="1"/>
  <c r="Y486" i="2"/>
  <c r="Z486" i="2" s="1"/>
  <c r="Y487" i="2"/>
  <c r="Z487" i="2" s="1"/>
  <c r="Y488" i="2"/>
  <c r="Y489" i="2"/>
  <c r="Z489" i="2" s="1"/>
  <c r="Y490" i="2"/>
  <c r="Z490" i="2" s="1"/>
  <c r="Y491" i="2"/>
  <c r="Z491" i="2" s="1"/>
  <c r="Y492" i="2"/>
  <c r="Z492" i="2" s="1"/>
  <c r="Y493" i="2"/>
  <c r="Y494" i="2"/>
  <c r="Y495" i="2"/>
  <c r="Z495" i="2" s="1"/>
  <c r="Y496" i="2"/>
  <c r="Z496" i="2" s="1"/>
  <c r="Y497" i="2"/>
  <c r="Z497" i="2" s="1"/>
  <c r="Y498" i="2"/>
  <c r="Z498" i="2" s="1"/>
  <c r="Y499" i="2"/>
  <c r="Z499" i="2" s="1"/>
  <c r="Y500" i="2"/>
  <c r="Z500" i="2" s="1"/>
  <c r="Y501" i="2"/>
  <c r="Z501" i="2" s="1"/>
  <c r="Y502" i="2"/>
  <c r="Z502" i="2" s="1"/>
  <c r="Y503" i="2"/>
  <c r="Z503" i="2" s="1"/>
  <c r="Y504" i="2"/>
  <c r="Z504" i="2" s="1"/>
  <c r="Y505" i="2"/>
  <c r="Y506" i="2"/>
  <c r="Y507" i="2"/>
  <c r="Z507" i="2" s="1"/>
  <c r="Y508" i="2"/>
  <c r="Z508" i="2" s="1"/>
  <c r="Y509" i="2"/>
  <c r="Y510" i="2"/>
  <c r="Y511" i="2"/>
  <c r="Z511" i="2" s="1"/>
  <c r="Y512" i="2"/>
  <c r="Z512" i="2" s="1"/>
  <c r="Y513" i="2"/>
  <c r="Z513" i="2" s="1"/>
  <c r="Y514" i="2"/>
  <c r="Z514" i="2" s="1"/>
  <c r="Y515" i="2"/>
  <c r="Z515" i="2" s="1"/>
  <c r="Y516" i="2"/>
  <c r="Z516" i="2" s="1"/>
  <c r="Y517" i="2"/>
  <c r="Z517" i="2" s="1"/>
  <c r="Y518" i="2"/>
  <c r="Z518" i="2" s="1"/>
  <c r="Y519" i="2"/>
  <c r="Z519" i="2" s="1"/>
  <c r="Y520" i="2"/>
  <c r="Z520" i="2" s="1"/>
  <c r="Y521" i="2"/>
  <c r="Z521" i="2" s="1"/>
  <c r="Y522" i="2"/>
  <c r="Z522" i="2" s="1"/>
  <c r="Y523" i="2"/>
  <c r="Z523" i="2" s="1"/>
  <c r="Y524" i="2"/>
  <c r="Y525" i="2"/>
  <c r="Z525" i="2" s="1"/>
  <c r="Y526" i="2"/>
  <c r="Z526" i="2" s="1"/>
  <c r="Y527" i="2"/>
  <c r="Z527" i="2" s="1"/>
  <c r="Y528" i="2"/>
  <c r="Z528" i="2" s="1"/>
  <c r="Y529" i="2"/>
  <c r="Y530" i="2"/>
  <c r="Y531" i="2"/>
  <c r="Z531" i="2" s="1"/>
  <c r="Y532" i="2"/>
  <c r="Z532" i="2" s="1"/>
  <c r="Y533" i="2"/>
  <c r="Z533" i="2" s="1"/>
  <c r="Y534" i="2"/>
  <c r="Z534" i="2" s="1"/>
  <c r="Y535" i="2"/>
  <c r="Z535" i="2" s="1"/>
  <c r="Y536" i="2"/>
  <c r="Z536" i="2" s="1"/>
  <c r="Y537" i="2"/>
  <c r="Z537" i="2" s="1"/>
  <c r="Y538" i="2"/>
  <c r="Z538" i="2" s="1"/>
  <c r="Y539" i="2"/>
  <c r="Z539" i="2" s="1"/>
  <c r="Y540" i="2"/>
  <c r="Z540" i="2" s="1"/>
  <c r="Y541" i="2"/>
  <c r="Y542" i="2"/>
  <c r="Y543" i="2"/>
  <c r="Z543" i="2" s="1"/>
  <c r="Y544" i="2"/>
  <c r="Z544" i="2" s="1"/>
  <c r="Y545" i="2"/>
  <c r="Y546" i="2"/>
  <c r="Y547" i="2"/>
  <c r="Z547" i="2" s="1"/>
  <c r="Y548" i="2"/>
  <c r="Z548" i="2" s="1"/>
  <c r="Y549" i="2"/>
  <c r="Z549" i="2" s="1"/>
  <c r="Y550" i="2"/>
  <c r="Z550" i="2" s="1"/>
  <c r="Y551" i="2"/>
  <c r="Z551" i="2" s="1"/>
  <c r="Y552" i="2"/>
  <c r="Z552" i="2" s="1"/>
  <c r="Y553" i="2"/>
  <c r="Z553" i="2" s="1"/>
  <c r="Y554" i="2"/>
  <c r="Z554" i="2" s="1"/>
  <c r="Y555" i="2"/>
  <c r="Z555" i="2" s="1"/>
  <c r="Y556" i="2"/>
  <c r="Z556" i="2" s="1"/>
  <c r="Y557" i="2"/>
  <c r="Z557" i="2" s="1"/>
  <c r="Y558" i="2"/>
  <c r="Z558" i="2" s="1"/>
  <c r="Y559" i="2"/>
  <c r="Z559" i="2" s="1"/>
  <c r="Y560" i="2"/>
  <c r="Y561" i="2"/>
  <c r="Z561" i="2" s="1"/>
  <c r="Y562" i="2"/>
  <c r="Z562" i="2" s="1"/>
  <c r="Y563" i="2"/>
  <c r="Z563" i="2" s="1"/>
  <c r="Y564" i="2"/>
  <c r="Z564" i="2" s="1"/>
  <c r="Y565" i="2"/>
  <c r="Y566" i="2"/>
  <c r="Y567" i="2"/>
  <c r="Z567" i="2" s="1"/>
  <c r="Y568" i="2"/>
  <c r="Z568" i="2" s="1"/>
  <c r="Y569" i="2"/>
  <c r="Z569" i="2" s="1"/>
  <c r="Y570" i="2"/>
  <c r="Z570" i="2" s="1"/>
  <c r="Y571" i="2"/>
  <c r="Z571" i="2" s="1"/>
  <c r="Y572" i="2"/>
  <c r="Z572" i="2" s="1"/>
  <c r="Y573" i="2"/>
  <c r="Z573" i="2" s="1"/>
  <c r="Y574" i="2"/>
  <c r="Z574" i="2" s="1"/>
  <c r="Y575" i="2"/>
  <c r="Z575" i="2" s="1"/>
  <c r="Y576" i="2"/>
  <c r="Z576" i="2" s="1"/>
  <c r="Y577" i="2"/>
  <c r="Y578" i="2"/>
  <c r="Y579" i="2"/>
  <c r="Z579" i="2" s="1"/>
  <c r="Y580" i="2"/>
  <c r="Z580" i="2" s="1"/>
  <c r="Y581" i="2"/>
  <c r="Y582" i="2"/>
  <c r="Y583" i="2"/>
  <c r="Z583" i="2" s="1"/>
  <c r="Y584" i="2"/>
  <c r="Z584" i="2" s="1"/>
  <c r="Y585" i="2"/>
  <c r="Z585" i="2" s="1"/>
  <c r="Y586" i="2"/>
  <c r="Z586" i="2" s="1"/>
  <c r="Y587" i="2"/>
  <c r="Z587" i="2" s="1"/>
  <c r="Y588" i="2"/>
  <c r="Z588" i="2" s="1"/>
  <c r="Y589" i="2"/>
  <c r="Z589" i="2" s="1"/>
  <c r="Y590" i="2"/>
  <c r="Z590" i="2" s="1"/>
  <c r="Y591" i="2"/>
  <c r="Z591" i="2" s="1"/>
  <c r="Y592" i="2"/>
  <c r="Z592" i="2" s="1"/>
  <c r="Y593" i="2"/>
  <c r="Z593" i="2" s="1"/>
  <c r="Y594" i="2"/>
  <c r="Z594" i="2" s="1"/>
  <c r="Y595" i="2"/>
  <c r="Z595" i="2" s="1"/>
  <c r="Y596" i="2"/>
  <c r="Y597" i="2"/>
  <c r="Z597" i="2" s="1"/>
  <c r="Y598" i="2"/>
  <c r="Z598" i="2" s="1"/>
  <c r="Y599" i="2"/>
  <c r="Z599" i="2" s="1"/>
  <c r="Y600" i="2"/>
  <c r="Z600" i="2" s="1"/>
  <c r="Y601" i="2"/>
  <c r="Y602" i="2"/>
  <c r="Y603" i="2"/>
  <c r="Z603" i="2" s="1"/>
  <c r="Y604" i="2"/>
  <c r="Z604" i="2" s="1"/>
  <c r="Y605" i="2"/>
  <c r="Z605" i="2" s="1"/>
  <c r="Y606" i="2"/>
  <c r="Z606" i="2" s="1"/>
  <c r="Y607" i="2"/>
  <c r="Z607" i="2" s="1"/>
  <c r="Y608" i="2"/>
  <c r="Z608" i="2" s="1"/>
  <c r="Y609" i="2"/>
  <c r="Z609" i="2" s="1"/>
  <c r="Y610" i="2"/>
  <c r="Z610" i="2" s="1"/>
  <c r="Y611" i="2"/>
  <c r="Z611" i="2" s="1"/>
  <c r="Y612" i="2"/>
  <c r="Z612" i="2" s="1"/>
  <c r="Y613" i="2"/>
  <c r="Y614" i="2"/>
  <c r="Y615" i="2"/>
  <c r="Z615" i="2" s="1"/>
  <c r="Y616" i="2"/>
  <c r="Z616" i="2" s="1"/>
  <c r="Y617" i="2"/>
  <c r="Y618" i="2"/>
  <c r="Z618" i="2" s="1"/>
  <c r="Y619" i="2"/>
  <c r="Z619" i="2" s="1"/>
  <c r="Y620" i="2"/>
  <c r="Y621" i="2"/>
  <c r="Z621" i="2" s="1"/>
  <c r="Y622" i="2"/>
  <c r="Z622" i="2" s="1"/>
  <c r="Y623" i="2"/>
  <c r="Z623" i="2" s="1"/>
  <c r="Y624" i="2"/>
  <c r="Z624" i="2" s="1"/>
  <c r="Y625" i="2"/>
  <c r="Z625" i="2" s="1"/>
  <c r="Y626" i="2"/>
  <c r="Z626" i="2" s="1"/>
  <c r="Y627" i="2"/>
  <c r="Z627" i="2" s="1"/>
  <c r="Y628" i="2"/>
  <c r="Z628" i="2" s="1"/>
  <c r="Y629" i="2"/>
  <c r="Z629" i="2" s="1"/>
  <c r="Y630" i="2"/>
  <c r="Z630" i="2" s="1"/>
  <c r="Y631" i="2"/>
  <c r="Z631" i="2" s="1"/>
  <c r="Y632" i="2"/>
  <c r="Z632" i="2" s="1"/>
  <c r="Y633" i="2"/>
  <c r="Z633" i="2" s="1"/>
  <c r="Y634" i="2"/>
  <c r="Z634" i="2" s="1"/>
  <c r="Y635" i="2"/>
  <c r="Z635" i="2" s="1"/>
  <c r="Y636" i="2"/>
  <c r="Z636" i="2" s="1"/>
  <c r="Y637" i="2"/>
  <c r="Y638" i="2"/>
  <c r="Y639" i="2"/>
  <c r="Z639" i="2" s="1"/>
  <c r="Y640" i="2"/>
  <c r="Z640" i="2" s="1"/>
  <c r="Y641" i="2"/>
  <c r="Z641" i="2" s="1"/>
  <c r="Y642" i="2"/>
  <c r="Z642" i="2" s="1"/>
  <c r="Y643" i="2"/>
  <c r="Z643" i="2" s="1"/>
  <c r="Y644" i="2"/>
  <c r="Z644" i="2" s="1"/>
  <c r="Y645" i="2"/>
  <c r="Z645" i="2" s="1"/>
  <c r="Y646" i="2"/>
  <c r="Z646" i="2" s="1"/>
  <c r="Y647" i="2"/>
  <c r="Z647" i="2" s="1"/>
  <c r="Y648" i="2"/>
  <c r="Z648" i="2" s="1"/>
  <c r="Y649" i="2"/>
  <c r="Y650" i="2"/>
  <c r="Y651" i="2"/>
  <c r="Z651" i="2" s="1"/>
  <c r="Y652" i="2"/>
  <c r="Z652" i="2" s="1"/>
  <c r="Y653" i="2"/>
  <c r="Y654" i="2"/>
  <c r="Z654" i="2" s="1"/>
  <c r="Y655" i="2"/>
  <c r="Z655" i="2" s="1"/>
  <c r="Y656" i="2"/>
  <c r="Y657" i="2"/>
  <c r="Z657" i="2" s="1"/>
  <c r="Y658" i="2"/>
  <c r="Z658" i="2" s="1"/>
  <c r="Y659" i="2"/>
  <c r="Z659" i="2" s="1"/>
  <c r="Y660" i="2"/>
  <c r="Z660" i="2" s="1"/>
  <c r="Y661" i="2"/>
  <c r="Z661" i="2" s="1"/>
  <c r="Y662" i="2"/>
  <c r="Z662" i="2" s="1"/>
  <c r="Y663" i="2"/>
  <c r="Z663" i="2" s="1"/>
  <c r="Y664" i="2"/>
  <c r="Z664" i="2" s="1"/>
  <c r="Y665" i="2"/>
  <c r="Z665" i="2" s="1"/>
  <c r="Y666" i="2"/>
  <c r="Z666" i="2" s="1"/>
  <c r="Y667" i="2"/>
  <c r="Z667" i="2" s="1"/>
  <c r="Y668" i="2"/>
  <c r="Y669" i="2"/>
  <c r="Y670" i="2"/>
  <c r="Z670" i="2" s="1"/>
  <c r="Y671" i="2"/>
  <c r="Z671" i="2" s="1"/>
  <c r="Y672" i="2"/>
  <c r="Z672" i="2" s="1"/>
  <c r="Y673" i="2"/>
  <c r="Y674" i="2"/>
  <c r="Y675" i="2"/>
  <c r="Z675" i="2" s="1"/>
  <c r="Y676" i="2"/>
  <c r="Z676" i="2" s="1"/>
  <c r="Y677" i="2"/>
  <c r="Z677" i="2" s="1"/>
  <c r="Y678" i="2"/>
  <c r="Z678" i="2" s="1"/>
  <c r="Y679" i="2"/>
  <c r="Z679" i="2" s="1"/>
  <c r="Y680" i="2"/>
  <c r="Z680" i="2" s="1"/>
  <c r="Y681" i="2"/>
  <c r="Z681" i="2" s="1"/>
  <c r="Y682" i="2"/>
  <c r="Z682" i="2" s="1"/>
  <c r="Y683" i="2"/>
  <c r="Z683" i="2" s="1"/>
  <c r="Y684" i="2"/>
  <c r="Z684" i="2" s="1"/>
  <c r="Y685" i="2"/>
  <c r="Y686" i="2"/>
  <c r="Y687" i="2"/>
  <c r="Z687" i="2" s="1"/>
  <c r="Y688" i="2"/>
  <c r="Z688" i="2" s="1"/>
  <c r="Y689" i="2"/>
  <c r="Y690" i="2"/>
  <c r="Z690" i="2" s="1"/>
  <c r="Y691" i="2"/>
  <c r="Z691" i="2" s="1"/>
  <c r="Y692" i="2"/>
  <c r="Z692" i="2" s="1"/>
  <c r="Y693" i="2"/>
  <c r="Z693" i="2" s="1"/>
  <c r="Y694" i="2"/>
  <c r="Z694" i="2" s="1"/>
  <c r="Y695" i="2"/>
  <c r="Z695" i="2" s="1"/>
  <c r="Y696" i="2"/>
  <c r="Z696" i="2" s="1"/>
  <c r="Y697" i="2"/>
  <c r="Z697" i="2" s="1"/>
  <c r="Y698" i="2"/>
  <c r="Z698" i="2" s="1"/>
  <c r="Y699" i="2"/>
  <c r="Z699" i="2" s="1"/>
  <c r="Y700" i="2"/>
  <c r="Z700" i="2" s="1"/>
  <c r="Y701" i="2"/>
  <c r="Z701" i="2" s="1"/>
  <c r="Y702" i="2"/>
  <c r="Y703" i="2"/>
  <c r="Z703" i="2" s="1"/>
  <c r="Y704" i="2"/>
  <c r="Z704" i="2" s="1"/>
  <c r="Y705" i="2"/>
  <c r="Z705" i="2" s="1"/>
  <c r="Y706" i="2"/>
  <c r="Z706" i="2" s="1"/>
  <c r="Y707" i="2"/>
  <c r="Y708" i="2"/>
  <c r="Z708" i="2" s="1"/>
  <c r="Y709" i="2"/>
  <c r="Y710" i="2"/>
  <c r="Y711" i="2"/>
  <c r="Z711" i="2" s="1"/>
  <c r="Y712" i="2"/>
  <c r="Z712" i="2" s="1"/>
  <c r="Y713" i="2"/>
  <c r="Z713" i="2" s="1"/>
  <c r="Y714" i="2"/>
  <c r="Z714" i="2" s="1"/>
  <c r="Y715" i="2"/>
  <c r="Z715" i="2" s="1"/>
  <c r="Y716" i="2"/>
  <c r="Z716" i="2" s="1"/>
  <c r="Y717" i="2"/>
  <c r="Z717" i="2" s="1"/>
  <c r="Y718" i="2"/>
  <c r="Z718" i="2" s="1"/>
  <c r="Y719" i="2"/>
  <c r="Z719" i="2" s="1"/>
  <c r="Y720" i="2"/>
  <c r="Z720" i="2" s="1"/>
  <c r="Y721" i="2"/>
  <c r="Y722" i="2"/>
  <c r="Y723" i="2"/>
  <c r="Z723" i="2" s="1"/>
  <c r="Y724" i="2"/>
  <c r="Z724" i="2" s="1"/>
  <c r="Y725" i="2"/>
  <c r="Z725" i="2" s="1"/>
  <c r="Y726" i="2"/>
  <c r="Z726" i="2" s="1"/>
  <c r="Y727" i="2"/>
  <c r="Z727" i="2" s="1"/>
  <c r="Y728" i="2"/>
  <c r="Y729" i="2"/>
  <c r="Z729" i="2" s="1"/>
  <c r="Y730" i="2"/>
  <c r="Z730" i="2" s="1"/>
  <c r="Y731" i="2"/>
  <c r="Z731" i="2" s="1"/>
  <c r="Y732" i="2"/>
  <c r="Z732" i="2" s="1"/>
  <c r="Y733" i="2"/>
  <c r="Z733" i="2" s="1"/>
  <c r="Y734" i="2"/>
  <c r="Z734" i="2" s="1"/>
  <c r="Y735" i="2"/>
  <c r="Z735" i="2" s="1"/>
  <c r="Y736" i="2"/>
  <c r="Z736" i="2" s="1"/>
  <c r="Y737" i="2"/>
  <c r="Z737" i="2" s="1"/>
  <c r="Y738" i="2"/>
  <c r="Z738" i="2" s="1"/>
  <c r="Y739" i="2"/>
  <c r="Z739" i="2" s="1"/>
  <c r="Y740" i="2"/>
  <c r="Y741" i="2"/>
  <c r="Y742" i="2"/>
  <c r="Z742" i="2" s="1"/>
  <c r="Y743" i="2"/>
  <c r="Z743" i="2" s="1"/>
  <c r="Y744" i="2"/>
  <c r="Z744" i="2" s="1"/>
  <c r="Y745" i="2"/>
  <c r="Y746" i="2"/>
  <c r="Y747" i="2"/>
  <c r="Z747" i="2" s="1"/>
  <c r="Y748" i="2"/>
  <c r="Z748" i="2" s="1"/>
  <c r="Y749" i="2"/>
  <c r="Z749" i="2" s="1"/>
  <c r="Y750" i="2"/>
  <c r="Z750" i="2" s="1"/>
  <c r="Y751" i="2"/>
  <c r="Z751" i="2" s="1"/>
  <c r="Y752" i="2"/>
  <c r="Z752" i="2" s="1"/>
  <c r="Y753" i="2"/>
  <c r="Z753" i="2" s="1"/>
  <c r="Y754" i="2"/>
  <c r="Z754" i="2" s="1"/>
  <c r="Y755" i="2"/>
  <c r="Z755" i="2" s="1"/>
  <c r="Y756" i="2"/>
  <c r="Z756" i="2" s="1"/>
  <c r="Y757" i="2"/>
  <c r="Y758" i="2"/>
  <c r="Y759" i="2"/>
  <c r="Z759" i="2" s="1"/>
  <c r="Y760" i="2"/>
  <c r="Z760" i="2" s="1"/>
  <c r="Y761" i="2"/>
  <c r="Y762" i="2"/>
  <c r="Z762" i="2" s="1"/>
  <c r="Y763" i="2"/>
  <c r="Z763" i="2" s="1"/>
  <c r="Y764" i="2"/>
  <c r="Y765" i="2"/>
  <c r="Y766" i="2"/>
  <c r="Z766" i="2" s="1"/>
  <c r="Y767" i="2"/>
  <c r="Z767" i="2" s="1"/>
  <c r="Y768" i="2"/>
  <c r="Z768" i="2" s="1"/>
  <c r="Y769" i="2"/>
  <c r="Z769" i="2" s="1"/>
  <c r="Y770" i="2"/>
  <c r="Z770" i="2" s="1"/>
  <c r="Y771" i="2"/>
  <c r="Z771" i="2" s="1"/>
  <c r="Y772" i="2"/>
  <c r="Z772" i="2" s="1"/>
  <c r="Y773" i="2"/>
  <c r="Z773" i="2" s="1"/>
  <c r="Y774" i="2"/>
  <c r="Y775" i="2"/>
  <c r="Z775" i="2" s="1"/>
  <c r="Y776" i="2"/>
  <c r="Z776" i="2" s="1"/>
  <c r="Y777" i="2"/>
  <c r="Z777" i="2" s="1"/>
  <c r="Y778" i="2"/>
  <c r="Z778" i="2" s="1"/>
  <c r="Y779" i="2"/>
  <c r="Z779" i="2" s="1"/>
  <c r="Y780" i="2"/>
  <c r="Z780" i="2" s="1"/>
  <c r="Y781" i="2"/>
  <c r="Y782" i="2"/>
  <c r="Y783" i="2"/>
  <c r="Z783" i="2" s="1"/>
  <c r="Y784" i="2"/>
  <c r="Z784" i="2" s="1"/>
  <c r="Y785" i="2"/>
  <c r="Z785" i="2" s="1"/>
  <c r="Y786" i="2"/>
  <c r="Z786" i="2" s="1"/>
  <c r="Y787" i="2"/>
  <c r="Z787" i="2" s="1"/>
  <c r="Y788" i="2"/>
  <c r="Z788" i="2" s="1"/>
  <c r="Y789" i="2"/>
  <c r="Z789" i="2" s="1"/>
  <c r="Y790" i="2"/>
  <c r="Z790" i="2" s="1"/>
  <c r="Y791" i="2"/>
  <c r="Z791" i="2" s="1"/>
  <c r="Y792" i="2"/>
  <c r="Z792" i="2" s="1"/>
  <c r="Y793" i="2"/>
  <c r="Y794" i="2"/>
  <c r="Y795" i="2"/>
  <c r="Z795" i="2" s="1"/>
  <c r="Y796" i="2"/>
  <c r="Z796" i="2" s="1"/>
  <c r="Y797" i="2"/>
  <c r="Y798" i="2"/>
  <c r="Y799" i="2"/>
  <c r="Z799" i="2" s="1"/>
  <c r="Y800" i="2"/>
  <c r="Y801" i="2"/>
  <c r="Z801" i="2" s="1"/>
  <c r="Y802" i="2"/>
  <c r="Z802" i="2" s="1"/>
  <c r="Y803" i="2"/>
  <c r="Z803" i="2" s="1"/>
  <c r="Y804" i="2"/>
  <c r="Z804" i="2" s="1"/>
  <c r="Y805" i="2"/>
  <c r="Z805" i="2" s="1"/>
  <c r="Y806" i="2"/>
  <c r="Z806" i="2" s="1"/>
  <c r="Y807" i="2"/>
  <c r="Z807" i="2" s="1"/>
  <c r="Y808" i="2"/>
  <c r="Z808" i="2" s="1"/>
  <c r="Y809" i="2"/>
  <c r="Z809" i="2" s="1"/>
  <c r="Y810" i="2"/>
  <c r="Z810" i="2" s="1"/>
  <c r="Y811" i="2"/>
  <c r="Z811" i="2" s="1"/>
  <c r="Y812" i="2"/>
  <c r="Y813" i="2"/>
  <c r="Z813" i="2" s="1"/>
  <c r="Y814" i="2"/>
  <c r="Z814" i="2" s="1"/>
  <c r="Y815" i="2"/>
  <c r="Z815" i="2" s="1"/>
  <c r="Y816" i="2"/>
  <c r="Z816" i="2" s="1"/>
  <c r="Y817" i="2"/>
  <c r="Y818" i="2"/>
  <c r="Y819" i="2"/>
  <c r="Z819" i="2" s="1"/>
  <c r="Y820" i="2"/>
  <c r="Z820" i="2" s="1"/>
  <c r="Y821" i="2"/>
  <c r="Z821" i="2" s="1"/>
  <c r="Y822" i="2"/>
  <c r="Z822" i="2" s="1"/>
  <c r="Y823" i="2"/>
  <c r="Z823" i="2" s="1"/>
  <c r="Y824" i="2"/>
  <c r="Z824" i="2" s="1"/>
  <c r="Y825" i="2"/>
  <c r="Z825" i="2" s="1"/>
  <c r="Y826" i="2"/>
  <c r="Z826" i="2" s="1"/>
  <c r="Y827" i="2"/>
  <c r="Z827" i="2" s="1"/>
  <c r="Y828" i="2"/>
  <c r="Z828" i="2" s="1"/>
  <c r="Y829" i="2"/>
  <c r="Y830" i="2"/>
  <c r="Y831" i="2"/>
  <c r="Z831" i="2" s="1"/>
  <c r="Y832" i="2"/>
  <c r="Z832" i="2" s="1"/>
  <c r="Y833" i="2"/>
  <c r="Y834" i="2"/>
  <c r="Z834" i="2" s="1"/>
  <c r="Y835" i="2"/>
  <c r="Z835" i="2" s="1"/>
  <c r="Y836" i="2"/>
  <c r="Y837" i="2"/>
  <c r="Z837" i="2" s="1"/>
  <c r="Y838" i="2"/>
  <c r="Z838" i="2" s="1"/>
  <c r="Y839" i="2"/>
  <c r="Z839" i="2" s="1"/>
  <c r="Y840" i="2"/>
  <c r="Z840" i="2" s="1"/>
  <c r="Y841" i="2"/>
  <c r="Z841" i="2" s="1"/>
  <c r="Y842" i="2"/>
  <c r="Z842" i="2" s="1"/>
  <c r="Y843" i="2"/>
  <c r="Z843" i="2" s="1"/>
  <c r="Y844" i="2"/>
  <c r="Z844" i="2" s="1"/>
  <c r="Y845" i="2"/>
  <c r="Z845" i="2" s="1"/>
  <c r="Y846" i="2"/>
  <c r="Z846" i="2" s="1"/>
  <c r="Y847" i="2"/>
  <c r="Z847" i="2" s="1"/>
  <c r="Y848" i="2"/>
  <c r="Z848" i="2" s="1"/>
  <c r="Y849" i="2"/>
  <c r="Z849" i="2" s="1"/>
  <c r="Y850" i="2"/>
  <c r="Z850" i="2" s="1"/>
  <c r="Y851" i="2"/>
  <c r="Z851" i="2" s="1"/>
  <c r="Y852" i="2"/>
  <c r="Y853" i="2"/>
  <c r="Y854" i="2"/>
  <c r="Z854" i="2" s="1"/>
  <c r="Y855" i="2"/>
  <c r="Z855" i="2" s="1"/>
  <c r="Y856" i="2"/>
  <c r="Z856" i="2" s="1"/>
  <c r="Y857" i="2"/>
  <c r="Z857" i="2" s="1"/>
  <c r="Y858" i="2"/>
  <c r="Z858" i="2" s="1"/>
  <c r="Y859" i="2"/>
  <c r="Z859" i="2" s="1"/>
  <c r="Y860" i="2"/>
  <c r="Z860" i="2" s="1"/>
  <c r="Y861" i="2"/>
  <c r="Z861" i="2" s="1"/>
  <c r="Y862" i="2"/>
  <c r="Z862" i="2" s="1"/>
  <c r="Y863" i="2"/>
  <c r="Z863" i="2" s="1"/>
  <c r="Y864" i="2"/>
  <c r="Y865" i="2"/>
  <c r="Y866" i="2"/>
  <c r="Y867" i="2"/>
  <c r="Z867" i="2" s="1"/>
  <c r="Y868" i="2"/>
  <c r="Z868" i="2" s="1"/>
  <c r="Y869" i="2"/>
  <c r="Y870" i="2"/>
  <c r="Z870" i="2" s="1"/>
  <c r="Y871" i="2"/>
  <c r="Z871" i="2" s="1"/>
  <c r="Y872" i="2"/>
  <c r="Z872" i="2" s="1"/>
  <c r="Y873" i="2"/>
  <c r="Z873" i="2" s="1"/>
  <c r="Y874" i="2"/>
  <c r="Z874" i="2" s="1"/>
  <c r="Y875" i="2"/>
  <c r="Z875" i="2" s="1"/>
  <c r="Y876" i="2"/>
  <c r="Z876" i="2" s="1"/>
  <c r="Y877" i="2"/>
  <c r="Y878" i="2"/>
  <c r="Y879" i="2"/>
  <c r="Z879" i="2" s="1"/>
  <c r="Y880" i="2"/>
  <c r="Z880" i="2" s="1"/>
  <c r="Y881" i="2"/>
  <c r="Y882" i="2"/>
  <c r="Z882" i="2" s="1"/>
  <c r="Y883" i="2"/>
  <c r="Z883" i="2" s="1"/>
  <c r="Y884" i="2"/>
  <c r="Y885" i="2"/>
  <c r="Y886" i="2"/>
  <c r="Y887" i="2"/>
  <c r="Z887" i="2" s="1"/>
  <c r="Y888" i="2"/>
  <c r="Z888" i="2" s="1"/>
  <c r="Y889" i="2"/>
  <c r="Z889" i="2" s="1"/>
  <c r="Y890" i="2"/>
  <c r="Z890" i="2" s="1"/>
  <c r="Y891" i="2"/>
  <c r="Z891" i="2" s="1"/>
  <c r="Y892" i="2"/>
  <c r="Z892" i="2" s="1"/>
  <c r="Y893" i="2"/>
  <c r="Z893" i="2" s="1"/>
  <c r="Y894" i="2"/>
  <c r="Z894" i="2" s="1"/>
  <c r="Y895" i="2"/>
  <c r="Z895" i="2" s="1"/>
  <c r="Y896" i="2"/>
  <c r="Y897" i="2"/>
  <c r="Z897" i="2" s="1"/>
  <c r="Y898" i="2"/>
  <c r="Z898" i="2" s="1"/>
  <c r="Y899" i="2"/>
  <c r="Z899" i="2" s="1"/>
  <c r="Y900" i="2"/>
  <c r="Y901" i="2"/>
  <c r="Y902" i="2"/>
  <c r="Z902" i="2" s="1"/>
  <c r="Y903" i="2"/>
  <c r="Z903" i="2" s="1"/>
  <c r="Y904" i="2"/>
  <c r="Z904" i="2" s="1"/>
  <c r="Y905" i="2"/>
  <c r="Z905" i="2" s="1"/>
  <c r="Y906" i="2"/>
  <c r="Z906" i="2" s="1"/>
  <c r="Y907" i="2"/>
  <c r="Z907" i="2" s="1"/>
  <c r="Y908" i="2"/>
  <c r="Z908" i="2" s="1"/>
  <c r="Y909" i="2"/>
  <c r="Z909" i="2" s="1"/>
  <c r="Y910" i="2"/>
  <c r="Z910" i="2" s="1"/>
  <c r="Y911" i="2"/>
  <c r="Z911" i="2" s="1"/>
  <c r="Y912" i="2"/>
  <c r="Y913" i="2"/>
  <c r="Y914" i="2"/>
  <c r="Y915" i="2"/>
  <c r="Z915" i="2" s="1"/>
  <c r="Y916" i="2"/>
  <c r="Z916" i="2" s="1"/>
  <c r="Y917" i="2"/>
  <c r="Z917" i="2" s="1"/>
  <c r="Y918" i="2"/>
  <c r="Z918" i="2" s="1"/>
  <c r="Y919" i="2"/>
  <c r="Z919" i="2" s="1"/>
  <c r="Y920" i="2"/>
  <c r="Z920" i="2" s="1"/>
  <c r="Y921" i="2"/>
  <c r="Z921" i="2" s="1"/>
  <c r="Y922" i="2"/>
  <c r="Z922" i="2" s="1"/>
  <c r="Y923" i="2"/>
  <c r="Z923" i="2" s="1"/>
  <c r="Y924" i="2"/>
  <c r="Z924" i="2" s="1"/>
  <c r="Y925" i="2"/>
  <c r="Y926" i="2"/>
  <c r="Y927" i="2"/>
  <c r="Z927" i="2" s="1"/>
  <c r="Y928" i="2"/>
  <c r="Z928" i="2" s="1"/>
  <c r="Y929" i="2"/>
  <c r="Z929" i="2" s="1"/>
  <c r="Y930" i="2"/>
  <c r="Z930" i="2" s="1"/>
  <c r="Y931" i="2"/>
  <c r="Z931" i="2" s="1"/>
  <c r="Y932" i="2"/>
  <c r="Y933" i="2"/>
  <c r="Y934" i="2"/>
  <c r="Z934" i="2" s="1"/>
  <c r="Y935" i="2"/>
  <c r="Z935" i="2" s="1"/>
  <c r="Y936" i="2"/>
  <c r="Z936" i="2" s="1"/>
  <c r="Y937" i="2"/>
  <c r="Z937" i="2" s="1"/>
  <c r="Y938" i="2"/>
  <c r="Z938" i="2" s="1"/>
  <c r="Y939" i="2"/>
  <c r="Z939" i="2" s="1"/>
  <c r="Y940" i="2"/>
  <c r="Z940" i="2" s="1"/>
  <c r="Y941" i="2"/>
  <c r="Z941" i="2" s="1"/>
  <c r="Y942" i="2"/>
  <c r="Z942" i="2" s="1"/>
  <c r="Y943" i="2"/>
  <c r="Z943" i="2" s="1"/>
  <c r="Y944" i="2"/>
  <c r="Y945" i="2"/>
  <c r="Y946" i="2"/>
  <c r="Z946" i="2" s="1"/>
  <c r="Y947" i="2"/>
  <c r="Z947" i="2" s="1"/>
  <c r="Y948" i="2"/>
  <c r="Y949" i="2"/>
  <c r="Y950" i="2"/>
  <c r="Z950" i="2" s="1"/>
  <c r="Y951" i="2"/>
  <c r="Z951" i="2" s="1"/>
  <c r="Y952" i="2"/>
  <c r="Z952" i="2" s="1"/>
  <c r="Y953" i="2"/>
  <c r="Z953" i="2" s="1"/>
  <c r="Y954" i="2"/>
  <c r="Z954" i="2" s="1"/>
  <c r="Y955" i="2"/>
  <c r="Z955" i="2" s="1"/>
  <c r="Y956" i="2"/>
  <c r="Z956" i="2" s="1"/>
  <c r="Y957" i="2"/>
  <c r="Z957" i="2" s="1"/>
  <c r="Y958" i="2"/>
  <c r="Z958" i="2" s="1"/>
  <c r="Y959" i="2"/>
  <c r="Z959" i="2" s="1"/>
  <c r="Y960" i="2"/>
  <c r="Y961" i="2"/>
  <c r="Y962" i="2"/>
  <c r="Y963" i="2"/>
  <c r="Y964" i="2"/>
  <c r="Z964" i="2" s="1"/>
  <c r="Y965" i="2"/>
  <c r="Y966" i="2"/>
  <c r="Z966" i="2" s="1"/>
  <c r="Y967" i="2"/>
  <c r="Z967" i="2" s="1"/>
  <c r="Y968" i="2"/>
  <c r="Z968" i="2" s="1"/>
  <c r="Y969" i="2"/>
  <c r="Z969" i="2" s="1"/>
  <c r="Y970" i="2"/>
  <c r="Z970" i="2" s="1"/>
  <c r="Y971" i="2"/>
  <c r="Z971" i="2" s="1"/>
  <c r="Y972" i="2"/>
  <c r="Y973" i="2"/>
  <c r="Y974" i="2"/>
  <c r="Y975" i="2"/>
  <c r="Y976" i="2"/>
  <c r="Z976" i="2" s="1"/>
  <c r="Y977" i="2"/>
  <c r="Z977" i="2" s="1"/>
  <c r="Y978" i="2"/>
  <c r="Z978" i="2" s="1"/>
  <c r="Y979" i="2"/>
  <c r="Z979" i="2" s="1"/>
  <c r="Y980" i="2"/>
  <c r="Z980" i="2" s="1"/>
  <c r="Y981" i="2"/>
  <c r="Z981" i="2" s="1"/>
  <c r="Y982" i="2"/>
  <c r="Z982" i="2" s="1"/>
  <c r="Y983" i="2"/>
  <c r="Z983" i="2" s="1"/>
  <c r="Y984" i="2"/>
  <c r="Y985" i="2"/>
  <c r="Y986" i="2"/>
  <c r="Y987" i="2"/>
  <c r="Y988" i="2"/>
  <c r="Z988" i="2" s="1"/>
  <c r="Y989" i="2"/>
  <c r="Y990" i="2"/>
  <c r="Y991" i="2"/>
  <c r="Z991" i="2" s="1"/>
  <c r="Y992" i="2"/>
  <c r="Z992" i="2" s="1"/>
  <c r="Y993" i="2"/>
  <c r="Z993" i="2" s="1"/>
  <c r="Y994" i="2"/>
  <c r="Z994" i="2" s="1"/>
  <c r="Y995" i="2"/>
  <c r="Z995" i="2" s="1"/>
  <c r="Y996" i="2"/>
  <c r="Z996" i="2" s="1"/>
  <c r="Y997" i="2"/>
  <c r="Y998" i="2"/>
  <c r="Y999" i="2"/>
  <c r="Y1000" i="2"/>
  <c r="Z1000" i="2" s="1"/>
  <c r="Y1001" i="2"/>
  <c r="Z1001" i="2" s="1"/>
  <c r="Y1002" i="2"/>
  <c r="Z1002" i="2" s="1"/>
  <c r="Y1003" i="2"/>
  <c r="Z1003" i="2" s="1"/>
  <c r="Y1004" i="2"/>
  <c r="Y1005" i="2"/>
  <c r="Z1005" i="2" s="1"/>
  <c r="Y1006" i="2"/>
  <c r="Z1006" i="2" s="1"/>
  <c r="Y1007" i="2"/>
  <c r="Z1007" i="2" s="1"/>
  <c r="Y1008" i="2"/>
  <c r="Z1008" i="2" s="1"/>
  <c r="Y1009" i="2"/>
  <c r="Z1009" i="2" s="1"/>
  <c r="Y1010" i="2"/>
  <c r="Y1011" i="2"/>
  <c r="Y1012" i="2"/>
  <c r="Z1012" i="2" s="1"/>
  <c r="Y1013" i="2"/>
  <c r="Y1014" i="2"/>
  <c r="Y1015" i="2"/>
  <c r="Z1015" i="2" s="1"/>
  <c r="Y1016" i="2"/>
  <c r="Y1017" i="2"/>
  <c r="Z1017" i="2" s="1"/>
  <c r="Y1018" i="2"/>
  <c r="Z1018" i="2" s="1"/>
  <c r="Y1019" i="2"/>
  <c r="Z1019" i="2" s="1"/>
  <c r="Y1020" i="2"/>
  <c r="Z1020" i="2" s="1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</calcChain>
</file>

<file path=xl/sharedStrings.xml><?xml version="1.0" encoding="utf-8"?>
<sst xmlns="http://schemas.openxmlformats.org/spreadsheetml/2006/main" count="29579" uniqueCount="3745">
  <si>
    <t>Order Date</t>
  </si>
  <si>
    <t>Ship Date</t>
  </si>
  <si>
    <t>Customer ID</t>
  </si>
  <si>
    <t>Customer Name</t>
  </si>
  <si>
    <t>Gender</t>
  </si>
  <si>
    <t>Age</t>
  </si>
  <si>
    <t>City</t>
  </si>
  <si>
    <t>State</t>
  </si>
  <si>
    <t>Product ID</t>
  </si>
  <si>
    <t>Category</t>
  </si>
  <si>
    <t>Sub Category</t>
  </si>
  <si>
    <t>Product Name</t>
  </si>
  <si>
    <t>Brand</t>
  </si>
  <si>
    <t>Quantity</t>
  </si>
  <si>
    <t>Unit Price</t>
  </si>
  <si>
    <t>Discount %</t>
  </si>
  <si>
    <t>Cost</t>
  </si>
  <si>
    <t>Payment Mode</t>
  </si>
  <si>
    <t>Order Status</t>
  </si>
  <si>
    <t>Shipping Mode</t>
  </si>
  <si>
    <t>Delivery Days</t>
  </si>
  <si>
    <t>Quarter</t>
  </si>
  <si>
    <t>Year</t>
  </si>
  <si>
    <t>ORD00001</t>
  </si>
  <si>
    <t>C3873</t>
  </si>
  <si>
    <t>Male</t>
  </si>
  <si>
    <t>P444</t>
  </si>
  <si>
    <t>Beauty</t>
  </si>
  <si>
    <t>Skincare</t>
  </si>
  <si>
    <t>Face Wash</t>
  </si>
  <si>
    <t>Nivea</t>
  </si>
  <si>
    <t>COD</t>
  </si>
  <si>
    <t>Returned</t>
  </si>
  <si>
    <t>Standard</t>
  </si>
  <si>
    <t>Q1</t>
  </si>
  <si>
    <t>ORD00002</t>
  </si>
  <si>
    <t>C7239</t>
  </si>
  <si>
    <t>P225</t>
  </si>
  <si>
    <t>Fashion</t>
  </si>
  <si>
    <t>Shirt</t>
  </si>
  <si>
    <t>Polo</t>
  </si>
  <si>
    <t>Puma</t>
  </si>
  <si>
    <t>Credit Card</t>
  </si>
  <si>
    <t>Cancelled</t>
  </si>
  <si>
    <t>Express</t>
  </si>
  <si>
    <t>Q3</t>
  </si>
  <si>
    <t>ORD00003</t>
  </si>
  <si>
    <t>C4974</t>
  </si>
  <si>
    <t>P954</t>
  </si>
  <si>
    <t>Q2</t>
  </si>
  <si>
    <t>ORD00004</t>
  </si>
  <si>
    <t>C5072</t>
  </si>
  <si>
    <t>Female</t>
  </si>
  <si>
    <t>P414</t>
  </si>
  <si>
    <t>Sports</t>
  </si>
  <si>
    <t>Fitness</t>
  </si>
  <si>
    <t>Yoga Mat</t>
  </si>
  <si>
    <t>Decathlon</t>
  </si>
  <si>
    <t>Debit Card</t>
  </si>
  <si>
    <t>ORD00005</t>
  </si>
  <si>
    <t>C2414</t>
  </si>
  <si>
    <t>P160</t>
  </si>
  <si>
    <t>Delivered</t>
  </si>
  <si>
    <t>ORD00006</t>
  </si>
  <si>
    <t>C5062</t>
  </si>
  <si>
    <t>P393</t>
  </si>
  <si>
    <t>Home</t>
  </si>
  <si>
    <t>Kitchen</t>
  </si>
  <si>
    <t>Mixer</t>
  </si>
  <si>
    <t>Philips</t>
  </si>
  <si>
    <t>Wallet</t>
  </si>
  <si>
    <t>Pending</t>
  </si>
  <si>
    <t>ORD00007</t>
  </si>
  <si>
    <t>C2899</t>
  </si>
  <si>
    <t>P787</t>
  </si>
  <si>
    <t>Same Day</t>
  </si>
  <si>
    <t>ORD00008</t>
  </si>
  <si>
    <t>C5582</t>
  </si>
  <si>
    <t>P897</t>
  </si>
  <si>
    <t>ORD00009</t>
  </si>
  <si>
    <t>C5931</t>
  </si>
  <si>
    <t>P259</t>
  </si>
  <si>
    <t>ORD00010</t>
  </si>
  <si>
    <t>C7304</t>
  </si>
  <si>
    <t>P691</t>
  </si>
  <si>
    <t>ORD00011</t>
  </si>
  <si>
    <t>C6637</t>
  </si>
  <si>
    <t>P497</t>
  </si>
  <si>
    <t>ORD00012</t>
  </si>
  <si>
    <t>C7119</t>
  </si>
  <si>
    <t>P165</t>
  </si>
  <si>
    <t>ORD00013</t>
  </si>
  <si>
    <t>C5491</t>
  </si>
  <si>
    <t>P919</t>
  </si>
  <si>
    <t>Q4</t>
  </si>
  <si>
    <t>ORD00014</t>
  </si>
  <si>
    <t>C7673</t>
  </si>
  <si>
    <t>P357</t>
  </si>
  <si>
    <t>Electronics</t>
  </si>
  <si>
    <t>Mobile</t>
  </si>
  <si>
    <t>Galaxy A55</t>
  </si>
  <si>
    <t>Samsung</t>
  </si>
  <si>
    <t>ORD00015</t>
  </si>
  <si>
    <t>C4301</t>
  </si>
  <si>
    <t>P902</t>
  </si>
  <si>
    <t>ORD00016</t>
  </si>
  <si>
    <t>C5335</t>
  </si>
  <si>
    <t>P674</t>
  </si>
  <si>
    <t>ORD00017</t>
  </si>
  <si>
    <t>C6532</t>
  </si>
  <si>
    <t>P924</t>
  </si>
  <si>
    <t>ORD00018</t>
  </si>
  <si>
    <t>C7166</t>
  </si>
  <si>
    <t>P398</t>
  </si>
  <si>
    <t>Furniture</t>
  </si>
  <si>
    <t>Chair</t>
  </si>
  <si>
    <t>IKEA</t>
  </si>
  <si>
    <t>UPI</t>
  </si>
  <si>
    <t>ORD00019</t>
  </si>
  <si>
    <t>C3936</t>
  </si>
  <si>
    <t>Grocery</t>
  </si>
  <si>
    <t>Snacks</t>
  </si>
  <si>
    <t>Biscuits</t>
  </si>
  <si>
    <t>Britannia</t>
  </si>
  <si>
    <t>ORD00020</t>
  </si>
  <si>
    <t>C3618</t>
  </si>
  <si>
    <t>P932</t>
  </si>
  <si>
    <t>Laptop</t>
  </si>
  <si>
    <t>Inspiron</t>
  </si>
  <si>
    <t>Dell</t>
  </si>
  <si>
    <t>ORD00021</t>
  </si>
  <si>
    <t>C8642</t>
  </si>
  <si>
    <t>P125</t>
  </si>
  <si>
    <t>ORD00022</t>
  </si>
  <si>
    <t>C9290</t>
  </si>
  <si>
    <t>P793</t>
  </si>
  <si>
    <t>ORD00023</t>
  </si>
  <si>
    <t>C1341</t>
  </si>
  <si>
    <t>P819</t>
  </si>
  <si>
    <t>Shoes</t>
  </si>
  <si>
    <t>Runner</t>
  </si>
  <si>
    <t>Nike</t>
  </si>
  <si>
    <t>ORD00024</t>
  </si>
  <si>
    <t>C3359</t>
  </si>
  <si>
    <t>P804</t>
  </si>
  <si>
    <t>ORD00025</t>
  </si>
  <si>
    <t>C3148</t>
  </si>
  <si>
    <t>P503</t>
  </si>
  <si>
    <t>ORD00026</t>
  </si>
  <si>
    <t>C5003</t>
  </si>
  <si>
    <t>P343</t>
  </si>
  <si>
    <t>ORD00027</t>
  </si>
  <si>
    <t>C6717</t>
  </si>
  <si>
    <t>P630</t>
  </si>
  <si>
    <t>ORD00028</t>
  </si>
  <si>
    <t>C4703</t>
  </si>
  <si>
    <t>P634</t>
  </si>
  <si>
    <t>ORD00029</t>
  </si>
  <si>
    <t>C5041</t>
  </si>
  <si>
    <t>P577</t>
  </si>
  <si>
    <t>ORD00030</t>
  </si>
  <si>
    <t>C5040</t>
  </si>
  <si>
    <t>P732</t>
  </si>
  <si>
    <t>ORD00031</t>
  </si>
  <si>
    <t>C7886</t>
  </si>
  <si>
    <t>P479</t>
  </si>
  <si>
    <t>ORD00032</t>
  </si>
  <si>
    <t>C5755</t>
  </si>
  <si>
    <t>P517</t>
  </si>
  <si>
    <t>ORD00033</t>
  </si>
  <si>
    <t>C9553</t>
  </si>
  <si>
    <t>P227</t>
  </si>
  <si>
    <t>ORD00034</t>
  </si>
  <si>
    <t>C9792</t>
  </si>
  <si>
    <t>P453</t>
  </si>
  <si>
    <t>ORD00035</t>
  </si>
  <si>
    <t>C6215</t>
  </si>
  <si>
    <t>P870</t>
  </si>
  <si>
    <t>ORD00036</t>
  </si>
  <si>
    <t>C1088</t>
  </si>
  <si>
    <t>P802</t>
  </si>
  <si>
    <t>ORD00037</t>
  </si>
  <si>
    <t>C4844</t>
  </si>
  <si>
    <t>P756</t>
  </si>
  <si>
    <t>ORD00038</t>
  </si>
  <si>
    <t>C8467</t>
  </si>
  <si>
    <t>P161</t>
  </si>
  <si>
    <t>ORD00039</t>
  </si>
  <si>
    <t>C6566</t>
  </si>
  <si>
    <t>P651</t>
  </si>
  <si>
    <t>ORD00040</t>
  </si>
  <si>
    <t>C4502</t>
  </si>
  <si>
    <t>P296</t>
  </si>
  <si>
    <t>ORD00041</t>
  </si>
  <si>
    <t>C8509</t>
  </si>
  <si>
    <t>P723</t>
  </si>
  <si>
    <t>ORD00042</t>
  </si>
  <si>
    <t>C8158</t>
  </si>
  <si>
    <t>P855</t>
  </si>
  <si>
    <t>ORD00043</t>
  </si>
  <si>
    <t>C4214</t>
  </si>
  <si>
    <t>P678</t>
  </si>
  <si>
    <t>ORD00044</t>
  </si>
  <si>
    <t>C5419</t>
  </si>
  <si>
    <t>P755</t>
  </si>
  <si>
    <t>ORD00045</t>
  </si>
  <si>
    <t>C7182</t>
  </si>
  <si>
    <t>P829</t>
  </si>
  <si>
    <t>ORD00046</t>
  </si>
  <si>
    <t>P149</t>
  </si>
  <si>
    <t>ORD00047</t>
  </si>
  <si>
    <t>P133</t>
  </si>
  <si>
    <t>ORD00048</t>
  </si>
  <si>
    <t>C7524</t>
  </si>
  <si>
    <t>P511</t>
  </si>
  <si>
    <t>ORD00049</t>
  </si>
  <si>
    <t>C9159</t>
  </si>
  <si>
    <t>P815</t>
  </si>
  <si>
    <t>ORD00050</t>
  </si>
  <si>
    <t>C2742</t>
  </si>
  <si>
    <t>P403</t>
  </si>
  <si>
    <t>ORD00051</t>
  </si>
  <si>
    <t>C9194</t>
  </si>
  <si>
    <t>P606</t>
  </si>
  <si>
    <t>ORD00052</t>
  </si>
  <si>
    <t>C8290</t>
  </si>
  <si>
    <t>P189</t>
  </si>
  <si>
    <t>ORD00053</t>
  </si>
  <si>
    <t>C8262</t>
  </si>
  <si>
    <t>P845</t>
  </si>
  <si>
    <t>ORD00054</t>
  </si>
  <si>
    <t>C7923</t>
  </si>
  <si>
    <t>P696</t>
  </si>
  <si>
    <t>ORD00055</t>
  </si>
  <si>
    <t>C7077</t>
  </si>
  <si>
    <t>P490</t>
  </si>
  <si>
    <t>ORD00056</t>
  </si>
  <si>
    <t>C4184</t>
  </si>
  <si>
    <t>P632</t>
  </si>
  <si>
    <t>ORD00057</t>
  </si>
  <si>
    <t>C9320</t>
  </si>
  <si>
    <t>P111</t>
  </si>
  <si>
    <t>ORD00058</t>
  </si>
  <si>
    <t>C3964</t>
  </si>
  <si>
    <t>P459</t>
  </si>
  <si>
    <t>ORD00059</t>
  </si>
  <si>
    <t>C2234</t>
  </si>
  <si>
    <t>P794</t>
  </si>
  <si>
    <t>ORD00060</t>
  </si>
  <si>
    <t>C6922</t>
  </si>
  <si>
    <t>P448</t>
  </si>
  <si>
    <t>ORD00061</t>
  </si>
  <si>
    <t>C3470</t>
  </si>
  <si>
    <t>ORD00062</t>
  </si>
  <si>
    <t>C7169</t>
  </si>
  <si>
    <t>P757</t>
  </si>
  <si>
    <t>ORD00063</t>
  </si>
  <si>
    <t>C2166</t>
  </si>
  <si>
    <t>P892</t>
  </si>
  <si>
    <t>ORD00064</t>
  </si>
  <si>
    <t>C5134</t>
  </si>
  <si>
    <t>P961</t>
  </si>
  <si>
    <t>ORD00065</t>
  </si>
  <si>
    <t>C7880</t>
  </si>
  <si>
    <t>P763</t>
  </si>
  <si>
    <t>ORD00066</t>
  </si>
  <si>
    <t>C6667</t>
  </si>
  <si>
    <t>P625</t>
  </si>
  <si>
    <t>ORD00067</t>
  </si>
  <si>
    <t>C8193</t>
  </si>
  <si>
    <t>P721</t>
  </si>
  <si>
    <t>ORD00068</t>
  </si>
  <si>
    <t>C9702</t>
  </si>
  <si>
    <t>P552</t>
  </si>
  <si>
    <t>ORD00069</t>
  </si>
  <si>
    <t>C9364</t>
  </si>
  <si>
    <t>P790</t>
  </si>
  <si>
    <t>ORD00070</t>
  </si>
  <si>
    <t>C6966</t>
  </si>
  <si>
    <t>P717</t>
  </si>
  <si>
    <t>ORD00071</t>
  </si>
  <si>
    <t>C6428</t>
  </si>
  <si>
    <t>P353</t>
  </si>
  <si>
    <t>ORD00072</t>
  </si>
  <si>
    <t>C4706</t>
  </si>
  <si>
    <t>P826</t>
  </si>
  <si>
    <t>ORD00073</t>
  </si>
  <si>
    <t>C5390</t>
  </si>
  <si>
    <t>P359</t>
  </si>
  <si>
    <t>ORD00074</t>
  </si>
  <si>
    <t>C8038</t>
  </si>
  <si>
    <t>P789</t>
  </si>
  <si>
    <t>ORD00075</t>
  </si>
  <si>
    <t>P356</t>
  </si>
  <si>
    <t>ORD00076</t>
  </si>
  <si>
    <t>C9903</t>
  </si>
  <si>
    <t>P176</t>
  </si>
  <si>
    <t>ORD00077</t>
  </si>
  <si>
    <t>C2634</t>
  </si>
  <si>
    <t>P660</t>
  </si>
  <si>
    <t>ORD00078</t>
  </si>
  <si>
    <t>C2137</t>
  </si>
  <si>
    <t>P543</t>
  </si>
  <si>
    <t>ORD00079</t>
  </si>
  <si>
    <t>C3674</t>
  </si>
  <si>
    <t>P223</t>
  </si>
  <si>
    <t>ORD00080</t>
  </si>
  <si>
    <t>C2954</t>
  </si>
  <si>
    <t>P984</t>
  </si>
  <si>
    <t>ORD00081</t>
  </si>
  <si>
    <t>C8864</t>
  </si>
  <si>
    <t>P248</t>
  </si>
  <si>
    <t>ORD00082</t>
  </si>
  <si>
    <t>C2685</t>
  </si>
  <si>
    <t>ORD00083</t>
  </si>
  <si>
    <t>C6364</t>
  </si>
  <si>
    <t>P995</t>
  </si>
  <si>
    <t>ORD00084</t>
  </si>
  <si>
    <t>C6326</t>
  </si>
  <si>
    <t>P485</t>
  </si>
  <si>
    <t>ORD00085</t>
  </si>
  <si>
    <t>C4913</t>
  </si>
  <si>
    <t>P816</t>
  </si>
  <si>
    <t>ORD00086</t>
  </si>
  <si>
    <t>C5164</t>
  </si>
  <si>
    <t>ORD00087</t>
  </si>
  <si>
    <t>C9233</t>
  </si>
  <si>
    <t>P535</t>
  </si>
  <si>
    <t>ORD00088</t>
  </si>
  <si>
    <t>C5521</t>
  </si>
  <si>
    <t>ORD00089</t>
  </si>
  <si>
    <t>C1038</t>
  </si>
  <si>
    <t>P853</t>
  </si>
  <si>
    <t>ORD00090</t>
  </si>
  <si>
    <t>C1000</t>
  </si>
  <si>
    <t>P454</t>
  </si>
  <si>
    <t>ORD00091</t>
  </si>
  <si>
    <t>C3108</t>
  </si>
  <si>
    <t>P885</t>
  </si>
  <si>
    <t>ORD00092</t>
  </si>
  <si>
    <t>C7213</t>
  </si>
  <si>
    <t>P480</t>
  </si>
  <si>
    <t>ORD00093</t>
  </si>
  <si>
    <t>C6249</t>
  </si>
  <si>
    <t>P482</t>
  </si>
  <si>
    <t>ORD00094</t>
  </si>
  <si>
    <t>C5246</t>
  </si>
  <si>
    <t>P623</t>
  </si>
  <si>
    <t>ORD00095</t>
  </si>
  <si>
    <t>C9481</t>
  </si>
  <si>
    <t>P104</t>
  </si>
  <si>
    <t>ORD00096</t>
  </si>
  <si>
    <t>C6516</t>
  </si>
  <si>
    <t>P476</t>
  </si>
  <si>
    <t>ORD00097</t>
  </si>
  <si>
    <t>C1634</t>
  </si>
  <si>
    <t>P232</t>
  </si>
  <si>
    <t>ORD00098</t>
  </si>
  <si>
    <t>C4858</t>
  </si>
  <si>
    <t>P976</t>
  </si>
  <si>
    <t>ORD00099</t>
  </si>
  <si>
    <t>C7168</t>
  </si>
  <si>
    <t>P210</t>
  </si>
  <si>
    <t>ORD00100</t>
  </si>
  <si>
    <t>C9522</t>
  </si>
  <si>
    <t>P828</t>
  </si>
  <si>
    <t>ORD00101</t>
  </si>
  <si>
    <t>C9744</t>
  </si>
  <si>
    <t>P604</t>
  </si>
  <si>
    <t>ORD00102</t>
  </si>
  <si>
    <t>C9889</t>
  </si>
  <si>
    <t>P785</t>
  </si>
  <si>
    <t>ORD00103</t>
  </si>
  <si>
    <t>C2823</t>
  </si>
  <si>
    <t>ORD00104</t>
  </si>
  <si>
    <t>C3116</t>
  </si>
  <si>
    <t>P110</t>
  </si>
  <si>
    <t>ORD00105</t>
  </si>
  <si>
    <t>C2903</t>
  </si>
  <si>
    <t>P576</t>
  </si>
  <si>
    <t>ORD00106</t>
  </si>
  <si>
    <t>C8011</t>
  </si>
  <si>
    <t>P250</t>
  </si>
  <si>
    <t>ORD00107</t>
  </si>
  <si>
    <t>C3402</t>
  </si>
  <si>
    <t>P977</t>
  </si>
  <si>
    <t>ORD00108</t>
  </si>
  <si>
    <t>C5900</t>
  </si>
  <si>
    <t>P230</t>
  </si>
  <si>
    <t>ORD00109</t>
  </si>
  <si>
    <t>C2312</t>
  </si>
  <si>
    <t>P554</t>
  </si>
  <si>
    <t>ORD00110</t>
  </si>
  <si>
    <t>C4825</t>
  </si>
  <si>
    <t>P587</t>
  </si>
  <si>
    <t>ORD00111</t>
  </si>
  <si>
    <t>C1465</t>
  </si>
  <si>
    <t>P944</t>
  </si>
  <si>
    <t>ORD00112</t>
  </si>
  <si>
    <t>C1346</t>
  </si>
  <si>
    <t>P550</t>
  </si>
  <si>
    <t>ORD00113</t>
  </si>
  <si>
    <t>C5486</t>
  </si>
  <si>
    <t>P350</t>
  </si>
  <si>
    <t>ORD00114</t>
  </si>
  <si>
    <t>C3152</t>
  </si>
  <si>
    <t>P957</t>
  </si>
  <si>
    <t>ORD00115</t>
  </si>
  <si>
    <t>C5079</t>
  </si>
  <si>
    <t>P746</t>
  </si>
  <si>
    <t>ORD00116</t>
  </si>
  <si>
    <t>C2315</t>
  </si>
  <si>
    <t>ORD00117</t>
  </si>
  <si>
    <t>C7042</t>
  </si>
  <si>
    <t>P858</t>
  </si>
  <si>
    <t>ORD00118</t>
  </si>
  <si>
    <t>C1118</t>
  </si>
  <si>
    <t>P570</t>
  </si>
  <si>
    <t>ORD00119</t>
  </si>
  <si>
    <t>C5634</t>
  </si>
  <si>
    <t>P730</t>
  </si>
  <si>
    <t>ORD00120</t>
  </si>
  <si>
    <t>C8914</t>
  </si>
  <si>
    <t>ORD00121</t>
  </si>
  <si>
    <t>C6746</t>
  </si>
  <si>
    <t>P108</t>
  </si>
  <si>
    <t>ORD00122</t>
  </si>
  <si>
    <t>C9547</t>
  </si>
  <si>
    <t>P464</t>
  </si>
  <si>
    <t>ORD00123</t>
  </si>
  <si>
    <t>C9053</t>
  </si>
  <si>
    <t>P177</t>
  </si>
  <si>
    <t>ORD00124</t>
  </si>
  <si>
    <t>C3262</t>
  </si>
  <si>
    <t>P752</t>
  </si>
  <si>
    <t>ORD00125</t>
  </si>
  <si>
    <t>C2808</t>
  </si>
  <si>
    <t>P143</t>
  </si>
  <si>
    <t>ORD00126</t>
  </si>
  <si>
    <t>C8574</t>
  </si>
  <si>
    <t>P527</t>
  </si>
  <si>
    <t>ORD00127</t>
  </si>
  <si>
    <t>C2658</t>
  </si>
  <si>
    <t>P962</t>
  </si>
  <si>
    <t>ORD00128</t>
  </si>
  <si>
    <t>C5991</t>
  </si>
  <si>
    <t>P384</t>
  </si>
  <si>
    <t>ORD00129</t>
  </si>
  <si>
    <t>C2146</t>
  </si>
  <si>
    <t>P261</t>
  </si>
  <si>
    <t>ORD00130</t>
  </si>
  <si>
    <t>C4815</t>
  </si>
  <si>
    <t>P920</t>
  </si>
  <si>
    <t>ORD00131</t>
  </si>
  <si>
    <t>C3531</t>
  </si>
  <si>
    <t>P783</t>
  </si>
  <si>
    <t>ORD00132</t>
  </si>
  <si>
    <t>C8102</t>
  </si>
  <si>
    <t>P613</t>
  </si>
  <si>
    <t>ORD00133</t>
  </si>
  <si>
    <t>C5568</t>
  </si>
  <si>
    <t>P475</t>
  </si>
  <si>
    <t>ORD00134</t>
  </si>
  <si>
    <t>C1816</t>
  </si>
  <si>
    <t>P561</t>
  </si>
  <si>
    <t>ORD00135</t>
  </si>
  <si>
    <t>C9416</t>
  </si>
  <si>
    <t>P701</t>
  </si>
  <si>
    <t>ORD00136</t>
  </si>
  <si>
    <t>C5765</t>
  </si>
  <si>
    <t>P814</t>
  </si>
  <si>
    <t>ORD00137</t>
  </si>
  <si>
    <t>C5953</t>
  </si>
  <si>
    <t>P126</t>
  </si>
  <si>
    <t>ORD00138</t>
  </si>
  <si>
    <t>C7054</t>
  </si>
  <si>
    <t>P981</t>
  </si>
  <si>
    <t>ORD00139</t>
  </si>
  <si>
    <t>C3319</t>
  </si>
  <si>
    <t>P252</t>
  </si>
  <si>
    <t>ORD00140</t>
  </si>
  <si>
    <t>C6559</t>
  </si>
  <si>
    <t>ORD00141</t>
  </si>
  <si>
    <t>C6325</t>
  </si>
  <si>
    <t>P773</t>
  </si>
  <si>
    <t>ORD00142</t>
  </si>
  <si>
    <t>C1447</t>
  </si>
  <si>
    <t>P628</t>
  </si>
  <si>
    <t>ORD00143</t>
  </si>
  <si>
    <t>C3118</t>
  </si>
  <si>
    <t>P411</t>
  </si>
  <si>
    <t>ORD00144</t>
  </si>
  <si>
    <t>C8300</t>
  </si>
  <si>
    <t>P847</t>
  </si>
  <si>
    <t>ORD00145</t>
  </si>
  <si>
    <t>C4482</t>
  </si>
  <si>
    <t>P835</t>
  </si>
  <si>
    <t>ORD00146</t>
  </si>
  <si>
    <t>C5766</t>
  </si>
  <si>
    <t>P518</t>
  </si>
  <si>
    <t>ORD00147</t>
  </si>
  <si>
    <t>C9907</t>
  </si>
  <si>
    <t>ORD00148</t>
  </si>
  <si>
    <t>C1167</t>
  </si>
  <si>
    <t>ORD00149</t>
  </si>
  <si>
    <t>C6049</t>
  </si>
  <si>
    <t>P895</t>
  </si>
  <si>
    <t>ORD00150</t>
  </si>
  <si>
    <t>C3455</t>
  </si>
  <si>
    <t>P547</t>
  </si>
  <si>
    <t>ORD00151</t>
  </si>
  <si>
    <t>C2403</t>
  </si>
  <si>
    <t>P251</t>
  </si>
  <si>
    <t>ORD00152</t>
  </si>
  <si>
    <t>C7952</t>
  </si>
  <si>
    <t>P800</t>
  </si>
  <si>
    <t>ORD00153</t>
  </si>
  <si>
    <t>C4061</t>
  </si>
  <si>
    <t>P293</t>
  </si>
  <si>
    <t>ORD00154</t>
  </si>
  <si>
    <t>C5129</t>
  </si>
  <si>
    <t>P127</t>
  </si>
  <si>
    <t>ORD00155</t>
  </si>
  <si>
    <t>C6704</t>
  </si>
  <si>
    <t>ORD00156</t>
  </si>
  <si>
    <t>C4633</t>
  </si>
  <si>
    <t>P688</t>
  </si>
  <si>
    <t>ORD00157</t>
  </si>
  <si>
    <t>C7951</t>
  </si>
  <si>
    <t>P361</t>
  </si>
  <si>
    <t>ORD00158</t>
  </si>
  <si>
    <t>C1393</t>
  </si>
  <si>
    <t>P619</t>
  </si>
  <si>
    <t>ORD00159</t>
  </si>
  <si>
    <t>C5824</t>
  </si>
  <si>
    <t>ORD00160</t>
  </si>
  <si>
    <t>C6265</t>
  </si>
  <si>
    <t>P241</t>
  </si>
  <si>
    <t>ORD00161</t>
  </si>
  <si>
    <t>C7663</t>
  </si>
  <si>
    <t>P592</t>
  </si>
  <si>
    <t>ORD00162</t>
  </si>
  <si>
    <t>C8015</t>
  </si>
  <si>
    <t>P473</t>
  </si>
  <si>
    <t>ORD00163</t>
  </si>
  <si>
    <t>C8712</t>
  </si>
  <si>
    <t>P673</t>
  </si>
  <si>
    <t>ORD00164</t>
  </si>
  <si>
    <t>C8082</t>
  </si>
  <si>
    <t>P996</t>
  </si>
  <si>
    <t>ORD00165</t>
  </si>
  <si>
    <t>C5565</t>
  </si>
  <si>
    <t>P383</t>
  </si>
  <si>
    <t>ORD00166</t>
  </si>
  <si>
    <t>C8473</t>
  </si>
  <si>
    <t>P474</t>
  </si>
  <si>
    <t>ORD00167</t>
  </si>
  <si>
    <t>C4924</t>
  </si>
  <si>
    <t>P590</t>
  </si>
  <si>
    <t>ORD00168</t>
  </si>
  <si>
    <t>C9235</t>
  </si>
  <si>
    <t>ORD00169</t>
  </si>
  <si>
    <t>C5738</t>
  </si>
  <si>
    <t>P505</t>
  </si>
  <si>
    <t>ORD00170</t>
  </si>
  <si>
    <t>C5577</t>
  </si>
  <si>
    <t>P608</t>
  </si>
  <si>
    <t>ORD00171</t>
  </si>
  <si>
    <t>C1756</t>
  </si>
  <si>
    <t>P779</t>
  </si>
  <si>
    <t>ORD00172</t>
  </si>
  <si>
    <t>C9905</t>
  </si>
  <si>
    <t>P368</t>
  </si>
  <si>
    <t>ORD00173</t>
  </si>
  <si>
    <t>C4629</t>
  </si>
  <si>
    <t>ORD00174</t>
  </si>
  <si>
    <t>C2741</t>
  </si>
  <si>
    <t>P676</t>
  </si>
  <si>
    <t>ORD00175</t>
  </si>
  <si>
    <t>C7501</t>
  </si>
  <si>
    <t>P478</t>
  </si>
  <si>
    <t>ORD00176</t>
  </si>
  <si>
    <t>C1827</t>
  </si>
  <si>
    <t>P327</t>
  </si>
  <si>
    <t>ORD00177</t>
  </si>
  <si>
    <t>C2589</t>
  </si>
  <si>
    <t>P626</t>
  </si>
  <si>
    <t>ORD00178</t>
  </si>
  <si>
    <t>C7204</t>
  </si>
  <si>
    <t>P197</t>
  </si>
  <si>
    <t>ORD00179</t>
  </si>
  <si>
    <t>C6886</t>
  </si>
  <si>
    <t>P146</t>
  </si>
  <si>
    <t>ORD00180</t>
  </si>
  <si>
    <t>C5537</t>
  </si>
  <si>
    <t>P371</t>
  </si>
  <si>
    <t>ORD00181</t>
  </si>
  <si>
    <t>C5613</t>
  </si>
  <si>
    <t>ORD00182</t>
  </si>
  <si>
    <t>C5443</t>
  </si>
  <si>
    <t>P115</t>
  </si>
  <si>
    <t>ORD00183</t>
  </si>
  <si>
    <t>C9359</t>
  </si>
  <si>
    <t>P351</t>
  </si>
  <si>
    <t>ORD00184</t>
  </si>
  <si>
    <t>C6818</t>
  </si>
  <si>
    <t>ORD00185</t>
  </si>
  <si>
    <t>C5640</t>
  </si>
  <si>
    <t>P573</t>
  </si>
  <si>
    <t>ORD00186</t>
  </si>
  <si>
    <t>C2994</t>
  </si>
  <si>
    <t>ORD00187</t>
  </si>
  <si>
    <t>C3384</t>
  </si>
  <si>
    <t>P170</t>
  </si>
  <si>
    <t>ORD00188</t>
  </si>
  <si>
    <t>C8030</t>
  </si>
  <si>
    <t>P565</t>
  </si>
  <si>
    <t>ORD00189</t>
  </si>
  <si>
    <t>C1512</t>
  </si>
  <si>
    <t>P390</t>
  </si>
  <si>
    <t>ORD00190</t>
  </si>
  <si>
    <t>C6387</t>
  </si>
  <si>
    <t>P185</t>
  </si>
  <si>
    <t>ORD00191</t>
  </si>
  <si>
    <t>C7430</t>
  </si>
  <si>
    <t>P469</t>
  </si>
  <si>
    <t>ORD00192</t>
  </si>
  <si>
    <t>C2531</t>
  </si>
  <si>
    <t>P426</t>
  </si>
  <si>
    <t>ORD00193</t>
  </si>
  <si>
    <t>C9915</t>
  </si>
  <si>
    <t>P171</t>
  </si>
  <si>
    <t>ORD00194</t>
  </si>
  <si>
    <t>C1895</t>
  </si>
  <si>
    <t>P421</t>
  </si>
  <si>
    <t>ORD00195</t>
  </si>
  <si>
    <t>C9385</t>
  </si>
  <si>
    <t>P682</t>
  </si>
  <si>
    <t>ORD00196</t>
  </si>
  <si>
    <t>C4218</t>
  </si>
  <si>
    <t>P958</t>
  </si>
  <si>
    <t>ORD00197</t>
  </si>
  <si>
    <t>C5464</t>
  </si>
  <si>
    <t>P501</t>
  </si>
  <si>
    <t>ORD00198</t>
  </si>
  <si>
    <t>C9489</t>
  </si>
  <si>
    <t>P566</t>
  </si>
  <si>
    <t>ORD00199</t>
  </si>
  <si>
    <t>C3971</t>
  </si>
  <si>
    <t>P181</t>
  </si>
  <si>
    <t>ORD00200</t>
  </si>
  <si>
    <t>C1680</t>
  </si>
  <si>
    <t>P596</t>
  </si>
  <si>
    <t>ORD00201</t>
  </si>
  <si>
    <t>C2925</t>
  </si>
  <si>
    <t>P825</t>
  </si>
  <si>
    <t>ORD00202</t>
  </si>
  <si>
    <t>C3088</t>
  </si>
  <si>
    <t>P246</t>
  </si>
  <si>
    <t>ORD00203</t>
  </si>
  <si>
    <t>C9441</t>
  </si>
  <si>
    <t>ORD00204</t>
  </si>
  <si>
    <t>C4380</t>
  </si>
  <si>
    <t>P427</t>
  </si>
  <si>
    <t>ORD00205</t>
  </si>
  <si>
    <t>C3122</t>
  </si>
  <si>
    <t>P415</t>
  </si>
  <si>
    <t>ORD00206</t>
  </si>
  <si>
    <t>C1870</t>
  </si>
  <si>
    <t>ORD00207</t>
  </si>
  <si>
    <t>C2087</t>
  </si>
  <si>
    <t>P710</t>
  </si>
  <si>
    <t>ORD00208</t>
  </si>
  <si>
    <t>C3859</t>
  </si>
  <si>
    <t>P529</t>
  </si>
  <si>
    <t>ORD00209</t>
  </si>
  <si>
    <t>C8478</t>
  </si>
  <si>
    <t>P294</t>
  </si>
  <si>
    <t>ORD00210</t>
  </si>
  <si>
    <t>C9614</t>
  </si>
  <si>
    <t>ORD00211</t>
  </si>
  <si>
    <t>C4715</t>
  </si>
  <si>
    <t>ORD00212</t>
  </si>
  <si>
    <t>C1501</t>
  </si>
  <si>
    <t>P295</t>
  </si>
  <si>
    <t>ORD00213</t>
  </si>
  <si>
    <t>C2256</t>
  </si>
  <si>
    <t>P287</t>
  </si>
  <si>
    <t>ORD00214</t>
  </si>
  <si>
    <t>C7587</t>
  </si>
  <si>
    <t>P192</t>
  </si>
  <si>
    <t>ORD00215</t>
  </si>
  <si>
    <t>C9109</t>
  </si>
  <si>
    <t>P778</t>
  </si>
  <si>
    <t>ORD00216</t>
  </si>
  <si>
    <t>C2941</t>
  </si>
  <si>
    <t>ORD00217</t>
  </si>
  <si>
    <t>C1831</t>
  </si>
  <si>
    <t>P908</t>
  </si>
  <si>
    <t>ORD00218</t>
  </si>
  <si>
    <t>P820</t>
  </si>
  <si>
    <t>ORD00219</t>
  </si>
  <si>
    <t>C7447</t>
  </si>
  <si>
    <t>P102</t>
  </si>
  <si>
    <t>ORD00220</t>
  </si>
  <si>
    <t>C9800</t>
  </si>
  <si>
    <t>P877</t>
  </si>
  <si>
    <t>ORD00221</t>
  </si>
  <si>
    <t>C1336</t>
  </si>
  <si>
    <t>P466</t>
  </si>
  <si>
    <t>ORD00222</t>
  </si>
  <si>
    <t>C4938</t>
  </si>
  <si>
    <t>P277</t>
  </si>
  <si>
    <t>ORD00223</t>
  </si>
  <si>
    <t>C8650</t>
  </si>
  <si>
    <t>ORD00224</t>
  </si>
  <si>
    <t>C4930</t>
  </si>
  <si>
    <t>P199</t>
  </si>
  <si>
    <t>ORD00225</t>
  </si>
  <si>
    <t>C5860</t>
  </si>
  <si>
    <t>P276</t>
  </si>
  <si>
    <t>ORD00226</t>
  </si>
  <si>
    <t>C5774</t>
  </si>
  <si>
    <t>P326</t>
  </si>
  <si>
    <t>ORD00227</t>
  </si>
  <si>
    <t>C6176</t>
  </si>
  <si>
    <t>ORD00228</t>
  </si>
  <si>
    <t>C3782</t>
  </si>
  <si>
    <t>P159</t>
  </si>
  <si>
    <t>ORD00229</t>
  </si>
  <si>
    <t>C3697</t>
  </si>
  <si>
    <t>P524</t>
  </si>
  <si>
    <t>ORD00230</t>
  </si>
  <si>
    <t>C5772</t>
  </si>
  <si>
    <t>P706</t>
  </si>
  <si>
    <t>ORD00231</t>
  </si>
  <si>
    <t>C3683</t>
  </si>
  <si>
    <t>ORD00232</t>
  </si>
  <si>
    <t>C4806</t>
  </si>
  <si>
    <t>P585</t>
  </si>
  <si>
    <t>ORD00233</t>
  </si>
  <si>
    <t>C5574</t>
  </si>
  <si>
    <t>P536</t>
  </si>
  <si>
    <t>ORD00234</t>
  </si>
  <si>
    <t>C4140</t>
  </si>
  <si>
    <t>P157</t>
  </si>
  <si>
    <t>ORD00235</t>
  </si>
  <si>
    <t>C8980</t>
  </si>
  <si>
    <t>ORD00236</t>
  </si>
  <si>
    <t>C1533</t>
  </si>
  <si>
    <t>ORD00237</t>
  </si>
  <si>
    <t>C6670</t>
  </si>
  <si>
    <t>P354</t>
  </si>
  <si>
    <t>ORD00238</t>
  </si>
  <si>
    <t>C6737</t>
  </si>
  <si>
    <t>P946</t>
  </si>
  <si>
    <t>ORD00239</t>
  </si>
  <si>
    <t>C7664</t>
  </si>
  <si>
    <t>P200</t>
  </si>
  <si>
    <t>ORD00240</t>
  </si>
  <si>
    <t>C8334</t>
  </si>
  <si>
    <t>P605</t>
  </si>
  <si>
    <t>ORD00241</t>
  </si>
  <si>
    <t>C6846</t>
  </si>
  <si>
    <t>P436</t>
  </si>
  <si>
    <t>ORD00242</t>
  </si>
  <si>
    <t>C2623</t>
  </si>
  <si>
    <t>ORD00243</t>
  </si>
  <si>
    <t>C2987</t>
  </si>
  <si>
    <t>ORD00244</t>
  </si>
  <si>
    <t>C2643</t>
  </si>
  <si>
    <t>P581</t>
  </si>
  <si>
    <t>ORD00245</t>
  </si>
  <si>
    <t>C8524</t>
  </si>
  <si>
    <t>P167</t>
  </si>
  <si>
    <t>ORD00246</t>
  </si>
  <si>
    <t>C3974</t>
  </si>
  <si>
    <t>P539</t>
  </si>
  <si>
    <t>ORD00247</t>
  </si>
  <si>
    <t>C7091</t>
  </si>
  <si>
    <t>P797</t>
  </si>
  <si>
    <t>ORD00248</t>
  </si>
  <si>
    <t>C8307</t>
  </si>
  <si>
    <t>P254</t>
  </si>
  <si>
    <t>ORD00249</t>
  </si>
  <si>
    <t>C7177</t>
  </si>
  <si>
    <t>ORD00250</t>
  </si>
  <si>
    <t>C7064</t>
  </si>
  <si>
    <t>P325</t>
  </si>
  <si>
    <t>ORD00251</t>
  </si>
  <si>
    <t>C1400</t>
  </si>
  <si>
    <t>P916</t>
  </si>
  <si>
    <t>ORD00252</t>
  </si>
  <si>
    <t>C2849</t>
  </si>
  <si>
    <t>P641</t>
  </si>
  <si>
    <t>ORD00253</t>
  </si>
  <si>
    <t>C6701</t>
  </si>
  <si>
    <t>P365</t>
  </si>
  <si>
    <t>ORD00254</t>
  </si>
  <si>
    <t>C3989</t>
  </si>
  <si>
    <t>ORD00255</t>
  </si>
  <si>
    <t>C1086</t>
  </si>
  <si>
    <t>P531</t>
  </si>
  <si>
    <t>ORD00256</t>
  </si>
  <si>
    <t>C9991</t>
  </si>
  <si>
    <t>P905</t>
  </si>
  <si>
    <t>ORD00257</t>
  </si>
  <si>
    <t>C5226</t>
  </si>
  <si>
    <t>P834</t>
  </si>
  <si>
    <t>ORD00258</t>
  </si>
  <si>
    <t>C1765</t>
  </si>
  <si>
    <t>ORD00259</t>
  </si>
  <si>
    <t>C9152</t>
  </si>
  <si>
    <t>ORD00260</t>
  </si>
  <si>
    <t>C4168</t>
  </si>
  <si>
    <t>P560</t>
  </si>
  <si>
    <t>ORD00261</t>
  </si>
  <si>
    <t>C1497</t>
  </si>
  <si>
    <t>P309</t>
  </si>
  <si>
    <t>ORD00262</t>
  </si>
  <si>
    <t>C5591</t>
  </si>
  <si>
    <t>P675</t>
  </si>
  <si>
    <t>ORD00263</t>
  </si>
  <si>
    <t>C7488</t>
  </si>
  <si>
    <t>P694</t>
  </si>
  <si>
    <t>ORD00264</t>
  </si>
  <si>
    <t>C5588</t>
  </si>
  <si>
    <t>ORD00265</t>
  </si>
  <si>
    <t>C9032</t>
  </si>
  <si>
    <t>P753</t>
  </si>
  <si>
    <t>ORD00266</t>
  </si>
  <si>
    <t>C6653</t>
  </si>
  <si>
    <t>P859</t>
  </si>
  <si>
    <t>ORD00267</t>
  </si>
  <si>
    <t>C4901</t>
  </si>
  <si>
    <t>ORD00268</t>
  </si>
  <si>
    <t>C6282</t>
  </si>
  <si>
    <t>ORD00269</t>
  </si>
  <si>
    <t>C9866</t>
  </si>
  <si>
    <t>ORD00270</t>
  </si>
  <si>
    <t>C8281</t>
  </si>
  <si>
    <t>P629</t>
  </si>
  <si>
    <t>ORD00271</t>
  </si>
  <si>
    <t>C4871</t>
  </si>
  <si>
    <t>ORD00272</t>
  </si>
  <si>
    <t>P624</t>
  </si>
  <si>
    <t>ORD00273</t>
  </si>
  <si>
    <t>C3904</t>
  </si>
  <si>
    <t>P162</t>
  </si>
  <si>
    <t>ORD00274</t>
  </si>
  <si>
    <t>C2760</t>
  </si>
  <si>
    <t>ORD00275</t>
  </si>
  <si>
    <t>C1604</t>
  </si>
  <si>
    <t>ORD00276</t>
  </si>
  <si>
    <t>C5602</t>
  </si>
  <si>
    <t>P917</t>
  </si>
  <si>
    <t>ORD00277</t>
  </si>
  <si>
    <t>ORD00278</t>
  </si>
  <si>
    <t>C3136</t>
  </si>
  <si>
    <t>P304</t>
  </si>
  <si>
    <t>ORD00279</t>
  </si>
  <si>
    <t>C1490</t>
  </si>
  <si>
    <t>P765</t>
  </si>
  <si>
    <t>ORD00280</t>
  </si>
  <si>
    <t>C5612</t>
  </si>
  <si>
    <t>P281</t>
  </si>
  <si>
    <t>ORD00281</t>
  </si>
  <si>
    <t>C1437</t>
  </si>
  <si>
    <t>P328</t>
  </si>
  <si>
    <t>ORD00282</t>
  </si>
  <si>
    <t>C1502</t>
  </si>
  <si>
    <t>P312</t>
  </si>
  <si>
    <t>ORD00283</t>
  </si>
  <si>
    <t>C9317</t>
  </si>
  <si>
    <t>P303</t>
  </si>
  <si>
    <t>ORD00284</t>
  </si>
  <si>
    <t>C5743</t>
  </si>
  <si>
    <t>P987</t>
  </si>
  <si>
    <t>ORD00285</t>
  </si>
  <si>
    <t>C3363</t>
  </si>
  <si>
    <t>P693</t>
  </si>
  <si>
    <t>ORD00286</t>
  </si>
  <si>
    <t>C3518</t>
  </si>
  <si>
    <t>P697</t>
  </si>
  <si>
    <t>ORD00287</t>
  </si>
  <si>
    <t>C9239</t>
  </si>
  <si>
    <t>P745</t>
  </si>
  <si>
    <t>ORD00288</t>
  </si>
  <si>
    <t>C4730</t>
  </si>
  <si>
    <t>P830</t>
  </si>
  <si>
    <t>ORD00289</t>
  </si>
  <si>
    <t>C6778</t>
  </si>
  <si>
    <t>P865</t>
  </si>
  <si>
    <t>ORD00290</t>
  </si>
  <si>
    <t>C9886</t>
  </si>
  <si>
    <t>ORD00291</t>
  </si>
  <si>
    <t>C1270</t>
  </si>
  <si>
    <t>ORD00292</t>
  </si>
  <si>
    <t>C6067</t>
  </si>
  <si>
    <t>P643</t>
  </si>
  <si>
    <t>ORD00293</t>
  </si>
  <si>
    <t>C7279</t>
  </si>
  <si>
    <t>P253</t>
  </si>
  <si>
    <t>ORD00294</t>
  </si>
  <si>
    <t>C4147</t>
  </si>
  <si>
    <t>ORD00295</t>
  </si>
  <si>
    <t>C3004</t>
  </si>
  <si>
    <t>P712</t>
  </si>
  <si>
    <t>ORD00296</t>
  </si>
  <si>
    <t>C9989</t>
  </si>
  <si>
    <t>P711</t>
  </si>
  <si>
    <t>ORD00297</t>
  </si>
  <si>
    <t>C3572</t>
  </si>
  <si>
    <t>ORD00298</t>
  </si>
  <si>
    <t>C7489</t>
  </si>
  <si>
    <t>P646</t>
  </si>
  <si>
    <t>ORD00299</t>
  </si>
  <si>
    <t>C1774</t>
  </si>
  <si>
    <t>ORD00300</t>
  </si>
  <si>
    <t>C7338</t>
  </si>
  <si>
    <t>P672</t>
  </si>
  <si>
    <t>ORD00301</t>
  </si>
  <si>
    <t>C1786</t>
  </si>
  <si>
    <t>ORD00302</t>
  </si>
  <si>
    <t>C5614</t>
  </si>
  <si>
    <t>P245</t>
  </si>
  <si>
    <t>ORD00303</t>
  </si>
  <si>
    <t>C7480</t>
  </si>
  <si>
    <t>ORD00304</t>
  </si>
  <si>
    <t>C7627</t>
  </si>
  <si>
    <t>ORD00305</t>
  </si>
  <si>
    <t>C7035</t>
  </si>
  <si>
    <t>ORD00306</t>
  </si>
  <si>
    <t>C9888</t>
  </si>
  <si>
    <t>P105</t>
  </si>
  <si>
    <t>ORD00307</t>
  </si>
  <si>
    <t>C6423</t>
  </si>
  <si>
    <t>ORD00308</t>
  </si>
  <si>
    <t>C8651</t>
  </si>
  <si>
    <t>P615</t>
  </si>
  <si>
    <t>ORD00309</t>
  </si>
  <si>
    <t>C9041</t>
  </si>
  <si>
    <t>P331</t>
  </si>
  <si>
    <t>ORD00310</t>
  </si>
  <si>
    <t>C1741</t>
  </si>
  <si>
    <t>P679</t>
  </si>
  <si>
    <t>ORD00311</t>
  </si>
  <si>
    <t>C9753</t>
  </si>
  <si>
    <t>P404</t>
  </si>
  <si>
    <t>ORD00312</t>
  </si>
  <si>
    <t>C5629</t>
  </si>
  <si>
    <t>P135</t>
  </si>
  <si>
    <t>ORD00313</t>
  </si>
  <si>
    <t>P278</t>
  </si>
  <si>
    <t>ORD00314</t>
  </si>
  <si>
    <t>C2118</t>
  </si>
  <si>
    <t>ORD00315</t>
  </si>
  <si>
    <t>C7788</t>
  </si>
  <si>
    <t>ORD00316</t>
  </si>
  <si>
    <t>C8211</t>
  </si>
  <si>
    <t>P463</t>
  </si>
  <si>
    <t>ORD00317</t>
  </si>
  <si>
    <t>C6915</t>
  </si>
  <si>
    <t>P720</t>
  </si>
  <si>
    <t>ORD00318</t>
  </si>
  <si>
    <t>C2491</t>
  </si>
  <si>
    <t>P945</t>
  </si>
  <si>
    <t>ORD00319</t>
  </si>
  <si>
    <t>C3820</t>
  </si>
  <si>
    <t>P994</t>
  </si>
  <si>
    <t>ORD00320</t>
  </si>
  <si>
    <t>C3339</t>
  </si>
  <si>
    <t>P215</t>
  </si>
  <si>
    <t>ORD00321</t>
  </si>
  <si>
    <t>C5803</t>
  </si>
  <si>
    <t>P515</t>
  </si>
  <si>
    <t>ORD00322</t>
  </si>
  <si>
    <t>C1381</t>
  </si>
  <si>
    <t>P665</t>
  </si>
  <si>
    <t>ORD00323</t>
  </si>
  <si>
    <t>P528</t>
  </si>
  <si>
    <t>ORD00324</t>
  </si>
  <si>
    <t>C1713</t>
  </si>
  <si>
    <t>P649</t>
  </si>
  <si>
    <t>ORD00325</t>
  </si>
  <si>
    <t>C5124</t>
  </si>
  <si>
    <t>P788</t>
  </si>
  <si>
    <t>ORD00326</t>
  </si>
  <si>
    <t>C8739</t>
  </si>
  <si>
    <t>P818</t>
  </si>
  <si>
    <t>ORD00327</t>
  </si>
  <si>
    <t>C9007</t>
  </si>
  <si>
    <t>P807</t>
  </si>
  <si>
    <t>ORD00328</t>
  </si>
  <si>
    <t>C7437</t>
  </si>
  <si>
    <t>ORD00329</t>
  </si>
  <si>
    <t>C5700</t>
  </si>
  <si>
    <t>P933</t>
  </si>
  <si>
    <t>ORD00330</t>
  </si>
  <si>
    <t>C1958</t>
  </si>
  <si>
    <t>P703</t>
  </si>
  <si>
    <t>ORD00331</t>
  </si>
  <si>
    <t>C7085</t>
  </si>
  <si>
    <t>ORD00332</t>
  </si>
  <si>
    <t>C8101</t>
  </si>
  <si>
    <t>P151</t>
  </si>
  <si>
    <t>ORD00333</t>
  </si>
  <si>
    <t>C1822</t>
  </si>
  <si>
    <t>ORD00334</t>
  </si>
  <si>
    <t>C1222</t>
  </si>
  <si>
    <t>P334</t>
  </si>
  <si>
    <t>ORD00335</t>
  </si>
  <si>
    <t>C5296</t>
  </si>
  <si>
    <t>P860</t>
  </si>
  <si>
    <t>ORD00336</t>
  </si>
  <si>
    <t>C8092</t>
  </si>
  <si>
    <t>ORD00337</t>
  </si>
  <si>
    <t>C5439</t>
  </si>
  <si>
    <t>ORD00338</t>
  </si>
  <si>
    <t>C3826</t>
  </si>
  <si>
    <t>ORD00339</t>
  </si>
  <si>
    <t>C5476</t>
  </si>
  <si>
    <t>P272</t>
  </si>
  <si>
    <t>ORD00340</t>
  </si>
  <si>
    <t>C5702</t>
  </si>
  <si>
    <t>ORD00341</t>
  </si>
  <si>
    <t>C3240</t>
  </si>
  <si>
    <t>ORD00342</t>
  </si>
  <si>
    <t>C7636</t>
  </si>
  <si>
    <t>P762</t>
  </si>
  <si>
    <t>ORD00343</t>
  </si>
  <si>
    <t>C2728</t>
  </si>
  <si>
    <t>P644</t>
  </si>
  <si>
    <t>ORD00344</t>
  </si>
  <si>
    <t>C9712</t>
  </si>
  <si>
    <t>P650</t>
  </si>
  <si>
    <t>ORD00345</t>
  </si>
  <si>
    <t>C5465</t>
  </si>
  <si>
    <t>P638</t>
  </si>
  <si>
    <t>ORD00346</t>
  </si>
  <si>
    <t>C7343</t>
  </si>
  <si>
    <t>P803</t>
  </si>
  <si>
    <t>ORD00347</t>
  </si>
  <si>
    <t>C1470</t>
  </si>
  <si>
    <t>P571</t>
  </si>
  <si>
    <t>ORD00348</t>
  </si>
  <si>
    <t>C7208</t>
  </si>
  <si>
    <t>P114</t>
  </si>
  <si>
    <t>ORD00349</t>
  </si>
  <si>
    <t>C7913</t>
  </si>
  <si>
    <t>ORD00350</t>
  </si>
  <si>
    <t>C8336</t>
  </si>
  <si>
    <t>P455</t>
  </si>
  <si>
    <t>ORD00351</t>
  </si>
  <si>
    <t>C1955</t>
  </si>
  <si>
    <t>P179</t>
  </si>
  <si>
    <t>ORD00352</t>
  </si>
  <si>
    <t>ORD00353</t>
  </si>
  <si>
    <t>C3943</t>
  </si>
  <si>
    <t>P960</t>
  </si>
  <si>
    <t>ORD00354</t>
  </si>
  <si>
    <t>C4846</t>
  </si>
  <si>
    <t>P801</t>
  </si>
  <si>
    <t>ORD00355</t>
  </si>
  <si>
    <t>C1469</t>
  </si>
  <si>
    <t>P993</t>
  </si>
  <si>
    <t>ORD00356</t>
  </si>
  <si>
    <t>C1967</t>
  </si>
  <si>
    <t>ORD00357</t>
  </si>
  <si>
    <t>C9921</t>
  </si>
  <si>
    <t>P689</t>
  </si>
  <si>
    <t>ORD00358</t>
  </si>
  <si>
    <t>C2413</t>
  </si>
  <si>
    <t>P545</t>
  </si>
  <si>
    <t>ORD00359</t>
  </si>
  <si>
    <t>C3949</t>
  </si>
  <si>
    <t>P131</t>
  </si>
  <si>
    <t>ORD00360</t>
  </si>
  <si>
    <t>C9768</t>
  </si>
  <si>
    <t>P555</t>
  </si>
  <si>
    <t>ORD00361</t>
  </si>
  <si>
    <t>C7688</t>
  </si>
  <si>
    <t>P969</t>
  </si>
  <si>
    <t>ORD00362</t>
  </si>
  <si>
    <t>P848</t>
  </si>
  <si>
    <t>ORD00363</t>
  </si>
  <si>
    <t>C5215</t>
  </si>
  <si>
    <t>P262</t>
  </si>
  <si>
    <t>ORD00364</t>
  </si>
  <si>
    <t>C3169</t>
  </si>
  <si>
    <t>P698</t>
  </si>
  <si>
    <t>ORD00365</t>
  </si>
  <si>
    <t>C9202</t>
  </si>
  <si>
    <t>P370</t>
  </si>
  <si>
    <t>ORD00366</t>
  </si>
  <si>
    <t>C5122</t>
  </si>
  <si>
    <t>P671</t>
  </si>
  <si>
    <t>ORD00367</t>
  </si>
  <si>
    <t>C2331</t>
  </si>
  <si>
    <t>P178</t>
  </si>
  <si>
    <t>ORD00368</t>
  </si>
  <si>
    <t>C4446</t>
  </si>
  <si>
    <t>ORD00369</t>
  </si>
  <si>
    <t>C2900</t>
  </si>
  <si>
    <t>ORD00370</t>
  </si>
  <si>
    <t>C3422</t>
  </si>
  <si>
    <t>P255</t>
  </si>
  <si>
    <t>ORD00371</t>
  </si>
  <si>
    <t>C5810</t>
  </si>
  <si>
    <t>P863</t>
  </si>
  <si>
    <t>ORD00372</t>
  </si>
  <si>
    <t>C6762</t>
  </si>
  <si>
    <t>ORD00373</t>
  </si>
  <si>
    <t>C5834</t>
  </si>
  <si>
    <t>P182</t>
  </si>
  <si>
    <t>ORD00374</t>
  </si>
  <si>
    <t>C8009</t>
  </si>
  <si>
    <t>P395</t>
  </si>
  <si>
    <t>ORD00375</t>
  </si>
  <si>
    <t>C9436</t>
  </si>
  <si>
    <t>ORD00376</t>
  </si>
  <si>
    <t>C6957</t>
  </si>
  <si>
    <t>P489</t>
  </si>
  <si>
    <t>ORD00377</t>
  </si>
  <si>
    <t>C6408</t>
  </si>
  <si>
    <t>ORD00378</t>
  </si>
  <si>
    <t>C1464</t>
  </si>
  <si>
    <t>P869</t>
  </si>
  <si>
    <t>ORD00379</t>
  </si>
  <si>
    <t>C5161</t>
  </si>
  <si>
    <t>P997</t>
  </si>
  <si>
    <t>ORD00380</t>
  </si>
  <si>
    <t>C8520</t>
  </si>
  <si>
    <t>ORD00381</t>
  </si>
  <si>
    <t>C9776</t>
  </si>
  <si>
    <t>P222</t>
  </si>
  <si>
    <t>ORD00382</t>
  </si>
  <si>
    <t>C3813</t>
  </si>
  <si>
    <t>P839</t>
  </si>
  <si>
    <t>ORD00383</t>
  </si>
  <si>
    <t>C2886</t>
  </si>
  <si>
    <t>ORD00384</t>
  </si>
  <si>
    <t>C8435</t>
  </si>
  <si>
    <t>P923</t>
  </si>
  <si>
    <t>ORD00385</t>
  </si>
  <si>
    <t>C8126</t>
  </si>
  <si>
    <t>P655</t>
  </si>
  <si>
    <t>ORD00386</t>
  </si>
  <si>
    <t>C8846</t>
  </si>
  <si>
    <t>P172</t>
  </si>
  <si>
    <t>ORD00387</t>
  </si>
  <si>
    <t>C2247</t>
  </si>
  <si>
    <t>P158</t>
  </si>
  <si>
    <t>ORD00388</t>
  </si>
  <si>
    <t>C9848</t>
  </si>
  <si>
    <t>P202</t>
  </si>
  <si>
    <t>ORD00389</t>
  </si>
  <si>
    <t>C2958</t>
  </si>
  <si>
    <t>P152</t>
  </si>
  <si>
    <t>ORD00390</t>
  </si>
  <si>
    <t>C1111</t>
  </si>
  <si>
    <t>P597</t>
  </si>
  <si>
    <t>ORD00391</t>
  </si>
  <si>
    <t>C8197</t>
  </si>
  <si>
    <t>P777</t>
  </si>
  <si>
    <t>ORD00392</t>
  </si>
  <si>
    <t>C4077</t>
  </si>
  <si>
    <t>P461</t>
  </si>
  <si>
    <t>ORD00393</t>
  </si>
  <si>
    <t>C3976</t>
  </si>
  <si>
    <t>ORD00394</t>
  </si>
  <si>
    <t>C5831</t>
  </si>
  <si>
    <t>P799</t>
  </si>
  <si>
    <t>ORD00395</t>
  </si>
  <si>
    <t>C8783</t>
  </si>
  <si>
    <t>P226</t>
  </si>
  <si>
    <t>ORD00396</t>
  </si>
  <si>
    <t>C6565</t>
  </si>
  <si>
    <t>ORD00397</t>
  </si>
  <si>
    <t>C2430</t>
  </si>
  <si>
    <t>P775</t>
  </si>
  <si>
    <t>ORD00398</t>
  </si>
  <si>
    <t>C8729</t>
  </si>
  <si>
    <t>P467</t>
  </si>
  <si>
    <t>ORD00399</t>
  </si>
  <si>
    <t>P513</t>
  </si>
  <si>
    <t>ORD00400</t>
  </si>
  <si>
    <t>C8250</t>
  </si>
  <si>
    <t>P563</t>
  </si>
  <si>
    <t>ORD00401</t>
  </si>
  <si>
    <t>C1544</t>
  </si>
  <si>
    <t>ORD00402</t>
  </si>
  <si>
    <t>C2513</t>
  </si>
  <si>
    <t>P951</t>
  </si>
  <si>
    <t>ORD00403</t>
  </si>
  <si>
    <t>C6865</t>
  </si>
  <si>
    <t>P288</t>
  </si>
  <si>
    <t>ORD00404</t>
  </si>
  <si>
    <t>C5904</t>
  </si>
  <si>
    <t>ORD00405</t>
  </si>
  <si>
    <t>C7892</t>
  </si>
  <si>
    <t>P184</t>
  </si>
  <si>
    <t>ORD00406</t>
  </si>
  <si>
    <t>C6945</t>
  </si>
  <si>
    <t>ORD00407</t>
  </si>
  <si>
    <t>C8208</t>
  </si>
  <si>
    <t>P378</t>
  </si>
  <si>
    <t>ORD00408</t>
  </si>
  <si>
    <t>C6828</t>
  </si>
  <si>
    <t>P965</t>
  </si>
  <si>
    <t>ORD00409</t>
  </si>
  <si>
    <t>C2854</t>
  </si>
  <si>
    <t>P616</t>
  </si>
  <si>
    <t>ORD00410</t>
  </si>
  <si>
    <t>C1160</t>
  </si>
  <si>
    <t>ORD00411</t>
  </si>
  <si>
    <t>C1514</t>
  </si>
  <si>
    <t>ORD00412</t>
  </si>
  <si>
    <t>C9707</t>
  </si>
  <si>
    <t>P339</t>
  </si>
  <si>
    <t>ORD00413</t>
  </si>
  <si>
    <t>C1319</t>
  </si>
  <si>
    <t>P168</t>
  </si>
  <si>
    <t>ORD00414</t>
  </si>
  <si>
    <t>C6708</t>
  </si>
  <si>
    <t>P810</t>
  </si>
  <si>
    <t>ORD00415</t>
  </si>
  <si>
    <t>C9116</t>
  </si>
  <si>
    <t>P906</t>
  </si>
  <si>
    <t>ORD00416</t>
  </si>
  <si>
    <t>C7791</t>
  </si>
  <si>
    <t>ORD00417</t>
  </si>
  <si>
    <t>C3077</t>
  </si>
  <si>
    <t>P292</t>
  </si>
  <si>
    <t>ORD00418</t>
  </si>
  <si>
    <t>C4631</t>
  </si>
  <si>
    <t>P990</t>
  </si>
  <si>
    <t>ORD00419</t>
  </si>
  <si>
    <t>C8790</t>
  </si>
  <si>
    <t>P568</t>
  </si>
  <si>
    <t>ORD00420</t>
  </si>
  <si>
    <t>C4330</t>
  </si>
  <si>
    <t>P468</t>
  </si>
  <si>
    <t>ORD00421</t>
  </si>
  <si>
    <t>C7148</t>
  </si>
  <si>
    <t>P805</t>
  </si>
  <si>
    <t>ORD00422</t>
  </si>
  <si>
    <t>C1040</t>
  </si>
  <si>
    <t>P164</t>
  </si>
  <si>
    <t>ORD00423</t>
  </si>
  <si>
    <t>P959</t>
  </si>
  <si>
    <t>ORD00424</t>
  </si>
  <si>
    <t>C4117</t>
  </si>
  <si>
    <t>P123</t>
  </si>
  <si>
    <t>ORD00425</t>
  </si>
  <si>
    <t>ORD00426</t>
  </si>
  <si>
    <t>C1887</t>
  </si>
  <si>
    <t>P385</t>
  </si>
  <si>
    <t>ORD00427</t>
  </si>
  <si>
    <t>C3982</t>
  </si>
  <si>
    <t>P496</t>
  </si>
  <si>
    <t>ORD00428</t>
  </si>
  <si>
    <t>C4183</t>
  </si>
  <si>
    <t>ORD00429</t>
  </si>
  <si>
    <t>C7028</t>
  </si>
  <si>
    <t>P999</t>
  </si>
  <si>
    <t>ORD00430</t>
  </si>
  <si>
    <t>C4079</t>
  </si>
  <si>
    <t>P236</t>
  </si>
  <si>
    <t>ORD00431</t>
  </si>
  <si>
    <t>C1355</t>
  </si>
  <si>
    <t>P950</t>
  </si>
  <si>
    <t>ORD00432</t>
  </si>
  <si>
    <t>C2316</t>
  </si>
  <si>
    <t>P891</t>
  </si>
  <si>
    <t>ORD00433</t>
  </si>
  <si>
    <t>C7226</t>
  </si>
  <si>
    <t>P786</t>
  </si>
  <si>
    <t>ORD00434</t>
  </si>
  <si>
    <t>C1564</t>
  </si>
  <si>
    <t>ORD00435</t>
  </si>
  <si>
    <t>C8259</t>
  </si>
  <si>
    <t>P456</t>
  </si>
  <si>
    <t>ORD00436</t>
  </si>
  <si>
    <t>C9089</t>
  </si>
  <si>
    <t>ORD00437</t>
  </si>
  <si>
    <t>C7826</t>
  </si>
  <si>
    <t>P894</t>
  </si>
  <si>
    <t>ORD00438</t>
  </si>
  <si>
    <t>C9660</t>
  </si>
  <si>
    <t>ORD00439</t>
  </si>
  <si>
    <t>C4384</t>
  </si>
  <si>
    <t>P280</t>
  </si>
  <si>
    <t>ORD00440</t>
  </si>
  <si>
    <t>C7706</t>
  </si>
  <si>
    <t>P166</t>
  </si>
  <si>
    <t>ORD00441</t>
  </si>
  <si>
    <t>C2174</t>
  </si>
  <si>
    <t>P875</t>
  </si>
  <si>
    <t>ORD00442</t>
  </si>
  <si>
    <t>C6827</t>
  </si>
  <si>
    <t>P718</t>
  </si>
  <si>
    <t>ORD00443</t>
  </si>
  <si>
    <t>C4743</t>
  </si>
  <si>
    <t>P445</t>
  </si>
  <si>
    <t>ORD00444</t>
  </si>
  <si>
    <t>C8928</t>
  </si>
  <si>
    <t>P709</t>
  </si>
  <si>
    <t>ORD00445</t>
  </si>
  <si>
    <t>C2193</t>
  </si>
  <si>
    <t>ORD00446</t>
  </si>
  <si>
    <t>C7864</t>
  </si>
  <si>
    <t>P617</t>
  </si>
  <si>
    <t>ORD00447</t>
  </si>
  <si>
    <t>C9603</t>
  </si>
  <si>
    <t>P372</t>
  </si>
  <si>
    <t>ORD00448</t>
  </si>
  <si>
    <t>C9565</t>
  </si>
  <si>
    <t>ORD00449</t>
  </si>
  <si>
    <t>C3034</t>
  </si>
  <si>
    <t>P355</t>
  </si>
  <si>
    <t>ORD00450</t>
  </si>
  <si>
    <t>ORD00451</t>
  </si>
  <si>
    <t>C7512</t>
  </si>
  <si>
    <t>P113</t>
  </si>
  <si>
    <t>ORD00452</t>
  </si>
  <si>
    <t>C2865</t>
  </si>
  <si>
    <t>P180</t>
  </si>
  <si>
    <t>ORD00453</t>
  </si>
  <si>
    <t>C4332</t>
  </si>
  <si>
    <t>ORD00454</t>
  </si>
  <si>
    <t>C3385</t>
  </si>
  <si>
    <t>ORD00455</t>
  </si>
  <si>
    <t>C8351</t>
  </si>
  <si>
    <t>ORD00456</t>
  </si>
  <si>
    <t>C6471</t>
  </si>
  <si>
    <t>P739</t>
  </si>
  <si>
    <t>ORD00457</t>
  </si>
  <si>
    <t>C2655</t>
  </si>
  <si>
    <t>P748</t>
  </si>
  <si>
    <t>ORD00458</t>
  </si>
  <si>
    <t>C6266</t>
  </si>
  <si>
    <t>ORD00459</t>
  </si>
  <si>
    <t>C4698</t>
  </si>
  <si>
    <t>P700</t>
  </si>
  <si>
    <t>ORD00460</t>
  </si>
  <si>
    <t>C4297</t>
  </si>
  <si>
    <t>ORD00461</t>
  </si>
  <si>
    <t>C6353</t>
  </si>
  <si>
    <t>ORD00462</t>
  </si>
  <si>
    <t>C4430</t>
  </si>
  <si>
    <t>P307</t>
  </si>
  <si>
    <t>ORD00463</t>
  </si>
  <si>
    <t>C1662</t>
  </si>
  <si>
    <t>ORD00464</t>
  </si>
  <si>
    <t>C4279</t>
  </si>
  <si>
    <t>P743</t>
  </si>
  <si>
    <t>ORD00465</t>
  </si>
  <si>
    <t>C7024</t>
  </si>
  <si>
    <t>P669</t>
  </si>
  <si>
    <t>ORD00466</t>
  </si>
  <si>
    <t>C6627</t>
  </si>
  <si>
    <t>P704</t>
  </si>
  <si>
    <t>ORD00467</t>
  </si>
  <si>
    <t>C3607</t>
  </si>
  <si>
    <t>ORD00468</t>
  </si>
  <si>
    <t>C4644</t>
  </si>
  <si>
    <t>P205</t>
  </si>
  <si>
    <t>ORD00469</t>
  </si>
  <si>
    <t>C9646</t>
  </si>
  <si>
    <t>P727</t>
  </si>
  <si>
    <t>ORD00470</t>
  </si>
  <si>
    <t>P888</t>
  </si>
  <si>
    <t>ORD00471</t>
  </si>
  <si>
    <t>C4385</t>
  </si>
  <si>
    <t>P770</t>
  </si>
  <si>
    <t>ORD00472</t>
  </si>
  <si>
    <t>C2858</t>
  </si>
  <si>
    <t>ORD00473</t>
  </si>
  <si>
    <t>C1577</t>
  </si>
  <si>
    <t>P147</t>
  </si>
  <si>
    <t>ORD00474</t>
  </si>
  <si>
    <t>C9976</t>
  </si>
  <si>
    <t>P243</t>
  </si>
  <si>
    <t>ORD00475</t>
  </si>
  <si>
    <t>C4921</t>
  </si>
  <si>
    <t>P538</t>
  </si>
  <si>
    <t>ORD00476</t>
  </si>
  <si>
    <t>C7056</t>
  </si>
  <si>
    <t>P141</t>
  </si>
  <si>
    <t>ORD00477</t>
  </si>
  <si>
    <t>C8328</t>
  </si>
  <si>
    <t>ORD00478</t>
  </si>
  <si>
    <t>C4452</t>
  </si>
  <si>
    <t>P163</t>
  </si>
  <si>
    <t>ORD00479</t>
  </si>
  <si>
    <t>C6389</t>
  </si>
  <si>
    <t>ORD00480</t>
  </si>
  <si>
    <t>ORD00481</t>
  </si>
  <si>
    <t>C9607</t>
  </si>
  <si>
    <t>P407</t>
  </si>
  <si>
    <t>ORD00482</t>
  </si>
  <si>
    <t>C5523</t>
  </si>
  <si>
    <t>P948</t>
  </si>
  <si>
    <t>ORD00483</t>
  </si>
  <si>
    <t>C3129</t>
  </si>
  <si>
    <t>P833</t>
  </si>
  <si>
    <t>ORD00484</t>
  </si>
  <si>
    <t>C4051</t>
  </si>
  <si>
    <t>ORD00485</t>
  </si>
  <si>
    <t>C3364</t>
  </si>
  <si>
    <t>P708</t>
  </si>
  <si>
    <t>ORD00486</t>
  </si>
  <si>
    <t>C2804</t>
  </si>
  <si>
    <t>ORD00487</t>
  </si>
  <si>
    <t>C7393</t>
  </si>
  <si>
    <t>ORD00488</t>
  </si>
  <si>
    <t>C3876</t>
  </si>
  <si>
    <t>ORD00489</t>
  </si>
  <si>
    <t>C7413</t>
  </si>
  <si>
    <t>P653</t>
  </si>
  <si>
    <t>ORD00490</t>
  </si>
  <si>
    <t>C3372</t>
  </si>
  <si>
    <t>ORD00491</t>
  </si>
  <si>
    <t>C8257</t>
  </si>
  <si>
    <t>ORD00492</t>
  </si>
  <si>
    <t>C8189</t>
  </si>
  <si>
    <t>ORD00493</t>
  </si>
  <si>
    <t>C3156</t>
  </si>
  <si>
    <t>P405</t>
  </si>
  <si>
    <t>ORD00494</t>
  </si>
  <si>
    <t>C7833</t>
  </si>
  <si>
    <t>P798</t>
  </si>
  <si>
    <t>ORD00495</t>
  </si>
  <si>
    <t>C9600</t>
  </si>
  <si>
    <t>P521</t>
  </si>
  <si>
    <t>ORD00496</t>
  </si>
  <si>
    <t>C6068</t>
  </si>
  <si>
    <t>P340</t>
  </si>
  <si>
    <t>ORD00497</t>
  </si>
  <si>
    <t>C5938</t>
  </si>
  <si>
    <t>ORD00498</t>
  </si>
  <si>
    <t>C4505</t>
  </si>
  <si>
    <t>P379</t>
  </si>
  <si>
    <t>ORD00499</t>
  </si>
  <si>
    <t>C5836</t>
  </si>
  <si>
    <t>P504</t>
  </si>
  <si>
    <t>ORD00500</t>
  </si>
  <si>
    <t>C9857</t>
  </si>
  <si>
    <t>P380</t>
  </si>
  <si>
    <t>ORD00501</t>
  </si>
  <si>
    <t>ORD00502</t>
  </si>
  <si>
    <t>ORD00503</t>
  </si>
  <si>
    <t>C2597</t>
  </si>
  <si>
    <t>P423</t>
  </si>
  <si>
    <t>ORD00504</t>
  </si>
  <si>
    <t>C2389</t>
  </si>
  <si>
    <t>P575</t>
  </si>
  <si>
    <t>ORD00505</t>
  </si>
  <si>
    <t>C2122</t>
  </si>
  <si>
    <t>P240</t>
  </si>
  <si>
    <t>ORD00506</t>
  </si>
  <si>
    <t>C6011</t>
  </si>
  <si>
    <t>P594</t>
  </si>
  <si>
    <t>ORD00507</t>
  </si>
  <si>
    <t>ORD00508</t>
  </si>
  <si>
    <t>C1983</t>
  </si>
  <si>
    <t>ORD00509</t>
  </si>
  <si>
    <t>C9142</t>
  </si>
  <si>
    <t>P899</t>
  </si>
  <si>
    <t>ORD00510</t>
  </si>
  <si>
    <t>C7438</t>
  </si>
  <si>
    <t>P622</t>
  </si>
  <si>
    <t>ORD00511</t>
  </si>
  <si>
    <t>C5805</t>
  </si>
  <si>
    <t>ORD00512</t>
  </si>
  <si>
    <t>C6805</t>
  </si>
  <si>
    <t>P220</t>
  </si>
  <si>
    <t>ORD00513</t>
  </si>
  <si>
    <t>C6527</t>
  </si>
  <si>
    <t>ORD00514</t>
  </si>
  <si>
    <t>C3489</t>
  </si>
  <si>
    <t>P335</t>
  </si>
  <si>
    <t>ORD00515</t>
  </si>
  <si>
    <t>C2463</t>
  </si>
  <si>
    <t>P451</t>
  </si>
  <si>
    <t>ORD00516</t>
  </si>
  <si>
    <t>C4357</t>
  </si>
  <si>
    <t>ORD00517</t>
  </si>
  <si>
    <t>C3417</t>
  </si>
  <si>
    <t>ORD00518</t>
  </si>
  <si>
    <t>C4835</t>
  </si>
  <si>
    <t>ORD00519</t>
  </si>
  <si>
    <t>C6039</t>
  </si>
  <si>
    <t>P609</t>
  </si>
  <si>
    <t>ORD00520</t>
  </si>
  <si>
    <t>C7479</t>
  </si>
  <si>
    <t>P207</t>
  </si>
  <si>
    <t>ORD00521</t>
  </si>
  <si>
    <t>C2466</t>
  </si>
  <si>
    <t>P301</t>
  </si>
  <si>
    <t>ORD00522</t>
  </si>
  <si>
    <t>C6650</t>
  </si>
  <si>
    <t>ORD00523</t>
  </si>
  <si>
    <t>C9613</t>
  </si>
  <si>
    <t>P337</t>
  </si>
  <si>
    <t>ORD00524</t>
  </si>
  <si>
    <t>C8673</t>
  </si>
  <si>
    <t>P784</t>
  </si>
  <si>
    <t>ORD00525</t>
  </si>
  <si>
    <t>C4600</t>
  </si>
  <si>
    <t>P953</t>
  </si>
  <si>
    <t>ORD00526</t>
  </si>
  <si>
    <t>C9432</t>
  </si>
  <si>
    <t>P509</t>
  </si>
  <si>
    <t>ORD00527</t>
  </si>
  <si>
    <t>C7332</t>
  </si>
  <si>
    <t>ORD00528</t>
  </si>
  <si>
    <t>C1893</t>
  </si>
  <si>
    <t>P139</t>
  </si>
  <si>
    <t>ORD00529</t>
  </si>
  <si>
    <t>C1255</t>
  </si>
  <si>
    <t>P347</t>
  </si>
  <si>
    <t>ORD00530</t>
  </si>
  <si>
    <t>C1377</t>
  </si>
  <si>
    <t>P542</t>
  </si>
  <si>
    <t>ORD00531</t>
  </si>
  <si>
    <t>C5160</t>
  </si>
  <si>
    <t>P435</t>
  </si>
  <si>
    <t>ORD00532</t>
  </si>
  <si>
    <t>C5180</t>
  </si>
  <si>
    <t>P155</t>
  </si>
  <si>
    <t>ORD00533</t>
  </si>
  <si>
    <t>C4861</t>
  </si>
  <si>
    <t>ORD00534</t>
  </si>
  <si>
    <t>C4137</t>
  </si>
  <si>
    <t>P614</t>
  </si>
  <si>
    <t>ORD00535</t>
  </si>
  <si>
    <t>C2340</t>
  </si>
  <si>
    <t>ORD00536</t>
  </si>
  <si>
    <t>C8604</t>
  </si>
  <si>
    <t>P749</t>
  </si>
  <si>
    <t>ORD00537</t>
  </si>
  <si>
    <t>C7971</t>
  </si>
  <si>
    <t>ORD00538</t>
  </si>
  <si>
    <t>C8404</t>
  </si>
  <si>
    <t>P244</t>
  </si>
  <si>
    <t>ORD00539</t>
  </si>
  <si>
    <t>C8784</t>
  </si>
  <si>
    <t>P493</t>
  </si>
  <si>
    <t>ORD00540</t>
  </si>
  <si>
    <t>C2452</t>
  </si>
  <si>
    <t>P726</t>
  </si>
  <si>
    <t>ORD00541</t>
  </si>
  <si>
    <t>C8341</t>
  </si>
  <si>
    <t>ORD00542</t>
  </si>
  <si>
    <t>C2529</t>
  </si>
  <si>
    <t>P400</t>
  </si>
  <si>
    <t>ORD00543</t>
  </si>
  <si>
    <t>C8295</t>
  </si>
  <si>
    <t>P647</t>
  </si>
  <si>
    <t>ORD00544</t>
  </si>
  <si>
    <t>C7173</t>
  </si>
  <si>
    <t>ORD00545</t>
  </si>
  <si>
    <t>C5239</t>
  </si>
  <si>
    <t>P817</t>
  </si>
  <si>
    <t>ORD00546</t>
  </si>
  <si>
    <t>C2028</t>
  </si>
  <si>
    <t>ORD00547</t>
  </si>
  <si>
    <t>C8484</t>
  </si>
  <si>
    <t>ORD00548</t>
  </si>
  <si>
    <t>C5518</t>
  </si>
  <si>
    <t>P754</t>
  </si>
  <si>
    <t>ORD00549</t>
  </si>
  <si>
    <t>C3612</t>
  </si>
  <si>
    <t>ORD00550</t>
  </si>
  <si>
    <t>C6142</t>
  </si>
  <si>
    <t>ORD00551</t>
  </si>
  <si>
    <t>C2190</t>
  </si>
  <si>
    <t>ORD00552</t>
  </si>
  <si>
    <t>C2335</t>
  </si>
  <si>
    <t>ORD00553</t>
  </si>
  <si>
    <t>C5699</t>
  </si>
  <si>
    <t>P516</t>
  </si>
  <si>
    <t>ORD00554</t>
  </si>
  <si>
    <t>C4490</t>
  </si>
  <si>
    <t>ORD00555</t>
  </si>
  <si>
    <t>P140</t>
  </si>
  <si>
    <t>ORD00556</t>
  </si>
  <si>
    <t>C8107</t>
  </si>
  <si>
    <t>ORD00557</t>
  </si>
  <si>
    <t>C3598</t>
  </si>
  <si>
    <t>P836</t>
  </si>
  <si>
    <t>ORD00558</t>
  </si>
  <si>
    <t>C7723</t>
  </si>
  <si>
    <t>ORD00559</t>
  </si>
  <si>
    <t>C2216</t>
  </si>
  <si>
    <t>P483</t>
  </si>
  <si>
    <t>ORD00560</t>
  </si>
  <si>
    <t>C6929</t>
  </si>
  <si>
    <t>P640</t>
  </si>
  <si>
    <t>ORD00561</t>
  </si>
  <si>
    <t>C7394</t>
  </si>
  <si>
    <t>P684</t>
  </si>
  <si>
    <t>ORD00562</t>
  </si>
  <si>
    <t>C9581</t>
  </si>
  <si>
    <t>ORD00563</t>
  </si>
  <si>
    <t>C5158</t>
  </si>
  <si>
    <t>ORD00564</t>
  </si>
  <si>
    <t>C3588</t>
  </si>
  <si>
    <t>P234</t>
  </si>
  <si>
    <t>ORD00565</t>
  </si>
  <si>
    <t>C9947</t>
  </si>
  <si>
    <t>ORD00566</t>
  </si>
  <si>
    <t>C9409</t>
  </si>
  <si>
    <t>P937</t>
  </si>
  <si>
    <t>ORD00567</t>
  </si>
  <si>
    <t>C5865</t>
  </si>
  <si>
    <t>P910</t>
  </si>
  <si>
    <t>ORD00568</t>
  </si>
  <si>
    <t>C2168</t>
  </si>
  <si>
    <t>ORD00569</t>
  </si>
  <si>
    <t>C3369</t>
  </si>
  <si>
    <t>ORD00570</t>
  </si>
  <si>
    <t>C8593</t>
  </si>
  <si>
    <t>ORD00571</t>
  </si>
  <si>
    <t>C8562</t>
  </si>
  <si>
    <t>ORD00572</t>
  </si>
  <si>
    <t>C7032</t>
  </si>
  <si>
    <t>ORD00573</t>
  </si>
  <si>
    <t>C1243</t>
  </si>
  <si>
    <t>ORD00574</t>
  </si>
  <si>
    <t>C8640</t>
  </si>
  <si>
    <t>ORD00575</t>
  </si>
  <si>
    <t>C7518</t>
  </si>
  <si>
    <t>ORD00576</t>
  </si>
  <si>
    <t>C3760</t>
  </si>
  <si>
    <t>P812</t>
  </si>
  <si>
    <t>ORD00577</t>
  </si>
  <si>
    <t>C2363</t>
  </si>
  <si>
    <t>ORD00578</t>
  </si>
  <si>
    <t>C7414</t>
  </si>
  <si>
    <t>P603</t>
  </si>
  <si>
    <t>ORD00579</t>
  </si>
  <si>
    <t>C3923</t>
  </si>
  <si>
    <t>P235</t>
  </si>
  <si>
    <t>ORD00580</t>
  </si>
  <si>
    <t>C4071</t>
  </si>
  <si>
    <t>ORD00581</t>
  </si>
  <si>
    <t>C1948</t>
  </si>
  <si>
    <t>ORD00582</t>
  </si>
  <si>
    <t>C4770</t>
  </si>
  <si>
    <t>ORD00583</t>
  </si>
  <si>
    <t>C4654</t>
  </si>
  <si>
    <t>P980</t>
  </si>
  <si>
    <t>ORD00584</t>
  </si>
  <si>
    <t>C6130</t>
  </si>
  <si>
    <t>ORD00585</t>
  </si>
  <si>
    <t>C6968</t>
  </si>
  <si>
    <t>ORD00586</t>
  </si>
  <si>
    <t>C3131</t>
  </si>
  <si>
    <t>P247</t>
  </si>
  <si>
    <t>ORD00587</t>
  </si>
  <si>
    <t>P692</t>
  </si>
  <si>
    <t>ORD00588</t>
  </si>
  <si>
    <t>C7772</t>
  </si>
  <si>
    <t>P735</t>
  </si>
  <si>
    <t>ORD00589</t>
  </si>
  <si>
    <t>C1761</t>
  </si>
  <si>
    <t>P537</t>
  </si>
  <si>
    <t>ORD00590</t>
  </si>
  <si>
    <t>C2907</t>
  </si>
  <si>
    <t>P940</t>
  </si>
  <si>
    <t>ORD00591</t>
  </si>
  <si>
    <t>C8297</t>
  </si>
  <si>
    <t>P690</t>
  </si>
  <si>
    <t>ORD00592</t>
  </si>
  <si>
    <t>C4785</t>
  </si>
  <si>
    <t>ORD00593</t>
  </si>
  <si>
    <t>C1042</t>
  </si>
  <si>
    <t>ORD00594</t>
  </si>
  <si>
    <t>P992</t>
  </si>
  <si>
    <t>ORD00595</t>
  </si>
  <si>
    <t>C5133</t>
  </si>
  <si>
    <t>P271</t>
  </si>
  <si>
    <t>ORD00596</t>
  </si>
  <si>
    <t>C2960</t>
  </si>
  <si>
    <t>ORD00597</t>
  </si>
  <si>
    <t>C9046</t>
  </si>
  <si>
    <t>P183</t>
  </si>
  <si>
    <t>ORD00598</t>
  </si>
  <si>
    <t>C1998</t>
  </si>
  <si>
    <t>P737</t>
  </si>
  <si>
    <t>ORD00599</t>
  </si>
  <si>
    <t>C4373</t>
  </si>
  <si>
    <t>P657</t>
  </si>
  <si>
    <t>ORD00600</t>
  </si>
  <si>
    <t>C3888</t>
  </si>
  <si>
    <t>ORD00601</t>
  </si>
  <si>
    <t>C5250</t>
  </si>
  <si>
    <t>P438</t>
  </si>
  <si>
    <t>ORD00602</t>
  </si>
  <si>
    <t>C4068</t>
  </si>
  <si>
    <t>P116</t>
  </si>
  <si>
    <t>ORD00603</t>
  </si>
  <si>
    <t>C6370</t>
  </si>
  <si>
    <t>ORD00604</t>
  </si>
  <si>
    <t>C2650</t>
  </si>
  <si>
    <t>ORD00605</t>
  </si>
  <si>
    <t>C9831</t>
  </si>
  <si>
    <t>ORD00606</t>
  </si>
  <si>
    <t>C4857</t>
  </si>
  <si>
    <t>P736</t>
  </si>
  <si>
    <t>ORD00607</t>
  </si>
  <si>
    <t>C2438</t>
  </si>
  <si>
    <t>P911</t>
  </si>
  <si>
    <t>ORD00608</t>
  </si>
  <si>
    <t>C7543</t>
  </si>
  <si>
    <t>ORD00609</t>
  </si>
  <si>
    <t>C5795</t>
  </si>
  <si>
    <t>P487</t>
  </si>
  <si>
    <t>ORD00610</t>
  </si>
  <si>
    <t>C5863</t>
  </si>
  <si>
    <t>P273</t>
  </si>
  <si>
    <t>ORD00611</t>
  </si>
  <si>
    <t>C8285</t>
  </si>
  <si>
    <t>ORD00612</t>
  </si>
  <si>
    <t>C9619</t>
  </si>
  <si>
    <t>P588</t>
  </si>
  <si>
    <t>ORD00613</t>
  </si>
  <si>
    <t>C8991</t>
  </si>
  <si>
    <t>P896</t>
  </si>
  <si>
    <t>ORD00614</t>
  </si>
  <si>
    <t>C4396</t>
  </si>
  <si>
    <t>ORD00615</t>
  </si>
  <si>
    <t>C6978</t>
  </si>
  <si>
    <t>P409</t>
  </si>
  <si>
    <t>ORD00616</t>
  </si>
  <si>
    <t>C8008</t>
  </si>
  <si>
    <t>P982</t>
  </si>
  <si>
    <t>ORD00617</t>
  </si>
  <si>
    <t>C8111</t>
  </si>
  <si>
    <t>ORD00618</t>
  </si>
  <si>
    <t>C2412</t>
  </si>
  <si>
    <t>P187</t>
  </si>
  <si>
    <t>ORD00619</t>
  </si>
  <si>
    <t>C3554</t>
  </si>
  <si>
    <t>ORD00620</t>
  </si>
  <si>
    <t>C4099</t>
  </si>
  <si>
    <t>ORD00621</t>
  </si>
  <si>
    <t>ORD00622</t>
  </si>
  <si>
    <t>P375</t>
  </si>
  <si>
    <t>ORD00623</t>
  </si>
  <si>
    <t>C7586</t>
  </si>
  <si>
    <t>P774</t>
  </si>
  <si>
    <t>ORD00624</t>
  </si>
  <si>
    <t>C8410</t>
  </si>
  <si>
    <t>P508</t>
  </si>
  <si>
    <t>ORD00625</t>
  </si>
  <si>
    <t>C5905</t>
  </si>
  <si>
    <t>ORD00626</t>
  </si>
  <si>
    <t>C9255</t>
  </si>
  <si>
    <t>ORD00627</t>
  </si>
  <si>
    <t>C3220</t>
  </si>
  <si>
    <t>ORD00628</t>
  </si>
  <si>
    <t>C4453</t>
  </si>
  <si>
    <t>ORD00629</t>
  </si>
  <si>
    <t>C7594</t>
  </si>
  <si>
    <t>ORD00630</t>
  </si>
  <si>
    <t>C1543</t>
  </si>
  <si>
    <t>ORD00631</t>
  </si>
  <si>
    <t>C3065</t>
  </si>
  <si>
    <t>P716</t>
  </si>
  <si>
    <t>ORD00632</t>
  </si>
  <si>
    <t>C4538</t>
  </si>
  <si>
    <t>ORD00633</t>
  </si>
  <si>
    <t>C9580</t>
  </si>
  <si>
    <t>P879</t>
  </si>
  <si>
    <t>ORD00634</t>
  </si>
  <si>
    <t>C2822</t>
  </si>
  <si>
    <t>P562</t>
  </si>
  <si>
    <t>ORD00635</t>
  </si>
  <si>
    <t>C4245</t>
  </si>
  <si>
    <t>P100</t>
  </si>
  <si>
    <t>ORD00636</t>
  </si>
  <si>
    <t>C9569</t>
  </si>
  <si>
    <t>ORD00637</t>
  </si>
  <si>
    <t>C3946</t>
  </si>
  <si>
    <t>P322</t>
  </si>
  <si>
    <t>ORD00638</t>
  </si>
  <si>
    <t>C8545</t>
  </si>
  <si>
    <t>P930</t>
  </si>
  <si>
    <t>ORD00639</t>
  </si>
  <si>
    <t>C1337</t>
  </si>
  <si>
    <t>ORD00640</t>
  </si>
  <si>
    <t>C3533</t>
  </si>
  <si>
    <t>ORD00641</t>
  </si>
  <si>
    <t>C3832</t>
  </si>
  <si>
    <t>ORD00642</t>
  </si>
  <si>
    <t>C1052</t>
  </si>
  <si>
    <t>ORD00643</t>
  </si>
  <si>
    <t>C1179</t>
  </si>
  <si>
    <t>P471</t>
  </si>
  <si>
    <t>ORD00644</t>
  </si>
  <si>
    <t>C2434</t>
  </si>
  <si>
    <t>P574</t>
  </si>
  <si>
    <t>ORD00645</t>
  </si>
  <si>
    <t>C4528</t>
  </si>
  <si>
    <t>ORD00646</t>
  </si>
  <si>
    <t>C4272</t>
  </si>
  <si>
    <t>ORD00647</t>
  </si>
  <si>
    <t>C8988</t>
  </si>
  <si>
    <t>ORD00648</t>
  </si>
  <si>
    <t>C4033</t>
  </si>
  <si>
    <t>P985</t>
  </si>
  <si>
    <t>ORD00649</t>
  </si>
  <si>
    <t>C8294</t>
  </si>
  <si>
    <t>ORD00650</t>
  </si>
  <si>
    <t>C8885</t>
  </si>
  <si>
    <t>ORD00651</t>
  </si>
  <si>
    <t>C6823</t>
  </si>
  <si>
    <t>P263</t>
  </si>
  <si>
    <t>ORD00652</t>
  </si>
  <si>
    <t>C9157</t>
  </si>
  <si>
    <t>ORD00653</t>
  </si>
  <si>
    <t>C4277</t>
  </si>
  <si>
    <t>ORD00654</t>
  </si>
  <si>
    <t>C5649</t>
  </si>
  <si>
    <t>ORD00655</t>
  </si>
  <si>
    <t>C3761</t>
  </si>
  <si>
    <t>P551</t>
  </si>
  <si>
    <t>ORD00656</t>
  </si>
  <si>
    <t>C1611</t>
  </si>
  <si>
    <t>ORD00657</t>
  </si>
  <si>
    <t>C7771</t>
  </si>
  <si>
    <t>ORD00658</t>
  </si>
  <si>
    <t>C3434</t>
  </si>
  <si>
    <t>P213</t>
  </si>
  <si>
    <t>ORD00659</t>
  </si>
  <si>
    <t>C1566</t>
  </si>
  <si>
    <t>ORD00660</t>
  </si>
  <si>
    <t>C3834</t>
  </si>
  <si>
    <t>ORD00661</t>
  </si>
  <si>
    <t>C5647</t>
  </si>
  <si>
    <t>ORD00662</t>
  </si>
  <si>
    <t>C6332</t>
  </si>
  <si>
    <t>ORD00663</t>
  </si>
  <si>
    <t>C3196</t>
  </si>
  <si>
    <t>P751</t>
  </si>
  <si>
    <t>ORD00664</t>
  </si>
  <si>
    <t>C6076</t>
  </si>
  <si>
    <t>ORD00665</t>
  </si>
  <si>
    <t>ORD00666</t>
  </si>
  <si>
    <t>C1602</t>
  </si>
  <si>
    <t>P546</t>
  </si>
  <si>
    <t>ORD00667</t>
  </si>
  <si>
    <t>C4740</t>
  </si>
  <si>
    <t>P744</t>
  </si>
  <si>
    <t>ORD00668</t>
  </si>
  <si>
    <t>C5404</t>
  </si>
  <si>
    <t>ORD00669</t>
  </si>
  <si>
    <t>C6164</t>
  </si>
  <si>
    <t>P208</t>
  </si>
  <si>
    <t>ORD00670</t>
  </si>
  <si>
    <t>C5535</t>
  </si>
  <si>
    <t>P122</t>
  </si>
  <si>
    <t>ORD00671</t>
  </si>
  <si>
    <t>C4592</t>
  </si>
  <si>
    <t>P290</t>
  </si>
  <si>
    <t>ORD00672</t>
  </si>
  <si>
    <t>C3036</t>
  </si>
  <si>
    <t>ORD00673</t>
  </si>
  <si>
    <t>C4823</t>
  </si>
  <si>
    <t>ORD00674</t>
  </si>
  <si>
    <t>C9113</t>
  </si>
  <si>
    <t>ORD00675</t>
  </si>
  <si>
    <t>C7854</t>
  </si>
  <si>
    <t>ORD00676</t>
  </si>
  <si>
    <t>C4411</t>
  </si>
  <si>
    <t>ORD00677</t>
  </si>
  <si>
    <t>C9884</t>
  </si>
  <si>
    <t>ORD00678</t>
  </si>
  <si>
    <t>C9554</t>
  </si>
  <si>
    <t>P821</t>
  </si>
  <si>
    <t>ORD00679</t>
  </si>
  <si>
    <t>C7670</t>
  </si>
  <si>
    <t>ORD00680</t>
  </si>
  <si>
    <t>C4299</t>
  </si>
  <si>
    <t>P153</t>
  </si>
  <si>
    <t>ORD00681</t>
  </si>
  <si>
    <t>C5066</t>
  </si>
  <si>
    <t>ORD00682</t>
  </si>
  <si>
    <t>C6515</t>
  </si>
  <si>
    <t>ORD00683</t>
  </si>
  <si>
    <t>C9595</t>
  </si>
  <si>
    <t>ORD00684</t>
  </si>
  <si>
    <t>C1107</t>
  </si>
  <si>
    <t>P569</t>
  </si>
  <si>
    <t>ORD00685</t>
  </si>
  <si>
    <t>C6749</t>
  </si>
  <si>
    <t>ORD00686</t>
  </si>
  <si>
    <t>C6720</t>
  </si>
  <si>
    <t>ORD00687</t>
  </si>
  <si>
    <t>C1443</t>
  </si>
  <si>
    <t>ORD00688</t>
  </si>
  <si>
    <t>C1119</t>
  </si>
  <si>
    <t>ORD00689</t>
  </si>
  <si>
    <t>C6632</t>
  </si>
  <si>
    <t>ORD00690</t>
  </si>
  <si>
    <t>C5579</t>
  </si>
  <si>
    <t>ORD00691</t>
  </si>
  <si>
    <t>C8045</t>
  </si>
  <si>
    <t>P107</t>
  </si>
  <si>
    <t>ORD00692</t>
  </si>
  <si>
    <t>C5493</t>
  </si>
  <si>
    <t>ORD00693</t>
  </si>
  <si>
    <t>C6217</t>
  </si>
  <si>
    <t>ORD00694</t>
  </si>
  <si>
    <t>C7551</t>
  </si>
  <si>
    <t>P431</t>
  </si>
  <si>
    <t>ORD00695</t>
  </si>
  <si>
    <t>C8007</t>
  </si>
  <si>
    <t>ORD00696</t>
  </si>
  <si>
    <t>C5799</t>
  </si>
  <si>
    <t>ORD00697</t>
  </si>
  <si>
    <t>C2758</t>
  </si>
  <si>
    <t>P300</t>
  </si>
  <si>
    <t>ORD00698</t>
  </si>
  <si>
    <t>C6099</t>
  </si>
  <si>
    <t>ORD00699</t>
  </si>
  <si>
    <t>P344</t>
  </si>
  <si>
    <t>ORD00700</t>
  </si>
  <si>
    <t>C4604</t>
  </si>
  <si>
    <t>P314</t>
  </si>
  <si>
    <t>ORD00701</t>
  </si>
  <si>
    <t>P722</t>
  </si>
  <si>
    <t>ORD00702</t>
  </si>
  <si>
    <t>C7159</t>
  </si>
  <si>
    <t>P600</t>
  </si>
  <si>
    <t>ORD00703</t>
  </si>
  <si>
    <t>C3790</t>
  </si>
  <si>
    <t>ORD00704</t>
  </si>
  <si>
    <t>C9184</t>
  </si>
  <si>
    <t>ORD00705</t>
  </si>
  <si>
    <t>C1880</t>
  </si>
  <si>
    <t>ORD00706</t>
  </si>
  <si>
    <t>C6476</t>
  </si>
  <si>
    <t>ORD00707</t>
  </si>
  <si>
    <t>C2123</t>
  </si>
  <si>
    <t>P311</t>
  </si>
  <si>
    <t>ORD00708</t>
  </si>
  <si>
    <t>C7193</t>
  </si>
  <si>
    <t>P330</t>
  </si>
  <si>
    <t>ORD00709</t>
  </si>
  <si>
    <t>C2205</t>
  </si>
  <si>
    <t>ORD00710</t>
  </si>
  <si>
    <t>C3994</t>
  </si>
  <si>
    <t>P702</t>
  </si>
  <si>
    <t>ORD00711</t>
  </si>
  <si>
    <t>C1794</t>
  </si>
  <si>
    <t>ORD00712</t>
  </si>
  <si>
    <t>C7128</t>
  </si>
  <si>
    <t>P120</t>
  </si>
  <si>
    <t>ORD00713</t>
  </si>
  <si>
    <t>C7262</t>
  </si>
  <si>
    <t>ORD00714</t>
  </si>
  <si>
    <t>C9357</t>
  </si>
  <si>
    <t>P663</t>
  </si>
  <si>
    <t>ORD00715</t>
  </si>
  <si>
    <t>C6962</t>
  </si>
  <si>
    <t>ORD00716</t>
  </si>
  <si>
    <t>C3947</t>
  </si>
  <si>
    <t>ORD00717</t>
  </si>
  <si>
    <t>C6677</t>
  </si>
  <si>
    <t>ORD00718</t>
  </si>
  <si>
    <t>C9042</t>
  </si>
  <si>
    <t>ORD00719</t>
  </si>
  <si>
    <t>C9729</t>
  </si>
  <si>
    <t>P282</t>
  </si>
  <si>
    <t>ORD00720</t>
  </si>
  <si>
    <t>C3777</t>
  </si>
  <si>
    <t>ORD00721</t>
  </si>
  <si>
    <t>C4828</t>
  </si>
  <si>
    <t>ORD00722</t>
  </si>
  <si>
    <t>C4318</t>
  </si>
  <si>
    <t>ORD00723</t>
  </si>
  <si>
    <t>C5611</t>
  </si>
  <si>
    <t>ORD00724</t>
  </si>
  <si>
    <t>C8495</t>
  </si>
  <si>
    <t>ORD00725</t>
  </si>
  <si>
    <t>C6490</t>
  </si>
  <si>
    <t>ORD00726</t>
  </si>
  <si>
    <t>C5947</t>
  </si>
  <si>
    <t>ORD00727</t>
  </si>
  <si>
    <t>C7368</t>
  </si>
  <si>
    <t>P373</t>
  </si>
  <si>
    <t>ORD00728</t>
  </si>
  <si>
    <t>C2927</t>
  </si>
  <si>
    <t>P883</t>
  </si>
  <si>
    <t>ORD00729</t>
  </si>
  <si>
    <t>C7379</t>
  </si>
  <si>
    <t>ORD00730</t>
  </si>
  <si>
    <t>C2991</t>
  </si>
  <si>
    <t>ORD00731</t>
  </si>
  <si>
    <t>C9728</t>
  </si>
  <si>
    <t>ORD00732</t>
  </si>
  <si>
    <t>C9828</t>
  </si>
  <si>
    <t>P705</t>
  </si>
  <si>
    <t>ORD00733</t>
  </si>
  <si>
    <t>C3277</t>
  </si>
  <si>
    <t>ORD00734</t>
  </si>
  <si>
    <t>C9395</t>
  </si>
  <si>
    <t>ORD00735</t>
  </si>
  <si>
    <t>C4999</t>
  </si>
  <si>
    <t>ORD00736</t>
  </si>
  <si>
    <t>C1039</t>
  </si>
  <si>
    <t>P580</t>
  </si>
  <si>
    <t>ORD00737</t>
  </si>
  <si>
    <t>C7392</t>
  </si>
  <si>
    <t>ORD00738</t>
  </si>
  <si>
    <t>C5089</t>
  </si>
  <si>
    <t>ORD00739</t>
  </si>
  <si>
    <t>C7988</t>
  </si>
  <si>
    <t>ORD00740</t>
  </si>
  <si>
    <t>C9922</t>
  </si>
  <si>
    <t>P137</t>
  </si>
  <si>
    <t>ORD00741</t>
  </si>
  <si>
    <t>C6339</t>
  </si>
  <si>
    <t>P316</t>
  </si>
  <si>
    <t>ORD00742</t>
  </si>
  <si>
    <t>C4293</t>
  </si>
  <si>
    <t>P425</t>
  </si>
  <si>
    <t>ORD00743</t>
  </si>
  <si>
    <t>C3616</t>
  </si>
  <si>
    <t>ORD00744</t>
  </si>
  <si>
    <t>C1978</t>
  </si>
  <si>
    <t>ORD00745</t>
  </si>
  <si>
    <t>ORD00746</t>
  </si>
  <si>
    <t>C3464</t>
  </si>
  <si>
    <t>ORD00747</t>
  </si>
  <si>
    <t>C1444</t>
  </si>
  <si>
    <t>ORD00748</t>
  </si>
  <si>
    <t>C7621</t>
  </si>
  <si>
    <t>ORD00749</t>
  </si>
  <si>
    <t>C5170</t>
  </si>
  <si>
    <t>P221</t>
  </si>
  <si>
    <t>ORD00750</t>
  </si>
  <si>
    <t>ORD00751</t>
  </si>
  <si>
    <t>C8815</t>
  </si>
  <si>
    <t>ORD00752</t>
  </si>
  <si>
    <t>C6690</t>
  </si>
  <si>
    <t>ORD00753</t>
  </si>
  <si>
    <t>C3812</t>
  </si>
  <si>
    <t>ORD00754</t>
  </si>
  <si>
    <t>C6374</t>
  </si>
  <si>
    <t>ORD00755</t>
  </si>
  <si>
    <t>C1585</t>
  </si>
  <si>
    <t>ORD00756</t>
  </si>
  <si>
    <t>C6806</t>
  </si>
  <si>
    <t>ORD00757</t>
  </si>
  <si>
    <t>C2462</t>
  </si>
  <si>
    <t>ORD00758</t>
  </si>
  <si>
    <t>C9347</t>
  </si>
  <si>
    <t>ORD00759</t>
  </si>
  <si>
    <t>C5757</t>
  </si>
  <si>
    <t>P936</t>
  </si>
  <si>
    <t>ORD00760</t>
  </si>
  <si>
    <t>C5625</t>
  </si>
  <si>
    <t>P231</t>
  </si>
  <si>
    <t>ORD00761</t>
  </si>
  <si>
    <t>C6034</t>
  </si>
  <si>
    <t>ORD00762</t>
  </si>
  <si>
    <t>C2075</t>
  </si>
  <si>
    <t>P627</t>
  </si>
  <si>
    <t>ORD00763</t>
  </si>
  <si>
    <t>C4073</t>
  </si>
  <si>
    <t>P428</t>
  </si>
  <si>
    <t>ORD00764</t>
  </si>
  <si>
    <t>C7014</t>
  </si>
  <si>
    <t>ORD00765</t>
  </si>
  <si>
    <t>C1803</t>
  </si>
  <si>
    <t>P867</t>
  </si>
  <si>
    <t>ORD00766</t>
  </si>
  <si>
    <t>C7135</t>
  </si>
  <si>
    <t>ORD00767</t>
  </si>
  <si>
    <t>C9578</t>
  </si>
  <si>
    <t>ORD00768</t>
  </si>
  <si>
    <t>C7062</t>
  </si>
  <si>
    <t>ORD00769</t>
  </si>
  <si>
    <t>C8375</t>
  </si>
  <si>
    <t>P907</t>
  </si>
  <si>
    <t>ORD00770</t>
  </si>
  <si>
    <t>C7369</t>
  </si>
  <si>
    <t>ORD00771</t>
  </si>
  <si>
    <t>C3298</t>
  </si>
  <si>
    <t>ORD00772</t>
  </si>
  <si>
    <t>C9735</t>
  </si>
  <si>
    <t>ORD00773</t>
  </si>
  <si>
    <t>C9376</t>
  </si>
  <si>
    <t>ORD00774</t>
  </si>
  <si>
    <t>C2267</t>
  </si>
  <si>
    <t>ORD00775</t>
  </si>
  <si>
    <t>C5608</t>
  </si>
  <si>
    <t>ORD00776</t>
  </si>
  <si>
    <t>C3722</t>
  </si>
  <si>
    <t>ORD00777</t>
  </si>
  <si>
    <t>C7569</t>
  </si>
  <si>
    <t>ORD00778</t>
  </si>
  <si>
    <t>C4718</t>
  </si>
  <si>
    <t>P559</t>
  </si>
  <si>
    <t>ORD00779</t>
  </si>
  <si>
    <t>C5385</t>
  </si>
  <si>
    <t>ORD00780</t>
  </si>
  <si>
    <t>C9840</t>
  </si>
  <si>
    <t>P525</t>
  </si>
  <si>
    <t>ORD00781</t>
  </si>
  <si>
    <t>C2200</t>
  </si>
  <si>
    <t>P329</t>
  </si>
  <si>
    <t>ORD00782</t>
  </si>
  <si>
    <t>C6467</t>
  </si>
  <si>
    <t>P106</t>
  </si>
  <si>
    <t>ORD00783</t>
  </si>
  <si>
    <t>C5370</t>
  </si>
  <si>
    <t>ORD00784</t>
  </si>
  <si>
    <t>C3680</t>
  </si>
  <si>
    <t>ORD00785</t>
  </si>
  <si>
    <t>C5945</t>
  </si>
  <si>
    <t>P142</t>
  </si>
  <si>
    <t>ORD00786</t>
  </si>
  <si>
    <t>C1046</t>
  </si>
  <si>
    <t>P360</t>
  </si>
  <si>
    <t>ORD00787</t>
  </si>
  <si>
    <t>C8740</t>
  </si>
  <si>
    <t>ORD00788</t>
  </si>
  <si>
    <t>C7118</t>
  </si>
  <si>
    <t>P876</t>
  </si>
  <si>
    <t>ORD00789</t>
  </si>
  <si>
    <t>C1736</t>
  </si>
  <si>
    <t>ORD00790</t>
  </si>
  <si>
    <t>C9487</t>
  </si>
  <si>
    <t>ORD00791</t>
  </si>
  <si>
    <t>P399</t>
  </si>
  <si>
    <t>ORD00792</t>
  </si>
  <si>
    <t>C5417</t>
  </si>
  <si>
    <t>ORD00793</t>
  </si>
  <si>
    <t>C5520</t>
  </si>
  <si>
    <t>ORD00794</t>
  </si>
  <si>
    <t>P119</t>
  </si>
  <si>
    <t>ORD00795</t>
  </si>
  <si>
    <t>C3938</t>
  </si>
  <si>
    <t>ORD00796</t>
  </si>
  <si>
    <t>C1654</t>
  </si>
  <si>
    <t>ORD00797</t>
  </si>
  <si>
    <t>C4847</t>
  </si>
  <si>
    <t>ORD00798</t>
  </si>
  <si>
    <t>C3210</t>
  </si>
  <si>
    <t>P792</t>
  </si>
  <si>
    <t>ORD00799</t>
  </si>
  <si>
    <t>C8027</t>
  </si>
  <si>
    <t>ORD00800</t>
  </si>
  <si>
    <t>C3963</t>
  </si>
  <si>
    <t>ORD00801</t>
  </si>
  <si>
    <t>C4462</t>
  </si>
  <si>
    <t>ORD00802</t>
  </si>
  <si>
    <t>C3187</t>
  </si>
  <si>
    <t>P195</t>
  </si>
  <si>
    <t>ORD00803</t>
  </si>
  <si>
    <t>C6141</t>
  </si>
  <si>
    <t>ORD00804</t>
  </si>
  <si>
    <t>C1259</t>
  </si>
  <si>
    <t>ORD00805</t>
  </si>
  <si>
    <t>ORD00806</t>
  </si>
  <si>
    <t>C1126</t>
  </si>
  <si>
    <t>P873</t>
  </si>
  <si>
    <t>ORD00807</t>
  </si>
  <si>
    <t>C6942</t>
  </si>
  <si>
    <t>ORD00808</t>
  </si>
  <si>
    <t>C2842</t>
  </si>
  <si>
    <t>ORD00809</t>
  </si>
  <si>
    <t>C6946</t>
  </si>
  <si>
    <t>ORD00810</t>
  </si>
  <si>
    <t>C6767</t>
  </si>
  <si>
    <t>ORD00811</t>
  </si>
  <si>
    <t>C5139</t>
  </si>
  <si>
    <t>ORD00812</t>
  </si>
  <si>
    <t>C9335</t>
  </si>
  <si>
    <t>ORD00813</t>
  </si>
  <si>
    <t>C2795</t>
  </si>
  <si>
    <t>ORD00814</t>
  </si>
  <si>
    <t>C5038</t>
  </si>
  <si>
    <t>ORD00815</t>
  </si>
  <si>
    <t>C9615</t>
  </si>
  <si>
    <t>P433</t>
  </si>
  <si>
    <t>ORD00816</t>
  </si>
  <si>
    <t>C6799</t>
  </si>
  <si>
    <t>ORD00817</t>
  </si>
  <si>
    <t>C4485</t>
  </si>
  <si>
    <t>ORD00818</t>
  </si>
  <si>
    <t>C9492</t>
  </si>
  <si>
    <t>P175</t>
  </si>
  <si>
    <t>ORD00819</t>
  </si>
  <si>
    <t>C9576</t>
  </si>
  <si>
    <t>P598</t>
  </si>
  <si>
    <t>ORD00820</t>
  </si>
  <si>
    <t>P680</t>
  </si>
  <si>
    <t>ORD00821</t>
  </si>
  <si>
    <t>C8607</t>
  </si>
  <si>
    <t>ORD00822</t>
  </si>
  <si>
    <t>C9110</t>
  </si>
  <si>
    <t>ORD00823</t>
  </si>
  <si>
    <t>ORD00824</t>
  </si>
  <si>
    <t>C6108</t>
  </si>
  <si>
    <t>ORD00825</t>
  </si>
  <si>
    <t>C5174</t>
  </si>
  <si>
    <t>ORD00826</t>
  </si>
  <si>
    <t>C2019</t>
  </si>
  <si>
    <t>P983</t>
  </si>
  <si>
    <t>ORD00827</t>
  </si>
  <si>
    <t>C2661</t>
  </si>
  <si>
    <t>P318</t>
  </si>
  <si>
    <t>ORD00828</t>
  </si>
  <si>
    <t>C7367</t>
  </si>
  <si>
    <t>ORD00829</t>
  </si>
  <si>
    <t>C4765</t>
  </si>
  <si>
    <t>P237</t>
  </si>
  <si>
    <t>ORD00830</t>
  </si>
  <si>
    <t>C5977</t>
  </si>
  <si>
    <t>P514</t>
  </si>
  <si>
    <t>ORD00831</t>
  </si>
  <si>
    <t>C7968</t>
  </si>
  <si>
    <t>ORD00832</t>
  </si>
  <si>
    <t>P782</t>
  </si>
  <si>
    <t>ORD00833</t>
  </si>
  <si>
    <t>C5626</t>
  </si>
  <si>
    <t>ORD00834</t>
  </si>
  <si>
    <t>C4722</t>
  </si>
  <si>
    <t>ORD00835</t>
  </si>
  <si>
    <t>P758</t>
  </si>
  <si>
    <t>ORD00836</t>
  </si>
  <si>
    <t>C7325</t>
  </si>
  <si>
    <t>ORD00837</t>
  </si>
  <si>
    <t>C9973</t>
  </si>
  <si>
    <t>ORD00838</t>
  </si>
  <si>
    <t>C6432</t>
  </si>
  <si>
    <t>ORD00839</t>
  </si>
  <si>
    <t>P768</t>
  </si>
  <si>
    <t>ORD00840</t>
  </si>
  <si>
    <t>C9100</t>
  </si>
  <si>
    <t>P991</t>
  </si>
  <si>
    <t>ORD00841</t>
  </si>
  <si>
    <t>C7578</t>
  </si>
  <si>
    <t>ORD00842</t>
  </si>
  <si>
    <t>C5418</t>
  </si>
  <si>
    <t>ORD00843</t>
  </si>
  <si>
    <t>C2027</t>
  </si>
  <si>
    <t>ORD00844</t>
  </si>
  <si>
    <t>C3135</t>
  </si>
  <si>
    <t>P299</t>
  </si>
  <si>
    <t>ORD00845</t>
  </si>
  <si>
    <t>C3519</t>
  </si>
  <si>
    <t>ORD00846</t>
  </si>
  <si>
    <t>P941</t>
  </si>
  <si>
    <t>ORD00847</t>
  </si>
  <si>
    <t>C5060</t>
  </si>
  <si>
    <t>ORD00848</t>
  </si>
  <si>
    <t>C6040</t>
  </si>
  <si>
    <t>P358</t>
  </si>
  <si>
    <t>ORD00849</t>
  </si>
  <si>
    <t>C1505</t>
  </si>
  <si>
    <t>ORD00850</t>
  </si>
  <si>
    <t>C8963</t>
  </si>
  <si>
    <t>P857</t>
  </si>
  <si>
    <t>ORD00851</t>
  </si>
  <si>
    <t>C4206</t>
  </si>
  <si>
    <t>P557</t>
  </si>
  <si>
    <t>ORD00852</t>
  </si>
  <si>
    <t>C7448</t>
  </si>
  <si>
    <t>ORD00853</t>
  </si>
  <si>
    <t>C5526</t>
  </si>
  <si>
    <t>ORD00854</t>
  </si>
  <si>
    <t>C4018</t>
  </si>
  <si>
    <t>P652</t>
  </si>
  <si>
    <t>ORD00855</t>
  </si>
  <si>
    <t>C4418</t>
  </si>
  <si>
    <t>ORD00856</t>
  </si>
  <si>
    <t>C4555</t>
  </si>
  <si>
    <t>P345</t>
  </si>
  <si>
    <t>ORD00857</t>
  </si>
  <si>
    <t>C1173</t>
  </si>
  <si>
    <t>ORD00858</t>
  </si>
  <si>
    <t>C8049</t>
  </si>
  <si>
    <t>P413</t>
  </si>
  <si>
    <t>ORD00859</t>
  </si>
  <si>
    <t>C2757</t>
  </si>
  <si>
    <t>P124</t>
  </si>
  <si>
    <t>ORD00860</t>
  </si>
  <si>
    <t>C3646</t>
  </si>
  <si>
    <t>ORD00861</t>
  </si>
  <si>
    <t>C9687</t>
  </si>
  <si>
    <t>ORD00862</t>
  </si>
  <si>
    <t>C2642</t>
  </si>
  <si>
    <t>ORD00863</t>
  </si>
  <si>
    <t>C9106</t>
  </si>
  <si>
    <t>P317</t>
  </si>
  <si>
    <t>ORD00864</t>
  </si>
  <si>
    <t>C4474</t>
  </si>
  <si>
    <t>ORD00865</t>
  </si>
  <si>
    <t>C7895</t>
  </si>
  <si>
    <t>P850</t>
  </si>
  <si>
    <t>ORD00866</t>
  </si>
  <si>
    <t>C2554</t>
  </si>
  <si>
    <t>ORD00867</t>
  </si>
  <si>
    <t>C5764</t>
  </si>
  <si>
    <t>P583</t>
  </si>
  <si>
    <t>ORD00868</t>
  </si>
  <si>
    <t>C5862</t>
  </si>
  <si>
    <t>ORD00869</t>
  </si>
  <si>
    <t>C8747</t>
  </si>
  <si>
    <t>ORD00870</t>
  </si>
  <si>
    <t>C8614</t>
  </si>
  <si>
    <t>ORD00871</t>
  </si>
  <si>
    <t>C2092</t>
  </si>
  <si>
    <t>P695</t>
  </si>
  <si>
    <t>ORD00872</t>
  </si>
  <si>
    <t>C6417</t>
  </si>
  <si>
    <t>ORD00873</t>
  </si>
  <si>
    <t>C8479</t>
  </si>
  <si>
    <t>P636</t>
  </si>
  <si>
    <t>ORD00874</t>
  </si>
  <si>
    <t>C9394</t>
  </si>
  <si>
    <t>ORD00875</t>
  </si>
  <si>
    <t>C2883</t>
  </si>
  <si>
    <t>ORD00876</t>
  </si>
  <si>
    <t>C6222</t>
  </si>
  <si>
    <t>ORD00877</t>
  </si>
  <si>
    <t>C5189</t>
  </si>
  <si>
    <t>ORD00878</t>
  </si>
  <si>
    <t>C8244</t>
  </si>
  <si>
    <t>P486</t>
  </si>
  <si>
    <t>ORD00879</t>
  </si>
  <si>
    <t>C6060</t>
  </si>
  <si>
    <t>P305</t>
  </si>
  <si>
    <t>ORD00880</t>
  </si>
  <si>
    <t>P938</t>
  </si>
  <si>
    <t>ORD00881</t>
  </si>
  <si>
    <t>C4725</t>
  </si>
  <si>
    <t>ORD00882</t>
  </si>
  <si>
    <t>ORD00883</t>
  </si>
  <si>
    <t>C8517</t>
  </si>
  <si>
    <t>ORD00884</t>
  </si>
  <si>
    <t>C1481</t>
  </si>
  <si>
    <t>P766</t>
  </si>
  <si>
    <t>ORD00885</t>
  </si>
  <si>
    <t>C4333</t>
  </si>
  <si>
    <t>P666</t>
  </si>
  <si>
    <t>ORD00886</t>
  </si>
  <si>
    <t>C7549</t>
  </si>
  <si>
    <t>P495</t>
  </si>
  <si>
    <t>ORD00887</t>
  </si>
  <si>
    <t>C9862</t>
  </si>
  <si>
    <t>P729</t>
  </si>
  <si>
    <t>ORD00888</t>
  </si>
  <si>
    <t>C1846</t>
  </si>
  <si>
    <t>P796</t>
  </si>
  <si>
    <t>ORD00889</t>
  </si>
  <si>
    <t>C1064</t>
  </si>
  <si>
    <t>ORD00890</t>
  </si>
  <si>
    <t>C8151</t>
  </si>
  <si>
    <t>ORD00891</t>
  </si>
  <si>
    <t>C4227</t>
  </si>
  <si>
    <t>ORD00892</t>
  </si>
  <si>
    <t>C2275</t>
  </si>
  <si>
    <t>ORD00893</t>
  </si>
  <si>
    <t>C2671</t>
  </si>
  <si>
    <t>ORD00894</t>
  </si>
  <si>
    <t>C6900</t>
  </si>
  <si>
    <t>P267</t>
  </si>
  <si>
    <t>ORD00895</t>
  </si>
  <si>
    <t>C8615</t>
  </si>
  <si>
    <t>ORD00896</t>
  </si>
  <si>
    <t>C9608</t>
  </si>
  <si>
    <t>ORD00897</t>
  </si>
  <si>
    <t>C8942</t>
  </si>
  <si>
    <t>ORD00898</t>
  </si>
  <si>
    <t>C2773</t>
  </si>
  <si>
    <t>P707</t>
  </si>
  <si>
    <t>ORD00899</t>
  </si>
  <si>
    <t>C5813</t>
  </si>
  <si>
    <t>P269</t>
  </si>
  <si>
    <t>ORD00900</t>
  </si>
  <si>
    <t>C2124</t>
  </si>
  <si>
    <t>ORD00901</t>
  </si>
  <si>
    <t>C4087</t>
  </si>
  <si>
    <t>ORD00902</t>
  </si>
  <si>
    <t>C9224</t>
  </si>
  <si>
    <t>ORD00903</t>
  </si>
  <si>
    <t>ORD00904</t>
  </si>
  <si>
    <t>C7597</t>
  </si>
  <si>
    <t>ORD00905</t>
  </si>
  <si>
    <t>C1197</t>
  </si>
  <si>
    <t>ORD00906</t>
  </si>
  <si>
    <t>C1858</t>
  </si>
  <si>
    <t>ORD00907</t>
  </si>
  <si>
    <t>C4086</t>
  </si>
  <si>
    <t>ORD00908</t>
  </si>
  <si>
    <t>C4558</t>
  </si>
  <si>
    <t>P714</t>
  </si>
  <si>
    <t>ORD00909</t>
  </si>
  <si>
    <t>C7243</t>
  </si>
  <si>
    <t>ORD00910</t>
  </si>
  <si>
    <t>C2608</t>
  </si>
  <si>
    <t>ORD00911</t>
  </si>
  <si>
    <t>C3773</t>
  </si>
  <si>
    <t>P500</t>
  </si>
  <si>
    <t>ORD00912</t>
  </si>
  <si>
    <t>C3408</t>
  </si>
  <si>
    <t>P713</t>
  </si>
  <si>
    <t>ORD00913</t>
  </si>
  <si>
    <t>C8921</t>
  </si>
  <si>
    <t>P740</t>
  </si>
  <si>
    <t>ORD00914</t>
  </si>
  <si>
    <t>C4797</t>
  </si>
  <si>
    <t>ORD00915</t>
  </si>
  <si>
    <t>C3276</t>
  </si>
  <si>
    <t>ORD00916</t>
  </si>
  <si>
    <t>C8845</t>
  </si>
  <si>
    <t>P861</t>
  </si>
  <si>
    <t>ORD00917</t>
  </si>
  <si>
    <t>C1886</t>
  </si>
  <si>
    <t>ORD00918</t>
  </si>
  <si>
    <t>C9856</t>
  </si>
  <si>
    <t>ORD00919</t>
  </si>
  <si>
    <t>P112</t>
  </si>
  <si>
    <t>ORD00920</t>
  </si>
  <si>
    <t>C1452</t>
  </si>
  <si>
    <t>P699</t>
  </si>
  <si>
    <t>ORD00921</t>
  </si>
  <si>
    <t>C1089</t>
  </si>
  <si>
    <t>P481</t>
  </si>
  <si>
    <t>ORD00922</t>
  </si>
  <si>
    <t>C9488</t>
  </si>
  <si>
    <t>ORD00923</t>
  </si>
  <si>
    <t>C4029</t>
  </si>
  <si>
    <t>ORD00924</t>
  </si>
  <si>
    <t>C2033</t>
  </si>
  <si>
    <t>P813</t>
  </si>
  <si>
    <t>ORD00925</t>
  </si>
  <si>
    <t>C6573</t>
  </si>
  <si>
    <t>P967</t>
  </si>
  <si>
    <t>ORD00926</t>
  </si>
  <si>
    <t>C4949</t>
  </si>
  <si>
    <t>P364</t>
  </si>
  <si>
    <t>ORD00927</t>
  </si>
  <si>
    <t>C2792</t>
  </si>
  <si>
    <t>P943</t>
  </si>
  <si>
    <t>ORD00928</t>
  </si>
  <si>
    <t>C8217</t>
  </si>
  <si>
    <t>ORD00929</t>
  </si>
  <si>
    <t>C8499</t>
  </si>
  <si>
    <t>ORD00930</t>
  </si>
  <si>
    <t>C6702</t>
  </si>
  <si>
    <t>ORD00931</t>
  </si>
  <si>
    <t>C6462</t>
  </si>
  <si>
    <t>ORD00932</t>
  </si>
  <si>
    <t>C3212</t>
  </si>
  <si>
    <t>ORD00933</t>
  </si>
  <si>
    <t>C9874</t>
  </si>
  <si>
    <t>P144</t>
  </si>
  <si>
    <t>ORD00934</t>
  </si>
  <si>
    <t>C2271</t>
  </si>
  <si>
    <t>ORD00935</t>
  </si>
  <si>
    <t>C6224</t>
  </si>
  <si>
    <t>P931</t>
  </si>
  <si>
    <t>ORD00936</t>
  </si>
  <si>
    <t>C6809</t>
  </si>
  <si>
    <t>P256</t>
  </si>
  <si>
    <t>ORD00937</t>
  </si>
  <si>
    <t>C6145</t>
  </si>
  <si>
    <t>ORD00938</t>
  </si>
  <si>
    <t>C4560</t>
  </si>
  <si>
    <t>P374</t>
  </si>
  <si>
    <t>ORD00939</t>
  </si>
  <si>
    <t>C3138</t>
  </si>
  <si>
    <t>ORD00940</t>
  </si>
  <si>
    <t>C6526</t>
  </si>
  <si>
    <t>P654</t>
  </si>
  <si>
    <t>ORD00941</t>
  </si>
  <si>
    <t>C3955</t>
  </si>
  <si>
    <t>ORD00942</t>
  </si>
  <si>
    <t>C7124</t>
  </si>
  <si>
    <t>ORD00943</t>
  </si>
  <si>
    <t>C1168</t>
  </si>
  <si>
    <t>ORD00944</t>
  </si>
  <si>
    <t>C7189</t>
  </si>
  <si>
    <t>P286</t>
  </si>
  <si>
    <t>ORD00945</t>
  </si>
  <si>
    <t>C5028</t>
  </si>
  <si>
    <t>P336</t>
  </si>
  <si>
    <t>ORD00946</t>
  </si>
  <si>
    <t>C8144</t>
  </si>
  <si>
    <t>ORD00947</t>
  </si>
  <si>
    <t>C5978</t>
  </si>
  <si>
    <t>P852</t>
  </si>
  <si>
    <t>ORD00948</t>
  </si>
  <si>
    <t>C2120</t>
  </si>
  <si>
    <t>ORD00949</t>
  </si>
  <si>
    <t>C7289</t>
  </si>
  <si>
    <t>P725</t>
  </si>
  <si>
    <t>ORD00950</t>
  </si>
  <si>
    <t>C6101</t>
  </si>
  <si>
    <t>ORD00951</t>
  </si>
  <si>
    <t>C9054</t>
  </si>
  <si>
    <t>ORD00952</t>
  </si>
  <si>
    <t>C3890</t>
  </si>
  <si>
    <t>ORD00953</t>
  </si>
  <si>
    <t>P882</t>
  </si>
  <si>
    <t>ORD00954</t>
  </si>
  <si>
    <t>C8060</t>
  </si>
  <si>
    <t>ORD00955</t>
  </si>
  <si>
    <t>C2325</t>
  </si>
  <si>
    <t>P909</t>
  </si>
  <si>
    <t>ORD00956</t>
  </si>
  <si>
    <t>C7540</t>
  </si>
  <si>
    <t>ORD00957</t>
  </si>
  <si>
    <t>C5456</t>
  </si>
  <si>
    <t>ORD00958</t>
  </si>
  <si>
    <t>C1953</t>
  </si>
  <si>
    <t>P275</t>
  </si>
  <si>
    <t>ORD00959</t>
  </si>
  <si>
    <t>C5638</t>
  </si>
  <si>
    <t>ORD00960</t>
  </si>
  <si>
    <t>C5470</t>
  </si>
  <si>
    <t>P386</t>
  </si>
  <si>
    <t>ORD00961</t>
  </si>
  <si>
    <t>C3692</t>
  </si>
  <si>
    <t>ORD00962</t>
  </si>
  <si>
    <t>C6122</t>
  </si>
  <si>
    <t>P441</t>
  </si>
  <si>
    <t>ORD00963</t>
  </si>
  <si>
    <t>C9503</t>
  </si>
  <si>
    <t>P918</t>
  </si>
  <si>
    <t>ORD00964</t>
  </si>
  <si>
    <t>C6193</t>
  </si>
  <si>
    <t>ORD00965</t>
  </si>
  <si>
    <t>C5955</t>
  </si>
  <si>
    <t>P363</t>
  </si>
  <si>
    <t>ORD00966</t>
  </si>
  <si>
    <t>C2819</t>
  </si>
  <si>
    <t>ORD00967</t>
  </si>
  <si>
    <t>C3868</t>
  </si>
  <si>
    <t>ORD00968</t>
  </si>
  <si>
    <t>C7630</t>
  </si>
  <si>
    <t>ORD00969</t>
  </si>
  <si>
    <t>ORD00970</t>
  </si>
  <si>
    <t>C5484</t>
  </si>
  <si>
    <t>ORD00971</t>
  </si>
  <si>
    <t>C2375</t>
  </si>
  <si>
    <t>ORD00972</t>
  </si>
  <si>
    <t>ORD00973</t>
  </si>
  <si>
    <t>C5829</t>
  </si>
  <si>
    <t>ORD00974</t>
  </si>
  <si>
    <t>C6405</t>
  </si>
  <si>
    <t>ORD00975</t>
  </si>
  <si>
    <t>C8346</t>
  </si>
  <si>
    <t>ORD00976</t>
  </si>
  <si>
    <t>C4321</t>
  </si>
  <si>
    <t>ORD00977</t>
  </si>
  <si>
    <t>C6059</t>
  </si>
  <si>
    <t>ORD00978</t>
  </si>
  <si>
    <t>C7829</t>
  </si>
  <si>
    <t>ORD00979</t>
  </si>
  <si>
    <t>C7681</t>
  </si>
  <si>
    <t>P947</t>
  </si>
  <si>
    <t>ORD00980</t>
  </si>
  <si>
    <t>C2995</t>
  </si>
  <si>
    <t>ORD00981</t>
  </si>
  <si>
    <t>C2083</t>
  </si>
  <si>
    <t>P387</t>
  </si>
  <si>
    <t>ORD00982</t>
  </si>
  <si>
    <t>P974</t>
  </si>
  <si>
    <t>ORD00983</t>
  </si>
  <si>
    <t>C4486</t>
  </si>
  <si>
    <t>P196</t>
  </si>
  <si>
    <t>ORD00984</t>
  </si>
  <si>
    <t>C5261</t>
  </si>
  <si>
    <t>ORD00985</t>
  </si>
  <si>
    <t>C9153</t>
  </si>
  <si>
    <t>P975</t>
  </si>
  <si>
    <t>ORD00986</t>
  </si>
  <si>
    <t>C6128</t>
  </si>
  <si>
    <t>ORD00987</t>
  </si>
  <si>
    <t>C8686</t>
  </si>
  <si>
    <t>P764</t>
  </si>
  <si>
    <t>ORD00988</t>
  </si>
  <si>
    <t>ORD00989</t>
  </si>
  <si>
    <t>ORD00990</t>
  </si>
  <si>
    <t>ORD00991</t>
  </si>
  <si>
    <t>ORD00992</t>
  </si>
  <si>
    <t>ORD00993</t>
  </si>
  <si>
    <t>C6321</t>
  </si>
  <si>
    <t>ORD00994</t>
  </si>
  <si>
    <t>C5251</t>
  </si>
  <si>
    <t>ORD00995</t>
  </si>
  <si>
    <t>C9654</t>
  </si>
  <si>
    <t>P925</t>
  </si>
  <si>
    <t>ORD00996</t>
  </si>
  <si>
    <t>P631</t>
  </si>
  <si>
    <t>ORD00997</t>
  </si>
  <si>
    <t>ORD00998</t>
  </si>
  <si>
    <t>C7400</t>
  </si>
  <si>
    <t>ORD00999</t>
  </si>
  <si>
    <t>C4775</t>
  </si>
  <si>
    <t>P884</t>
  </si>
  <si>
    <t>ORD01000</t>
  </si>
  <si>
    <t>C7739</t>
  </si>
  <si>
    <t xml:space="preserve"> Ratings</t>
  </si>
  <si>
    <t>Order id</t>
  </si>
  <si>
    <t>Kurtha</t>
  </si>
  <si>
    <t>India</t>
  </si>
  <si>
    <t>United States</t>
  </si>
  <si>
    <t>Australia</t>
  </si>
  <si>
    <t>Germany</t>
  </si>
  <si>
    <t>New York</t>
  </si>
  <si>
    <t>California</t>
  </si>
  <si>
    <t>Los Angeles</t>
  </si>
  <si>
    <t>Texas</t>
  </si>
  <si>
    <t>Houston</t>
  </si>
  <si>
    <t>Washington</t>
  </si>
  <si>
    <t>Seattle</t>
  </si>
  <si>
    <t>Florida</t>
  </si>
  <si>
    <t>Miami</t>
  </si>
  <si>
    <t>Illinois</t>
  </si>
  <si>
    <t>Arizona</t>
  </si>
  <si>
    <t>Georgia</t>
  </si>
  <si>
    <t>Ohio</t>
  </si>
  <si>
    <t>Virginia</t>
  </si>
  <si>
    <t>Augusta</t>
  </si>
  <si>
    <t>Alabama</t>
  </si>
  <si>
    <t>Montgomery</t>
  </si>
  <si>
    <t>Minnesota</t>
  </si>
  <si>
    <t>Saint Paul</t>
  </si>
  <si>
    <t>Indiana</t>
  </si>
  <si>
    <t>Fort Wayne</t>
  </si>
  <si>
    <t>Virginia Beach</t>
  </si>
  <si>
    <t>Cleveland</t>
  </si>
  <si>
    <t>Tucson</t>
  </si>
  <si>
    <t>Phoenix</t>
  </si>
  <si>
    <t>Wisconsin</t>
  </si>
  <si>
    <t>Milwaukee</t>
  </si>
  <si>
    <t>Birmingham</t>
  </si>
  <si>
    <t>Columbus</t>
  </si>
  <si>
    <t>Austin</t>
  </si>
  <si>
    <t>New Jersey</t>
  </si>
  <si>
    <t>Newark</t>
  </si>
  <si>
    <t>North Carolina</t>
  </si>
  <si>
    <t>Raleigh</t>
  </si>
  <si>
    <t>Oregon</t>
  </si>
  <si>
    <t>Portland</t>
  </si>
  <si>
    <t>Madison</t>
  </si>
  <si>
    <t>Maryland</t>
  </si>
  <si>
    <t>Annapolis</t>
  </si>
  <si>
    <t>Massachusetts</t>
  </si>
  <si>
    <t>Boston</t>
  </si>
  <si>
    <t>Missouri</t>
  </si>
  <si>
    <t>Kansas City</t>
  </si>
  <si>
    <t>Tennessee</t>
  </si>
  <si>
    <t>Nashville</t>
  </si>
  <si>
    <t>Dallas</t>
  </si>
  <si>
    <t>Pennsylvania</t>
  </si>
  <si>
    <t>Pittsburgh</t>
  </si>
  <si>
    <t>St. Louis</t>
  </si>
  <si>
    <t>Cambridge</t>
  </si>
  <si>
    <t>Colorado</t>
  </si>
  <si>
    <t>Denver</t>
  </si>
  <si>
    <t>Chicago</t>
  </si>
  <si>
    <t>South Carolina</t>
  </si>
  <si>
    <t>Charleston</t>
  </si>
  <si>
    <t>Richmond</t>
  </si>
  <si>
    <t>Savannah</t>
  </si>
  <si>
    <t>Michigan</t>
  </si>
  <si>
    <t>Grand Rapids</t>
  </si>
  <si>
    <t>Baltimore</t>
  </si>
  <si>
    <t>Philadelphia</t>
  </si>
  <si>
    <t>Salem</t>
  </si>
  <si>
    <t>Charlotte</t>
  </si>
  <si>
    <t>Detroit</t>
  </si>
  <si>
    <t>Buffalo</t>
  </si>
  <si>
    <t>Minneapolis</t>
  </si>
  <si>
    <t>Jersey City</t>
  </si>
  <si>
    <t>Tampa</t>
  </si>
  <si>
    <t>Colorado Springs</t>
  </si>
  <si>
    <t>San Diego</t>
  </si>
  <si>
    <t>Indianapolis</t>
  </si>
  <si>
    <t>Memphis</t>
  </si>
  <si>
    <t>Springfield</t>
  </si>
  <si>
    <t>Atlanta</t>
  </si>
  <si>
    <t>San Francisco</t>
  </si>
  <si>
    <t>Orlando</t>
  </si>
  <si>
    <t>Spokane</t>
  </si>
  <si>
    <t>Columbia</t>
  </si>
  <si>
    <t>Worcester</t>
  </si>
  <si>
    <t>Sacramento</t>
  </si>
  <si>
    <t>Greensboro</t>
  </si>
  <si>
    <t>San Antonio</t>
  </si>
  <si>
    <t>Rochester</t>
  </si>
  <si>
    <t>Albany</t>
  </si>
  <si>
    <t>Trenton</t>
  </si>
  <si>
    <t>Lansing</t>
  </si>
  <si>
    <t>Allentown</t>
  </si>
  <si>
    <t>Jacksonville</t>
  </si>
  <si>
    <t>Greenville</t>
  </si>
  <si>
    <t>Naperville</t>
  </si>
  <si>
    <t>Eugene</t>
  </si>
  <si>
    <t>Evansville</t>
  </si>
  <si>
    <t>Cincinnati</t>
  </si>
  <si>
    <t>Mesa</t>
  </si>
  <si>
    <t>Boulder</t>
  </si>
  <si>
    <t>Tacoma</t>
  </si>
  <si>
    <t>Frederick</t>
  </si>
  <si>
    <t>Knoxville</t>
  </si>
  <si>
    <t>Norfolk</t>
  </si>
  <si>
    <t>Green Bay</t>
  </si>
  <si>
    <t>Aisha Rahman</t>
  </si>
  <si>
    <t>Aisha Khan</t>
  </si>
  <si>
    <t>Aisha Hassan</t>
  </si>
  <si>
    <t>Aisha Ali</t>
  </si>
  <si>
    <t>Omar Rahman</t>
  </si>
  <si>
    <t>Omar Khan</t>
  </si>
  <si>
    <t>Omar Hassan</t>
  </si>
  <si>
    <t>Omar Ali</t>
  </si>
  <si>
    <t>Fatima Rahman</t>
  </si>
  <si>
    <t>Fatima Khan</t>
  </si>
  <si>
    <t>Fatima Hassan</t>
  </si>
  <si>
    <t>Fatima Ali</t>
  </si>
  <si>
    <t>Mohammed Rahman</t>
  </si>
  <si>
    <t>Mohammed Khan</t>
  </si>
  <si>
    <t>Mohammed Hassan</t>
  </si>
  <si>
    <t>Mohammed Ali</t>
  </si>
  <si>
    <t>Valentina Martinez</t>
  </si>
  <si>
    <t>Valentina Lopez</t>
  </si>
  <si>
    <t>Valentina Rodriguez</t>
  </si>
  <si>
    <t>Valentina Garcia</t>
  </si>
  <si>
    <t>Mateo Martinez</t>
  </si>
  <si>
    <t>Mateo Lopez</t>
  </si>
  <si>
    <t>Mateo Rodriguez</t>
  </si>
  <si>
    <t>Mateo Garcia</t>
  </si>
  <si>
    <t>Sofia Martinez</t>
  </si>
  <si>
    <t>Sofia Lopez</t>
  </si>
  <si>
    <t>Sofia Rodriguez</t>
  </si>
  <si>
    <t>Sofia Garcia</t>
  </si>
  <si>
    <t>Carlos Martinez</t>
  </si>
  <si>
    <t>Carlos Lopez</t>
  </si>
  <si>
    <t>Carlos Rodriguez</t>
  </si>
  <si>
    <t>Carlos Garcia</t>
  </si>
  <si>
    <t>Mei Liu</t>
  </si>
  <si>
    <t>Mei Zhang</t>
  </si>
  <si>
    <t>Mei Li</t>
  </si>
  <si>
    <t>Mei Wang</t>
  </si>
  <si>
    <t>Chen Liu</t>
  </si>
  <si>
    <t>Chen Zhang</t>
  </si>
  <si>
    <t>Chen Li</t>
  </si>
  <si>
    <t>Chen Wang</t>
  </si>
  <si>
    <t>Li Liu</t>
  </si>
  <si>
    <t>Li Zhang</t>
  </si>
  <si>
    <t>Li Li</t>
  </si>
  <si>
    <t>Li Wang</t>
  </si>
  <si>
    <t>Wei Liu</t>
  </si>
  <si>
    <t>Wei Zhang</t>
  </si>
  <si>
    <t>Wei Li</t>
  </si>
  <si>
    <t>Wei Wang</t>
  </si>
  <si>
    <t>Ananya Gupta</t>
  </si>
  <si>
    <t>Ananya Reddy</t>
  </si>
  <si>
    <t>Ananya Patel</t>
  </si>
  <si>
    <t>Ananya Sharma</t>
  </si>
  <si>
    <t>Rahul Gupta</t>
  </si>
  <si>
    <t>Rahul Reddy</t>
  </si>
  <si>
    <t>Rahul Patel</t>
  </si>
  <si>
    <t>Rahul Sharma</t>
  </si>
  <si>
    <t>Priya Gupta</t>
  </si>
  <si>
    <t>Priya Reddy</t>
  </si>
  <si>
    <t>Priya Patel</t>
  </si>
  <si>
    <t>Priya Sharma</t>
  </si>
  <si>
    <t>Aarav Gupta</t>
  </si>
  <si>
    <t>Aarav Reddy</t>
  </si>
  <si>
    <t>Aarav Patel</t>
  </si>
  <si>
    <t>Aarav Sharma</t>
  </si>
  <si>
    <t>Olivia Davis</t>
  </si>
  <si>
    <t>Olivia Brown</t>
  </si>
  <si>
    <t>Olivia Johnson</t>
  </si>
  <si>
    <t>Olivia Smith</t>
  </si>
  <si>
    <t>Liam Davis</t>
  </si>
  <si>
    <t>Liam Brown</t>
  </si>
  <si>
    <t>Liam Johnson</t>
  </si>
  <si>
    <t>Liam Smith</t>
  </si>
  <si>
    <t>Emma Davis</t>
  </si>
  <si>
    <t>Emma Brown</t>
  </si>
  <si>
    <t>Emma Johnson</t>
  </si>
  <si>
    <t>Emma Smith</t>
  </si>
  <si>
    <t>James Davis</t>
  </si>
  <si>
    <t>James Brown</t>
  </si>
  <si>
    <t>James Johnson</t>
  </si>
  <si>
    <t>James Smith</t>
  </si>
  <si>
    <t>Noah Martin</t>
  </si>
  <si>
    <t>Noah Jackson</t>
  </si>
  <si>
    <t>Noah Moore</t>
  </si>
  <si>
    <t>Noah Taylor</t>
  </si>
  <si>
    <t>Noah Thomas</t>
  </si>
  <si>
    <t>Noah Anderson</t>
  </si>
  <si>
    <t>Noah Wilson</t>
  </si>
  <si>
    <t>Noah Gonzalez</t>
  </si>
  <si>
    <t>Noah Miller</t>
  </si>
  <si>
    <t>Noah Garcia</t>
  </si>
  <si>
    <t>Noah Jones</t>
  </si>
  <si>
    <t>Noah Brown</t>
  </si>
  <si>
    <t>Noah Williams</t>
  </si>
  <si>
    <t>Noah Johnson</t>
  </si>
  <si>
    <t>Noah Smith</t>
  </si>
  <si>
    <t>Aisha Lewis</t>
  </si>
  <si>
    <t>Aisha Clark</t>
  </si>
  <si>
    <t>Aisha White</t>
  </si>
  <si>
    <t>Aisha Tran</t>
  </si>
  <si>
    <t>Aisha Pham</t>
  </si>
  <si>
    <t>Aisha Nguyen</t>
  </si>
  <si>
    <t>Aisha Costa</t>
  </si>
  <si>
    <t>Aisha Silva</t>
  </si>
  <si>
    <t>Aisha Fernandez</t>
  </si>
  <si>
    <t>Aisha Sato</t>
  </si>
  <si>
    <t>Aisha Tanaka</t>
  </si>
  <si>
    <t>Aisha Park</t>
  </si>
  <si>
    <t>Aisha Kim</t>
  </si>
  <si>
    <t>Aisha Chen</t>
  </si>
  <si>
    <t>Aisha Liu</t>
  </si>
  <si>
    <t>Aisha Zhang</t>
  </si>
  <si>
    <t>Aisha Li</t>
  </si>
  <si>
    <t>Aisha Wang</t>
  </si>
  <si>
    <t>Aisha Kumar</t>
  </si>
  <si>
    <t>Aisha Singh</t>
  </si>
  <si>
    <t>Aisha Verma</t>
  </si>
  <si>
    <t>Aisha Gupta</t>
  </si>
  <si>
    <t>Aisha Reddy</t>
  </si>
  <si>
    <t>Aisha Patel</t>
  </si>
  <si>
    <t>Aisha Sharma</t>
  </si>
  <si>
    <t>Aisha Martin</t>
  </si>
  <si>
    <t>Aisha Jackson</t>
  </si>
  <si>
    <t>Aisha Moore</t>
  </si>
  <si>
    <t>Aisha Taylor</t>
  </si>
  <si>
    <t>Aisha Thomas</t>
  </si>
  <si>
    <t>Aisha Anderson</t>
  </si>
  <si>
    <t>Aisha Wilson</t>
  </si>
  <si>
    <t>Aisha Gonzalez</t>
  </si>
  <si>
    <t>Aisha Lopez</t>
  </si>
  <si>
    <t>Aisha Hernandez</t>
  </si>
  <si>
    <t>Aisha Martinez</t>
  </si>
  <si>
    <t>Aisha Rodriguez</t>
  </si>
  <si>
    <t>Aisha Davis</t>
  </si>
  <si>
    <t>Aisha Miller</t>
  </si>
  <si>
    <t>Aisha Garcia</t>
  </si>
  <si>
    <t>Aisha Jones</t>
  </si>
  <si>
    <t>Aisha Brown</t>
  </si>
  <si>
    <t>Aisha Williams</t>
  </si>
  <si>
    <t>Aisha Johnson</t>
  </si>
  <si>
    <t>Aisha Smith</t>
  </si>
  <si>
    <t>Omar Lewis</t>
  </si>
  <si>
    <t>Omar Clark</t>
  </si>
  <si>
    <t>Omar White</t>
  </si>
  <si>
    <t>Omar Tran</t>
  </si>
  <si>
    <t>Omar Pham</t>
  </si>
  <si>
    <t>Omar Nguyen</t>
  </si>
  <si>
    <t>Omar Costa</t>
  </si>
  <si>
    <t>Omar Silva</t>
  </si>
  <si>
    <t>Omar Fernandez</t>
  </si>
  <si>
    <t>Omar Sato</t>
  </si>
  <si>
    <t>Omar Tanaka</t>
  </si>
  <si>
    <t>Omar Park</t>
  </si>
  <si>
    <t>Omar Kim</t>
  </si>
  <si>
    <t>Omar Chen</t>
  </si>
  <si>
    <t>Omar Liu</t>
  </si>
  <si>
    <t>Omar Zhang</t>
  </si>
  <si>
    <t>Omar Li</t>
  </si>
  <si>
    <t>Omar Wang</t>
  </si>
  <si>
    <t>Omar Kumar</t>
  </si>
  <si>
    <t>Omar Singh</t>
  </si>
  <si>
    <t>Omar Verma</t>
  </si>
  <si>
    <t>Omar Gupta</t>
  </si>
  <si>
    <t>Omar Reddy</t>
  </si>
  <si>
    <t>Omar Patel</t>
  </si>
  <si>
    <t>Omar Sharma</t>
  </si>
  <si>
    <t>Omar Martin</t>
  </si>
  <si>
    <t>Omar Jackson</t>
  </si>
  <si>
    <t>Omar Moore</t>
  </si>
  <si>
    <t>Omar Taylor</t>
  </si>
  <si>
    <t>Omar Thomas</t>
  </si>
  <si>
    <t>Omar Anderson</t>
  </si>
  <si>
    <t>Omar Wilson</t>
  </si>
  <si>
    <t>Omar Gonzalez</t>
  </si>
  <si>
    <t>Omar Lopez</t>
  </si>
  <si>
    <t>Omar Hernandez</t>
  </si>
  <si>
    <t>Omar Martinez</t>
  </si>
  <si>
    <t>Omar Rodriguez</t>
  </si>
  <si>
    <t>Omar Davis</t>
  </si>
  <si>
    <t>Omar Miller</t>
  </si>
  <si>
    <t>Omar Garcia</t>
  </si>
  <si>
    <t>Omar Jones</t>
  </si>
  <si>
    <t>Omar Brown</t>
  </si>
  <si>
    <t>Omar Williams</t>
  </si>
  <si>
    <t>Omar Johnson</t>
  </si>
  <si>
    <t>Omar Smith</t>
  </si>
  <si>
    <t>Fatima Lewis</t>
  </si>
  <si>
    <t>Fatima Clark</t>
  </si>
  <si>
    <t>Fatima White</t>
  </si>
  <si>
    <t>Fatima Tran</t>
  </si>
  <si>
    <t>Fatima Pham</t>
  </si>
  <si>
    <t>Fatima Nguyen</t>
  </si>
  <si>
    <t>Fatima Costa</t>
  </si>
  <si>
    <t>Fatima Silva</t>
  </si>
  <si>
    <t>Fatima Fernandez</t>
  </si>
  <si>
    <t>Fatima Sato</t>
  </si>
  <si>
    <t>Fatima Tanaka</t>
  </si>
  <si>
    <t>Fatima Park</t>
  </si>
  <si>
    <t>Fatima Kim</t>
  </si>
  <si>
    <t>Fatima Chen</t>
  </si>
  <si>
    <t>Fatima Liu</t>
  </si>
  <si>
    <t>Fatima Zhang</t>
  </si>
  <si>
    <t>Fatima Li</t>
  </si>
  <si>
    <t>Fatima Wang</t>
  </si>
  <si>
    <t>Fatima Kumar</t>
  </si>
  <si>
    <t>Fatima Singh</t>
  </si>
  <si>
    <t>Fatima Verma</t>
  </si>
  <si>
    <t>Fatima Gupta</t>
  </si>
  <si>
    <t>Fatima Reddy</t>
  </si>
  <si>
    <t>Fatima Patel</t>
  </si>
  <si>
    <t>Fatima Sharma</t>
  </si>
  <si>
    <t>Fatima Martin</t>
  </si>
  <si>
    <t>Fatima Jackson</t>
  </si>
  <si>
    <t>Fatima Moore</t>
  </si>
  <si>
    <t>Fatima Taylor</t>
  </si>
  <si>
    <t>Fatima Thomas</t>
  </si>
  <si>
    <t>Fatima Anderson</t>
  </si>
  <si>
    <t>Fatima Wilson</t>
  </si>
  <si>
    <t>Fatima Gonzalez</t>
  </si>
  <si>
    <t>Fatima Lopez</t>
  </si>
  <si>
    <t>Fatima Hernandez</t>
  </si>
  <si>
    <t>Fatima Martinez</t>
  </si>
  <si>
    <t>Fatima Rodriguez</t>
  </si>
  <si>
    <t>Fatima Davis</t>
  </si>
  <si>
    <t>Fatima Miller</t>
  </si>
  <si>
    <t>Fatima Garcia</t>
  </si>
  <si>
    <t>Fatima Jones</t>
  </si>
  <si>
    <t>Fatima Brown</t>
  </si>
  <si>
    <t>Fatima Williams</t>
  </si>
  <si>
    <t>Fatima Johnson</t>
  </si>
  <si>
    <t>Fatima Smith</t>
  </si>
  <si>
    <t>Mohammed Lewis</t>
  </si>
  <si>
    <t>Mohammed Clark</t>
  </si>
  <si>
    <t>Mohammed White</t>
  </si>
  <si>
    <t>Mohammed Tran</t>
  </si>
  <si>
    <t>Mohammed Pham</t>
  </si>
  <si>
    <t>Mohammed Nguyen</t>
  </si>
  <si>
    <t>Mohammed Costa</t>
  </si>
  <si>
    <t>Mohammed Silva</t>
  </si>
  <si>
    <t>Mohammed Fernandez</t>
  </si>
  <si>
    <t>Mohammed Sato</t>
  </si>
  <si>
    <t>Mohammed Tanaka</t>
  </si>
  <si>
    <t>Mohammed Park</t>
  </si>
  <si>
    <t>Mohammed Kim</t>
  </si>
  <si>
    <t>Mohammed Chen</t>
  </si>
  <si>
    <t>Mohammed Liu</t>
  </si>
  <si>
    <t>Mohammed Zhang</t>
  </si>
  <si>
    <t>Mohammed Li</t>
  </si>
  <si>
    <t>Mohammed Wang</t>
  </si>
  <si>
    <t>Mohammed Kumar</t>
  </si>
  <si>
    <t>Mohammed Singh</t>
  </si>
  <si>
    <t>Mohammed Verma</t>
  </si>
  <si>
    <t>Mohammed Gupta</t>
  </si>
  <si>
    <t>Mohammed Reddy</t>
  </si>
  <si>
    <t>Mohammed Patel</t>
  </si>
  <si>
    <t>Mohammed Sharma</t>
  </si>
  <si>
    <t>Mohammed Martin</t>
  </si>
  <si>
    <t>Mohammed Jackson</t>
  </si>
  <si>
    <t>Mohammed Moore</t>
  </si>
  <si>
    <t>Mohammed Taylor</t>
  </si>
  <si>
    <t>Mohammed Thomas</t>
  </si>
  <si>
    <t>Mohammed Anderson</t>
  </si>
  <si>
    <t>Mohammed Wilson</t>
  </si>
  <si>
    <t>Mohammed Gonzalez</t>
  </si>
  <si>
    <t>Mohammed Lopez</t>
  </si>
  <si>
    <t>Mohammed Hernandez</t>
  </si>
  <si>
    <t>Mohammed Martinez</t>
  </si>
  <si>
    <t>Mohammed Rodriguez</t>
  </si>
  <si>
    <t>Mohammed Davis</t>
  </si>
  <si>
    <t>Mohammed Miller</t>
  </si>
  <si>
    <t>Mohammed Garcia</t>
  </si>
  <si>
    <t>Mohammed Jones</t>
  </si>
  <si>
    <t>Mohammed Brown</t>
  </si>
  <si>
    <t>Mohammed Williams</t>
  </si>
  <si>
    <t>Mohammed Johnson</t>
  </si>
  <si>
    <t>Mohammed Smith</t>
  </si>
  <si>
    <t>Valentina Lewis</t>
  </si>
  <si>
    <t>Valentina Clark</t>
  </si>
  <si>
    <t>Valentina White</t>
  </si>
  <si>
    <t>Valentina Tran</t>
  </si>
  <si>
    <t>Valentina Pham</t>
  </si>
  <si>
    <t>Valentina Nguyen</t>
  </si>
  <si>
    <t>Valentina Rahman</t>
  </si>
  <si>
    <t>Valentina Khan</t>
  </si>
  <si>
    <t>Valentina Hassan</t>
  </si>
  <si>
    <t>Valentina Ali</t>
  </si>
  <si>
    <t>Valentina Costa</t>
  </si>
  <si>
    <t>Valentina Silva</t>
  </si>
  <si>
    <t>Valentina Fernandez</t>
  </si>
  <si>
    <t>Valentina Sato</t>
  </si>
  <si>
    <t>Valentina Tanaka</t>
  </si>
  <si>
    <t>Valentina Park</t>
  </si>
  <si>
    <t>Valentina Kim</t>
  </si>
  <si>
    <t>Valentina Chen</t>
  </si>
  <si>
    <t>Valentina Liu</t>
  </si>
  <si>
    <t>Valentina Zhang</t>
  </si>
  <si>
    <t>Valentina Li</t>
  </si>
  <si>
    <t>Valentina Wang</t>
  </si>
  <si>
    <t>Valentina Kumar</t>
  </si>
  <si>
    <t>Valentina Singh</t>
  </si>
  <si>
    <t>Valentina Verma</t>
  </si>
  <si>
    <t>Valentina Gupta</t>
  </si>
  <si>
    <t>Valentina Reddy</t>
  </si>
  <si>
    <t>Valentina Patel</t>
  </si>
  <si>
    <t>Valentina Sharma</t>
  </si>
  <si>
    <t>Valentina Martin</t>
  </si>
  <si>
    <t>Valentina Jackson</t>
  </si>
  <si>
    <t>Valentina Moore</t>
  </si>
  <si>
    <t>Valentina Taylor</t>
  </si>
  <si>
    <t>Valentina Thomas</t>
  </si>
  <si>
    <t>Valentina Anderson</t>
  </si>
  <si>
    <t>Valentina Wilson</t>
  </si>
  <si>
    <t>Valentina Gonzalez</t>
  </si>
  <si>
    <t>Valentina Hernandez</t>
  </si>
  <si>
    <t>Valentina Davis</t>
  </si>
  <si>
    <t>Valentina Miller</t>
  </si>
  <si>
    <t>Valentina Jones</t>
  </si>
  <si>
    <t>Valentina Brown</t>
  </si>
  <si>
    <t>Valentina Williams</t>
  </si>
  <si>
    <t>Valentina Johnson</t>
  </si>
  <si>
    <t>Valentina Smith</t>
  </si>
  <si>
    <t>Mateo Lewis</t>
  </si>
  <si>
    <t>Mateo Clark</t>
  </si>
  <si>
    <t>Mateo White</t>
  </si>
  <si>
    <t>Mateo Tran</t>
  </si>
  <si>
    <t>Mateo Pham</t>
  </si>
  <si>
    <t>Mateo Nguyen</t>
  </si>
  <si>
    <t>Mateo Rahman</t>
  </si>
  <si>
    <t>Mateo Khan</t>
  </si>
  <si>
    <t>Mateo Hassan</t>
  </si>
  <si>
    <t>Mateo Ali</t>
  </si>
  <si>
    <t>Mateo Costa</t>
  </si>
  <si>
    <t>Mateo Silva</t>
  </si>
  <si>
    <t>Mateo Fernandez</t>
  </si>
  <si>
    <t>Mateo Sato</t>
  </si>
  <si>
    <t>Mateo Tanaka</t>
  </si>
  <si>
    <t>Mateo Park</t>
  </si>
  <si>
    <t>Mateo Kim</t>
  </si>
  <si>
    <t>Mateo Chen</t>
  </si>
  <si>
    <t>Mateo Liu</t>
  </si>
  <si>
    <t>Mateo Zhang</t>
  </si>
  <si>
    <t>Mateo Li</t>
  </si>
  <si>
    <t>Mateo Wang</t>
  </si>
  <si>
    <t>Mateo Kumar</t>
  </si>
  <si>
    <t>Mateo Singh</t>
  </si>
  <si>
    <t>Mateo Verma</t>
  </si>
  <si>
    <t>Mateo Gupta</t>
  </si>
  <si>
    <t>Mateo Reddy</t>
  </si>
  <si>
    <t>Mateo Patel</t>
  </si>
  <si>
    <t>Mateo Sharma</t>
  </si>
  <si>
    <t>Mateo Martin</t>
  </si>
  <si>
    <t>Mateo Jackson</t>
  </si>
  <si>
    <t>Mateo Moore</t>
  </si>
  <si>
    <t>Mateo Taylor</t>
  </si>
  <si>
    <t>Mateo Thomas</t>
  </si>
  <si>
    <t>Mateo Anderson</t>
  </si>
  <si>
    <t>Mateo Wilson</t>
  </si>
  <si>
    <t>Mateo Gonzalez</t>
  </si>
  <si>
    <t>Mateo Hernandez</t>
  </si>
  <si>
    <t>Mateo Davis</t>
  </si>
  <si>
    <t>Mateo Miller</t>
  </si>
  <si>
    <t>Mateo Jones</t>
  </si>
  <si>
    <t>Mateo Brown</t>
  </si>
  <si>
    <t>Mateo Williams</t>
  </si>
  <si>
    <t>Mateo Johnson</t>
  </si>
  <si>
    <t>Mateo Smith</t>
  </si>
  <si>
    <t>Sofia Lewis</t>
  </si>
  <si>
    <t>Sofia Clark</t>
  </si>
  <si>
    <t>Sofia White</t>
  </si>
  <si>
    <t>Sofia Tran</t>
  </si>
  <si>
    <t>Sofia Pham</t>
  </si>
  <si>
    <t>Sofia Nguyen</t>
  </si>
  <si>
    <t>Sofia Rahman</t>
  </si>
  <si>
    <t>Sofia Khan</t>
  </si>
  <si>
    <t>Sofia Hassan</t>
  </si>
  <si>
    <t>Sofia Ali</t>
  </si>
  <si>
    <t>Sofia Costa</t>
  </si>
  <si>
    <t>Sofia Silva</t>
  </si>
  <si>
    <t>Sofia Fernandez</t>
  </si>
  <si>
    <t>Sofia Sato</t>
  </si>
  <si>
    <t>Sofia Tanaka</t>
  </si>
  <si>
    <t>Sofia Park</t>
  </si>
  <si>
    <t>Sofia Kim</t>
  </si>
  <si>
    <t>Sofia Chen</t>
  </si>
  <si>
    <t>Sofia Liu</t>
  </si>
  <si>
    <t>Sofia Zhang</t>
  </si>
  <si>
    <t>Sofia Li</t>
  </si>
  <si>
    <t>Sofia Wang</t>
  </si>
  <si>
    <t>Sofia Kumar</t>
  </si>
  <si>
    <t>Sofia Singh</t>
  </si>
  <si>
    <t>Sofia Verma</t>
  </si>
  <si>
    <t>Sofia Gupta</t>
  </si>
  <si>
    <t>Sofia Reddy</t>
  </si>
  <si>
    <t>Sofia Patel</t>
  </si>
  <si>
    <t>Sofia Sharma</t>
  </si>
  <si>
    <t>Sofia Martin</t>
  </si>
  <si>
    <t>Sofia Jackson</t>
  </si>
  <si>
    <t>Sofia Moore</t>
  </si>
  <si>
    <t>Sofia Taylor</t>
  </si>
  <si>
    <t>Sofia Thomas</t>
  </si>
  <si>
    <t>Sofia Anderson</t>
  </si>
  <si>
    <t>Sofia Wilson</t>
  </si>
  <si>
    <t>Sofia Gonzalez</t>
  </si>
  <si>
    <t>Sofia Hernandez</t>
  </si>
  <si>
    <t>Sofia Davis</t>
  </si>
  <si>
    <t>Sofia Miller</t>
  </si>
  <si>
    <t>Sofia Jones</t>
  </si>
  <si>
    <t>Sofia Brown</t>
  </si>
  <si>
    <t>Sofia Williams</t>
  </si>
  <si>
    <t>Sofia Johnson</t>
  </si>
  <si>
    <t>Sofia Smith</t>
  </si>
  <si>
    <t>Carlos Lewis</t>
  </si>
  <si>
    <t>Carlos Clark</t>
  </si>
  <si>
    <t>Carlos White</t>
  </si>
  <si>
    <t>Carlos Tran</t>
  </si>
  <si>
    <t>Carlos Pham</t>
  </si>
  <si>
    <t>Carlos Nguyen</t>
  </si>
  <si>
    <t>Carlos Rahman</t>
  </si>
  <si>
    <t>Carlos Khan</t>
  </si>
  <si>
    <t>Carlos Hassan</t>
  </si>
  <si>
    <t>Carlos Ali</t>
  </si>
  <si>
    <t>Carlos Costa</t>
  </si>
  <si>
    <t>Carlos Silva</t>
  </si>
  <si>
    <t>Carlos Fernandez</t>
  </si>
  <si>
    <t>Carlos Sato</t>
  </si>
  <si>
    <t>Carlos Tanaka</t>
  </si>
  <si>
    <t>Carlos Park</t>
  </si>
  <si>
    <t>Carlos Kim</t>
  </si>
  <si>
    <t>Carlos Chen</t>
  </si>
  <si>
    <t>Carlos Liu</t>
  </si>
  <si>
    <t>Carlos Zhang</t>
  </si>
  <si>
    <t>Carlos Li</t>
  </si>
  <si>
    <t>Carlos Wang</t>
  </si>
  <si>
    <t>Carlos Kumar</t>
  </si>
  <si>
    <t>Carlos Singh</t>
  </si>
  <si>
    <t>Carlos Verma</t>
  </si>
  <si>
    <t>Carlos Gupta</t>
  </si>
  <si>
    <t>Carlos Reddy</t>
  </si>
  <si>
    <t>Carlos Patel</t>
  </si>
  <si>
    <t>Carlos Sharma</t>
  </si>
  <si>
    <t>Carlos Martin</t>
  </si>
  <si>
    <t>Carlos Jackson</t>
  </si>
  <si>
    <t>Carlos Moore</t>
  </si>
  <si>
    <t>Carlos Taylor</t>
  </si>
  <si>
    <t>Carlos Thomas</t>
  </si>
  <si>
    <t>Carlos Anderson</t>
  </si>
  <si>
    <t>Carlos Wilson</t>
  </si>
  <si>
    <t>Carlos Gonzalez</t>
  </si>
  <si>
    <t>Carlos Hernandez</t>
  </si>
  <si>
    <t>Carlos Davis</t>
  </si>
  <si>
    <t>Carlos Miller</t>
  </si>
  <si>
    <t>Carlos Jones</t>
  </si>
  <si>
    <t>Carlos Brown</t>
  </si>
  <si>
    <t>Carlos Williams</t>
  </si>
  <si>
    <t>Carlos Johnson</t>
  </si>
  <si>
    <t>Carlos Smith</t>
  </si>
  <si>
    <t>Mei Lewis</t>
  </si>
  <si>
    <t>Mei Clark</t>
  </si>
  <si>
    <t>Mei White</t>
  </si>
  <si>
    <t>Mei Tran</t>
  </si>
  <si>
    <t>Mei Pham</t>
  </si>
  <si>
    <t>Mei Nguyen</t>
  </si>
  <si>
    <t>Mei Rahman</t>
  </si>
  <si>
    <t>Mei Khan</t>
  </si>
  <si>
    <t>Mei Hassan</t>
  </si>
  <si>
    <t>Mei Ali</t>
  </si>
  <si>
    <t>Mei Costa</t>
  </si>
  <si>
    <t>Mei Silva</t>
  </si>
  <si>
    <t>Mei Fernandez</t>
  </si>
  <si>
    <t>Mei Sato</t>
  </si>
  <si>
    <t>Mei Tanaka</t>
  </si>
  <si>
    <t>Mei Park</t>
  </si>
  <si>
    <t>Mei Kim</t>
  </si>
  <si>
    <t>Mei Chen</t>
  </si>
  <si>
    <t>Mei Kumar</t>
  </si>
  <si>
    <t>Mei Singh</t>
  </si>
  <si>
    <t>Mei Verma</t>
  </si>
  <si>
    <t>Mei Gupta</t>
  </si>
  <si>
    <t>Mei Reddy</t>
  </si>
  <si>
    <t>Mei Patel</t>
  </si>
  <si>
    <t>Mei Sharma</t>
  </si>
  <si>
    <t>Mei Martin</t>
  </si>
  <si>
    <t>Mei Jackson</t>
  </si>
  <si>
    <t>Mei Moore</t>
  </si>
  <si>
    <t>Mei Taylor</t>
  </si>
  <si>
    <t>Mei Thomas</t>
  </si>
  <si>
    <t>Mei Anderson</t>
  </si>
  <si>
    <t>Mei Wilson</t>
  </si>
  <si>
    <t>Mei Gonzalez</t>
  </si>
  <si>
    <t>Mei Lopez</t>
  </si>
  <si>
    <t>Mei Hernandez</t>
  </si>
  <si>
    <t>Mei Martinez</t>
  </si>
  <si>
    <t>Mei Rodriguez</t>
  </si>
  <si>
    <t>Mei Davis</t>
  </si>
  <si>
    <t>Mei Miller</t>
  </si>
  <si>
    <t>Mei Garcia</t>
  </si>
  <si>
    <t>Mei Jones</t>
  </si>
  <si>
    <t>Mei Brown</t>
  </si>
  <si>
    <t>Mei Williams</t>
  </si>
  <si>
    <t>Mei Johnson</t>
  </si>
  <si>
    <t>Mei Smith</t>
  </si>
  <si>
    <t>Chen Lewis</t>
  </si>
  <si>
    <t>Chen Clark</t>
  </si>
  <si>
    <t>Chen White</t>
  </si>
  <si>
    <t>Chen Tran</t>
  </si>
  <si>
    <t>Chen Pham</t>
  </si>
  <si>
    <t>Chen Nguyen</t>
  </si>
  <si>
    <t>Chen Rahman</t>
  </si>
  <si>
    <t>Chen Khan</t>
  </si>
  <si>
    <t>Chen Hassan</t>
  </si>
  <si>
    <t>Chen Ali</t>
  </si>
  <si>
    <t>Chen Costa</t>
  </si>
  <si>
    <t>Chen Silva</t>
  </si>
  <si>
    <t>Chen Fernandez</t>
  </si>
  <si>
    <t>Chen Sato</t>
  </si>
  <si>
    <t>Chen Tanaka</t>
  </si>
  <si>
    <t>Chen Park</t>
  </si>
  <si>
    <t>Chen Kim</t>
  </si>
  <si>
    <t>Chen Chen</t>
  </si>
  <si>
    <t>Chen Kumar</t>
  </si>
  <si>
    <t>Chen Singh</t>
  </si>
  <si>
    <t>Chen Verma</t>
  </si>
  <si>
    <t>Chen Gupta</t>
  </si>
  <si>
    <t>Chen Reddy</t>
  </si>
  <si>
    <t>Chen Patel</t>
  </si>
  <si>
    <t>Chen Sharma</t>
  </si>
  <si>
    <t>Chen Martin</t>
  </si>
  <si>
    <t>Chen Jackson</t>
  </si>
  <si>
    <t>Chen Moore</t>
  </si>
  <si>
    <t>Chen Taylor</t>
  </si>
  <si>
    <t>Chen Thomas</t>
  </si>
  <si>
    <t>Chen Anderson</t>
  </si>
  <si>
    <t>Chen Wilson</t>
  </si>
  <si>
    <t>Chen Gonzalez</t>
  </si>
  <si>
    <t>Chen Lopez</t>
  </si>
  <si>
    <t>Chen Hernandez</t>
  </si>
  <si>
    <t>Chen Martinez</t>
  </si>
  <si>
    <t>Chen Rodriguez</t>
  </si>
  <si>
    <t>Chen Davis</t>
  </si>
  <si>
    <t>Chen Miller</t>
  </si>
  <si>
    <t>Chen Garcia</t>
  </si>
  <si>
    <t>Chen Jones</t>
  </si>
  <si>
    <t>Chen Brown</t>
  </si>
  <si>
    <t>Chen Williams</t>
  </si>
  <si>
    <t>Chen Johnson</t>
  </si>
  <si>
    <t>Chen Smith</t>
  </si>
  <si>
    <t>Li Lewis</t>
  </si>
  <si>
    <t>Li Clark</t>
  </si>
  <si>
    <t>Li White</t>
  </si>
  <si>
    <t>Li Tran</t>
  </si>
  <si>
    <t>Li Pham</t>
  </si>
  <si>
    <t>Li Nguyen</t>
  </si>
  <si>
    <t>Li Rahman</t>
  </si>
  <si>
    <t>Li Khan</t>
  </si>
  <si>
    <t>Li Hassan</t>
  </si>
  <si>
    <t>Li Ali</t>
  </si>
  <si>
    <t>Li Costa</t>
  </si>
  <si>
    <t>Li Silva</t>
  </si>
  <si>
    <t>Li Fernandez</t>
  </si>
  <si>
    <t>Li Sato</t>
  </si>
  <si>
    <t>Li Tanaka</t>
  </si>
  <si>
    <t>Li Park</t>
  </si>
  <si>
    <t>Li Kim</t>
  </si>
  <si>
    <t>Li Chen</t>
  </si>
  <si>
    <t>Li Kumar</t>
  </si>
  <si>
    <t>Li Singh</t>
  </si>
  <si>
    <t>Li Verma</t>
  </si>
  <si>
    <t>Li Gupta</t>
  </si>
  <si>
    <t>Li Reddy</t>
  </si>
  <si>
    <t>Li Patel</t>
  </si>
  <si>
    <t>Li Sharma</t>
  </si>
  <si>
    <t>Li Martin</t>
  </si>
  <si>
    <t>Li Jackson</t>
  </si>
  <si>
    <t>Li Moore</t>
  </si>
  <si>
    <t>Li Taylor</t>
  </si>
  <si>
    <t>Li Thomas</t>
  </si>
  <si>
    <t>Li Anderson</t>
  </si>
  <si>
    <t>Li Wilson</t>
  </si>
  <si>
    <t>Li Gonzalez</t>
  </si>
  <si>
    <t>Li Lopez</t>
  </si>
  <si>
    <t>Li Hernandez</t>
  </si>
  <si>
    <t>Li Martinez</t>
  </si>
  <si>
    <t>Li Rodriguez</t>
  </si>
  <si>
    <t>Li Davis</t>
  </si>
  <si>
    <t>Li Miller</t>
  </si>
  <si>
    <t>Li Garcia</t>
  </si>
  <si>
    <t>Li Jones</t>
  </si>
  <si>
    <t>Li Brown</t>
  </si>
  <si>
    <t>Li Williams</t>
  </si>
  <si>
    <t>Li Johnson</t>
  </si>
  <si>
    <t>Li Smith</t>
  </si>
  <si>
    <t>Wei Lewis</t>
  </si>
  <si>
    <t>Wei Clark</t>
  </si>
  <si>
    <t>Wei White</t>
  </si>
  <si>
    <t>Wei Tran</t>
  </si>
  <si>
    <t>Wei Pham</t>
  </si>
  <si>
    <t>Wei Nguyen</t>
  </si>
  <si>
    <t>Wei Rahman</t>
  </si>
  <si>
    <t>Wei Khan</t>
  </si>
  <si>
    <t>Wei Hassan</t>
  </si>
  <si>
    <t>Wei Ali</t>
  </si>
  <si>
    <t>Wei Costa</t>
  </si>
  <si>
    <t>Wei Silva</t>
  </si>
  <si>
    <t>Wei Fernandez</t>
  </si>
  <si>
    <t>Wei Sato</t>
  </si>
  <si>
    <t>Wei Tanaka</t>
  </si>
  <si>
    <t>Wei Park</t>
  </si>
  <si>
    <t>Wei Kim</t>
  </si>
  <si>
    <t>Wei Chen</t>
  </si>
  <si>
    <t>Wei Kumar</t>
  </si>
  <si>
    <t>Wei Singh</t>
  </si>
  <si>
    <t>Wei Verma</t>
  </si>
  <si>
    <t>Wei Gupta</t>
  </si>
  <si>
    <t>Wei Reddy</t>
  </si>
  <si>
    <t>Wei Patel</t>
  </si>
  <si>
    <t>Wei Sharma</t>
  </si>
  <si>
    <t>Wei Martin</t>
  </si>
  <si>
    <t>Wei Jackson</t>
  </si>
  <si>
    <t>Wei Moore</t>
  </si>
  <si>
    <t>Wei Taylor</t>
  </si>
  <si>
    <t>Wei Thomas</t>
  </si>
  <si>
    <t>Wei Anderson</t>
  </si>
  <si>
    <t>Wei Wilson</t>
  </si>
  <si>
    <t>Wei Gonzalez</t>
  </si>
  <si>
    <t>Wei Lopez</t>
  </si>
  <si>
    <t>Wei Hernandez</t>
  </si>
  <si>
    <t>Wei Martinez</t>
  </si>
  <si>
    <t>Wei Rodriguez</t>
  </si>
  <si>
    <t>Wei Davis</t>
  </si>
  <si>
    <t>Wei Miller</t>
  </si>
  <si>
    <t>Wei Garcia</t>
  </si>
  <si>
    <t>Wei Jones</t>
  </si>
  <si>
    <t>Wei Brown</t>
  </si>
  <si>
    <t>Wei Williams</t>
  </si>
  <si>
    <t>Wei Johnson</t>
  </si>
  <si>
    <t>Wei Smith</t>
  </si>
  <si>
    <t>Ananya Lewis</t>
  </si>
  <si>
    <t>Ananya Clark</t>
  </si>
  <si>
    <t>Ananya White</t>
  </si>
  <si>
    <t>Ananya Tran</t>
  </si>
  <si>
    <t>Ananya Pham</t>
  </si>
  <si>
    <t>Ananya Nguyen</t>
  </si>
  <si>
    <t>Ananya Rahman</t>
  </si>
  <si>
    <t>Ananya Khan</t>
  </si>
  <si>
    <t>Ananya Hassan</t>
  </si>
  <si>
    <t>Ananya Ali</t>
  </si>
  <si>
    <t>Ananya Costa</t>
  </si>
  <si>
    <t>Ananya Silva</t>
  </si>
  <si>
    <t>Ananya Fernandez</t>
  </si>
  <si>
    <t>Ananya Sato</t>
  </si>
  <si>
    <t>Ananya Tanaka</t>
  </si>
  <si>
    <t>Ananya Park</t>
  </si>
  <si>
    <t>Ananya Kim</t>
  </si>
  <si>
    <t>Ananya Chen</t>
  </si>
  <si>
    <t>Ananya Liu</t>
  </si>
  <si>
    <t>Ananya Zhang</t>
  </si>
  <si>
    <t>Ananya Li</t>
  </si>
  <si>
    <t>Ananya Wang</t>
  </si>
  <si>
    <t>Ananya Kumar</t>
  </si>
  <si>
    <t>Ananya Singh</t>
  </si>
  <si>
    <t>Ananya Verma</t>
  </si>
  <si>
    <t>Ananya Martin</t>
  </si>
  <si>
    <t>Ananya Jackson</t>
  </si>
  <si>
    <t>Ananya Moore</t>
  </si>
  <si>
    <t>Ananya Taylor</t>
  </si>
  <si>
    <t>Ananya Thomas</t>
  </si>
  <si>
    <t>Ananya Anderson</t>
  </si>
  <si>
    <t>Ananya Wilson</t>
  </si>
  <si>
    <t>Ananya Gonzalez</t>
  </si>
  <si>
    <t>Ananya Lopez</t>
  </si>
  <si>
    <t>Ananya Hernandez</t>
  </si>
  <si>
    <t>Ananya Martinez</t>
  </si>
  <si>
    <t>Ananya Rodriguez</t>
  </si>
  <si>
    <t>Ananya Davis</t>
  </si>
  <si>
    <t>Ananya Miller</t>
  </si>
  <si>
    <t>Ananya Garcia</t>
  </si>
  <si>
    <t>Ananya Jones</t>
  </si>
  <si>
    <t>Ananya Brown</t>
  </si>
  <si>
    <t>Ananya Williams</t>
  </si>
  <si>
    <t>Ananya Johnson</t>
  </si>
  <si>
    <t>Ananya Smith</t>
  </si>
  <si>
    <t>Rahul Lewis</t>
  </si>
  <si>
    <t>Rahul Clark</t>
  </si>
  <si>
    <t>Rahul White</t>
  </si>
  <si>
    <t>Rahul Tran</t>
  </si>
  <si>
    <t>Rahul Pham</t>
  </si>
  <si>
    <t>Rahul Nguyen</t>
  </si>
  <si>
    <t>Rahul Rahman</t>
  </si>
  <si>
    <t>Rahul Khan</t>
  </si>
  <si>
    <t>Rahul Hassan</t>
  </si>
  <si>
    <t>Rahul Ali</t>
  </si>
  <si>
    <t>Rahul Costa</t>
  </si>
  <si>
    <t>Rahul Silva</t>
  </si>
  <si>
    <t>Rahul Fernandez</t>
  </si>
  <si>
    <t>Rahul Sato</t>
  </si>
  <si>
    <t>Rahul Tanaka</t>
  </si>
  <si>
    <t>Rahul Park</t>
  </si>
  <si>
    <t>Rahul Kim</t>
  </si>
  <si>
    <t>Rahul Chen</t>
  </si>
  <si>
    <t>Rahul Liu</t>
  </si>
  <si>
    <t>Rahul Zhang</t>
  </si>
  <si>
    <t>Rahul Li</t>
  </si>
  <si>
    <t>Rahul Wang</t>
  </si>
  <si>
    <t>Rahul Kumar</t>
  </si>
  <si>
    <t>Rahul Singh</t>
  </si>
  <si>
    <t>Rahul Verma</t>
  </si>
  <si>
    <t>Rahul Martin</t>
  </si>
  <si>
    <t>Rahul Jackson</t>
  </si>
  <si>
    <t>Rahul Moore</t>
  </si>
  <si>
    <t>Rahul Taylor</t>
  </si>
  <si>
    <t>Rahul Thomas</t>
  </si>
  <si>
    <t>Rahul Anderson</t>
  </si>
  <si>
    <t>Rahul Wilson</t>
  </si>
  <si>
    <t>Rahul Gonzalez</t>
  </si>
  <si>
    <t>Rahul Lopez</t>
  </si>
  <si>
    <t>Rahul Hernandez</t>
  </si>
  <si>
    <t>Rahul Martinez</t>
  </si>
  <si>
    <t>Rahul Rodriguez</t>
  </si>
  <si>
    <t>Rahul Davis</t>
  </si>
  <si>
    <t>Rahul Miller</t>
  </si>
  <si>
    <t>Rahul Garcia</t>
  </si>
  <si>
    <t>Rahul Jones</t>
  </si>
  <si>
    <t>Rahul Brown</t>
  </si>
  <si>
    <t>Rahul Williams</t>
  </si>
  <si>
    <t>Rahul Johnson</t>
  </si>
  <si>
    <t>Rahul Smith</t>
  </si>
  <si>
    <t>Priya Lewis</t>
  </si>
  <si>
    <t>Priya Clark</t>
  </si>
  <si>
    <t>Priya White</t>
  </si>
  <si>
    <t>Priya Tran</t>
  </si>
  <si>
    <t>Priya Pham</t>
  </si>
  <si>
    <t>Priya Nguyen</t>
  </si>
  <si>
    <t>Priya Rahman</t>
  </si>
  <si>
    <t>Priya Khan</t>
  </si>
  <si>
    <t>Priya Hassan</t>
  </si>
  <si>
    <t>Priya Ali</t>
  </si>
  <si>
    <t>Priya Costa</t>
  </si>
  <si>
    <t>Priya Silva</t>
  </si>
  <si>
    <t>Priya Fernandez</t>
  </si>
  <si>
    <t>Priya Sato</t>
  </si>
  <si>
    <t>Priya Tanaka</t>
  </si>
  <si>
    <t>Priya Park</t>
  </si>
  <si>
    <t>Priya Kim</t>
  </si>
  <si>
    <t>Priya Chen</t>
  </si>
  <si>
    <t>Priya Liu</t>
  </si>
  <si>
    <t>Priya Zhang</t>
  </si>
  <si>
    <t>Priya Li</t>
  </si>
  <si>
    <t>Priya Wang</t>
  </si>
  <si>
    <t>Priya Kumar</t>
  </si>
  <si>
    <t>Priya Singh</t>
  </si>
  <si>
    <t>Priya Verma</t>
  </si>
  <si>
    <t>Priya Martin</t>
  </si>
  <si>
    <t>Priya Jackson</t>
  </si>
  <si>
    <t>Priya Moore</t>
  </si>
  <si>
    <t>Priya Taylor</t>
  </si>
  <si>
    <t>Priya Thomas</t>
  </si>
  <si>
    <t>Priya Anderson</t>
  </si>
  <si>
    <t>Priya Wilson</t>
  </si>
  <si>
    <t>Priya Gonzalez</t>
  </si>
  <si>
    <t>Priya Lopez</t>
  </si>
  <si>
    <t>Priya Hernandez</t>
  </si>
  <si>
    <t>Priya Martinez</t>
  </si>
  <si>
    <t>Priya Rodriguez</t>
  </si>
  <si>
    <t>Priya Davis</t>
  </si>
  <si>
    <t>Priya Miller</t>
  </si>
  <si>
    <t>Priya Garcia</t>
  </si>
  <si>
    <t>Priya Jones</t>
  </si>
  <si>
    <t>Priya Brown</t>
  </si>
  <si>
    <t>Priya Williams</t>
  </si>
  <si>
    <t>Priya Johnson</t>
  </si>
  <si>
    <t>Priya Smith</t>
  </si>
  <si>
    <t>Aarav Lewis</t>
  </si>
  <si>
    <t>Aarav Clark</t>
  </si>
  <si>
    <t>Aarav White</t>
  </si>
  <si>
    <t>Aarav Tran</t>
  </si>
  <si>
    <t>Aarav Pham</t>
  </si>
  <si>
    <t>Aarav Nguyen</t>
  </si>
  <si>
    <t>Aarav Rahman</t>
  </si>
  <si>
    <t>Aarav Khan</t>
  </si>
  <si>
    <t>Aarav Hassan</t>
  </si>
  <si>
    <t>Aarav Ali</t>
  </si>
  <si>
    <t>Aarav Costa</t>
  </si>
  <si>
    <t>Aarav Silva</t>
  </si>
  <si>
    <t>Aarav Fernandez</t>
  </si>
  <si>
    <t>Aarav Sato</t>
  </si>
  <si>
    <t>Aarav Tanaka</t>
  </si>
  <si>
    <t>Aarav Park</t>
  </si>
  <si>
    <t>Aarav Kim</t>
  </si>
  <si>
    <t>Aarav Chen</t>
  </si>
  <si>
    <t>Aarav Liu</t>
  </si>
  <si>
    <t>Aarav Zhang</t>
  </si>
  <si>
    <t>Aarav Li</t>
  </si>
  <si>
    <t>Aarav Wang</t>
  </si>
  <si>
    <t>Aarav Kumar</t>
  </si>
  <si>
    <t>Aarav Singh</t>
  </si>
  <si>
    <t>Aarav Verma</t>
  </si>
  <si>
    <t>Aarav Martin</t>
  </si>
  <si>
    <t>Aarav Jackson</t>
  </si>
  <si>
    <t>Aarav Moore</t>
  </si>
  <si>
    <t>Aarav Taylor</t>
  </si>
  <si>
    <t>Aarav Thomas</t>
  </si>
  <si>
    <t>Aarav Anderson</t>
  </si>
  <si>
    <t>Aarav Wilson</t>
  </si>
  <si>
    <t>Aarav Gonzalez</t>
  </si>
  <si>
    <t>Aarav Lopez</t>
  </si>
  <si>
    <t>Aarav Hernandez</t>
  </si>
  <si>
    <t>Aarav Martinez</t>
  </si>
  <si>
    <t>Aarav Rodriguez</t>
  </si>
  <si>
    <t>Aarav Davis</t>
  </si>
  <si>
    <t>Aarav Miller</t>
  </si>
  <si>
    <t>Aarav Garcia</t>
  </si>
  <si>
    <t>Aarav Jones</t>
  </si>
  <si>
    <t>Aarav Brown</t>
  </si>
  <si>
    <t>Aarav Williams</t>
  </si>
  <si>
    <t>Aarav Johnson</t>
  </si>
  <si>
    <t>Aarav Smith</t>
  </si>
  <si>
    <t>Olivia Lewis</t>
  </si>
  <si>
    <t>Olivia Clark</t>
  </si>
  <si>
    <t>Olivia White</t>
  </si>
  <si>
    <t>Olivia Tran</t>
  </si>
  <si>
    <t>Olivia Pham</t>
  </si>
  <si>
    <t>Olivia Nguyen</t>
  </si>
  <si>
    <t>Olivia Rahman</t>
  </si>
  <si>
    <t>Olivia Khan</t>
  </si>
  <si>
    <t>Olivia Hassan</t>
  </si>
  <si>
    <t>Olivia Ali</t>
  </si>
  <si>
    <t>Olivia Costa</t>
  </si>
  <si>
    <t>Olivia Silva</t>
  </si>
  <si>
    <t>Olivia Fernandez</t>
  </si>
  <si>
    <t>Olivia Sato</t>
  </si>
  <si>
    <t>Olivia Tanaka</t>
  </si>
  <si>
    <t>Olivia Park</t>
  </si>
  <si>
    <t>Olivia Kim</t>
  </si>
  <si>
    <t>Olivia Chen</t>
  </si>
  <si>
    <t>Olivia Liu</t>
  </si>
  <si>
    <t>Olivia Zhang</t>
  </si>
  <si>
    <t>Olivia Li</t>
  </si>
  <si>
    <t>Olivia Wang</t>
  </si>
  <si>
    <t>Olivia Kumar</t>
  </si>
  <si>
    <t>Olivia Singh</t>
  </si>
  <si>
    <t>Olivia Verma</t>
  </si>
  <si>
    <t>Olivia Gupta</t>
  </si>
  <si>
    <t>Olivia Reddy</t>
  </si>
  <si>
    <t>Olivia Patel</t>
  </si>
  <si>
    <t>Olivia Sharma</t>
  </si>
  <si>
    <t>Olivia Martin</t>
  </si>
  <si>
    <t>Olivia Jackson</t>
  </si>
  <si>
    <t>Olivia Moore</t>
  </si>
  <si>
    <t>Olivia Taylor</t>
  </si>
  <si>
    <t>Olivia Thomas</t>
  </si>
  <si>
    <t>Olivia Anderson</t>
  </si>
  <si>
    <t>Olivia Wilson</t>
  </si>
  <si>
    <t>Olivia Gonzalez</t>
  </si>
  <si>
    <t>Olivia Lopez</t>
  </si>
  <si>
    <t>Olivia Hernandez</t>
  </si>
  <si>
    <t>Olivia Martinez</t>
  </si>
  <si>
    <t>Olivia Rodriguez</t>
  </si>
  <si>
    <t>Olivia Miller</t>
  </si>
  <si>
    <t>Olivia Garcia</t>
  </si>
  <si>
    <t>Olivia Jones</t>
  </si>
  <si>
    <t>Olivia Williams</t>
  </si>
  <si>
    <t>Liam Lewis</t>
  </si>
  <si>
    <t>Liam Clark</t>
  </si>
  <si>
    <t>Liam White</t>
  </si>
  <si>
    <t>Liam Tran</t>
  </si>
  <si>
    <t>Liam Pham</t>
  </si>
  <si>
    <t>Liam Nguyen</t>
  </si>
  <si>
    <t>Liam Rahman</t>
  </si>
  <si>
    <t>Liam Khan</t>
  </si>
  <si>
    <t>Liam Hassan</t>
  </si>
  <si>
    <t>Liam Ali</t>
  </si>
  <si>
    <t>Liam Costa</t>
  </si>
  <si>
    <t>Liam Silva</t>
  </si>
  <si>
    <t>Liam Fernandez</t>
  </si>
  <si>
    <t>Liam Sato</t>
  </si>
  <si>
    <t>Liam Tanaka</t>
  </si>
  <si>
    <t>Liam Park</t>
  </si>
  <si>
    <t>Liam Kim</t>
  </si>
  <si>
    <t>Liam Chen</t>
  </si>
  <si>
    <t>Liam Liu</t>
  </si>
  <si>
    <t>Liam Zhang</t>
  </si>
  <si>
    <t>Liam Li</t>
  </si>
  <si>
    <t>Liam Wang</t>
  </si>
  <si>
    <t>Liam Kumar</t>
  </si>
  <si>
    <t>Liam Singh</t>
  </si>
  <si>
    <t>Liam Verma</t>
  </si>
  <si>
    <t>Liam Gupta</t>
  </si>
  <si>
    <t>Liam Reddy</t>
  </si>
  <si>
    <t>Liam Patel</t>
  </si>
  <si>
    <t>Liam Sharma</t>
  </si>
  <si>
    <t>Liam Martin</t>
  </si>
  <si>
    <t>Liam Jackson</t>
  </si>
  <si>
    <t>Liam Moore</t>
  </si>
  <si>
    <t>Liam Taylor</t>
  </si>
  <si>
    <t>Liam Thomas</t>
  </si>
  <si>
    <t>Liam Anderson</t>
  </si>
  <si>
    <t>Liam Wilson</t>
  </si>
  <si>
    <t>Liam Gonzalez</t>
  </si>
  <si>
    <t>Liam Lopez</t>
  </si>
  <si>
    <t>Liam Hernandez</t>
  </si>
  <si>
    <t>Liam Martinez</t>
  </si>
  <si>
    <t>Liam Rodriguez</t>
  </si>
  <si>
    <t>Liam Miller</t>
  </si>
  <si>
    <t>Liam Garcia</t>
  </si>
  <si>
    <t>Liam Jones</t>
  </si>
  <si>
    <t>Liam Williams</t>
  </si>
  <si>
    <t>Emma Lewis</t>
  </si>
  <si>
    <t>Emma Clark</t>
  </si>
  <si>
    <t>Emma White</t>
  </si>
  <si>
    <t>Emma Tran</t>
  </si>
  <si>
    <t>Emma Pham</t>
  </si>
  <si>
    <t>Emma Nguyen</t>
  </si>
  <si>
    <t>Emma Rahman</t>
  </si>
  <si>
    <t>Emma Khan</t>
  </si>
  <si>
    <t>Emma Hassan</t>
  </si>
  <si>
    <t>Emma Ali</t>
  </si>
  <si>
    <t>Emma Costa</t>
  </si>
  <si>
    <t>Emma Silva</t>
  </si>
  <si>
    <t>Emma Fernandez</t>
  </si>
  <si>
    <t>Emma Sato</t>
  </si>
  <si>
    <t>Emma Tanaka</t>
  </si>
  <si>
    <t>Emma Park</t>
  </si>
  <si>
    <t>Emma Kim</t>
  </si>
  <si>
    <t>Emma Chen</t>
  </si>
  <si>
    <t>Emma Liu</t>
  </si>
  <si>
    <t>Emma Zhang</t>
  </si>
  <si>
    <t>Emma Li</t>
  </si>
  <si>
    <t>Emma Wang</t>
  </si>
  <si>
    <t>Emma Kumar</t>
  </si>
  <si>
    <t>Emma Singh</t>
  </si>
  <si>
    <t>Emma Verma</t>
  </si>
  <si>
    <t>Emma Gupta</t>
  </si>
  <si>
    <t>Emma Reddy</t>
  </si>
  <si>
    <t>Emma Patel</t>
  </si>
  <si>
    <t>Emma Sharma</t>
  </si>
  <si>
    <t>Emma Martin</t>
  </si>
  <si>
    <t>Emma Jackson</t>
  </si>
  <si>
    <t>Emma Moore</t>
  </si>
  <si>
    <t>Emma Taylor</t>
  </si>
  <si>
    <t>Emma Thomas</t>
  </si>
  <si>
    <t>Emma Anderson</t>
  </si>
  <si>
    <t>Emma Wilson</t>
  </si>
  <si>
    <t>Emma Gonzalez</t>
  </si>
  <si>
    <t>Emma Lopez</t>
  </si>
  <si>
    <t>Emma Hernandez</t>
  </si>
  <si>
    <t>Emma Martinez</t>
  </si>
  <si>
    <t>Emma Rodriguez</t>
  </si>
  <si>
    <t>Emma Miller</t>
  </si>
  <si>
    <t>Emma Garcia</t>
  </si>
  <si>
    <t>Emma Jones</t>
  </si>
  <si>
    <t>Emma Williams</t>
  </si>
  <si>
    <t>James Lewis</t>
  </si>
  <si>
    <t>James Clark</t>
  </si>
  <si>
    <t>James White</t>
  </si>
  <si>
    <t>James Tran</t>
  </si>
  <si>
    <t>James Pham</t>
  </si>
  <si>
    <t>James Nguyen</t>
  </si>
  <si>
    <t>James Rahman</t>
  </si>
  <si>
    <t>James Khan</t>
  </si>
  <si>
    <t>James Hassan</t>
  </si>
  <si>
    <t>James Ali</t>
  </si>
  <si>
    <t>James Costa</t>
  </si>
  <si>
    <t>James Silva</t>
  </si>
  <si>
    <t>James Fernandez</t>
  </si>
  <si>
    <t>James Sato</t>
  </si>
  <si>
    <t>James Tanaka</t>
  </si>
  <si>
    <t>James Park</t>
  </si>
  <si>
    <t>James Kim</t>
  </si>
  <si>
    <t>James Chen</t>
  </si>
  <si>
    <t>James Liu</t>
  </si>
  <si>
    <t>James Zhang</t>
  </si>
  <si>
    <t>James Li</t>
  </si>
  <si>
    <t>James Wang</t>
  </si>
  <si>
    <t>James Kumar</t>
  </si>
  <si>
    <t>James Singh</t>
  </si>
  <si>
    <t>James Verma</t>
  </si>
  <si>
    <t>James Gupta</t>
  </si>
  <si>
    <t>James Reddy</t>
  </si>
  <si>
    <t>James Patel</t>
  </si>
  <si>
    <t>James Sharma</t>
  </si>
  <si>
    <t>James Martin</t>
  </si>
  <si>
    <t>James Jackson</t>
  </si>
  <si>
    <t>James Moore</t>
  </si>
  <si>
    <t>James Taylor</t>
  </si>
  <si>
    <t>James Thomas</t>
  </si>
  <si>
    <t>James Anderson</t>
  </si>
  <si>
    <t>James Wilson</t>
  </si>
  <si>
    <t>James Gonzalez</t>
  </si>
  <si>
    <t>James Lopez</t>
  </si>
  <si>
    <t>James Hernandez</t>
  </si>
  <si>
    <t>James Martinez</t>
  </si>
  <si>
    <t>James Rodriguez</t>
  </si>
  <si>
    <t>James Miller</t>
  </si>
  <si>
    <t>James Garcia</t>
  </si>
  <si>
    <t>James Jones</t>
  </si>
  <si>
    <t>James Williams</t>
  </si>
  <si>
    <t>ORD01001</t>
  </si>
  <si>
    <t>ORD01002</t>
  </si>
  <si>
    <t>ORD01003</t>
  </si>
  <si>
    <t>ORD01004</t>
  </si>
  <si>
    <t>ORD01005</t>
  </si>
  <si>
    <t>ORD01006</t>
  </si>
  <si>
    <t>ORD01007</t>
  </si>
  <si>
    <t>ORD01008</t>
  </si>
  <si>
    <t>ORD01009</t>
  </si>
  <si>
    <t>ORD01010</t>
  </si>
  <si>
    <t>ORD01011</t>
  </si>
  <si>
    <t>ORD01012</t>
  </si>
  <si>
    <t>ORD01013</t>
  </si>
  <si>
    <t>ORD01014</t>
  </si>
  <si>
    <t>ORD01015</t>
  </si>
  <si>
    <t>ORD01016</t>
  </si>
  <si>
    <t>ORD01017</t>
  </si>
  <si>
    <t>ORD01018</t>
  </si>
  <si>
    <t>P747</t>
  </si>
  <si>
    <t>P750</t>
  </si>
  <si>
    <t>P759</t>
  </si>
  <si>
    <t>P760</t>
  </si>
  <si>
    <t>P761</t>
  </si>
  <si>
    <t>RAW DATA</t>
  </si>
  <si>
    <t>CLEANED DATA</t>
  </si>
  <si>
    <t>month</t>
  </si>
  <si>
    <t>sales</t>
  </si>
  <si>
    <t>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</si>
</sst>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color theme="1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Light16">
    <tableStyle name="SlicerStyleDark3 2" pivot="0" table="0" count="10" xr9:uid="{8F671B2C-FF05-4C94-8154-586A7FAB5D61}">
      <tableStyleElement type="wholeTable" dxfId="8"/>
      <tableStyleElement type="headerRow" dxfId="7"/>
    </tableStyle>
    <tableStyle name="SlicerStyleDark6 2" pivot="0" table="0" count="10" xr9:uid="{B7744E64-791C-4F62-95D4-5C0D041F9587}">
      <tableStyleElement type="wholeTable" dxfId="6"/>
      <tableStyleElement type="headerRow" dxfId="5"/>
    </tableStyle>
  </tableStyles>
  <colors>
    <mruColors>
      <color rgb="FFF3F3F3"/>
      <color rgb="FF39471D"/>
      <color rgb="FFFFE48F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6" tint="-0.249977111117893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theme="6" tint="0.59999389629810485"/>
            </left>
            <right style="thin">
              <color theme="6" tint="0.59999389629810485"/>
            </right>
            <top style="thin">
              <color theme="6" tint="0.59999389629810485"/>
            </top>
            <bottom style="thin">
              <color theme="6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6"/>
              <bgColor theme="6"/>
            </patternFill>
          </fill>
          <border>
            <left style="thin">
              <color theme="6"/>
            </left>
            <right style="thin">
              <color theme="6"/>
            </right>
            <top style="thin">
              <color theme="6"/>
            </top>
            <bottom style="thin">
              <color theme="6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3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01FC152-818C-47CC-BA09-D90F3ACE491E}" name="cleaneddata" displayName="cleaneddata" ref="A2:Z1020" totalsRowShown="0">
  <autoFilter ref="A2:Z1020" xr:uid="{A01FC152-818C-47CC-BA09-D90F3ACE491E}"/>
  <tableColumns count="26">
    <tableColumn id="1" xr3:uid="{4F404EDA-828F-4B09-9A04-366F3F60D555}" name="Order id"/>
    <tableColumn id="2" xr3:uid="{C38DC3ED-5C26-4A37-86D3-9AF449E14EFE}" name="Order Date" dataDxfId="4"/>
    <tableColumn id="3" xr3:uid="{F0F7102A-5A79-49A2-8408-792AD1DEEF72}" name="Customer ID"/>
    <tableColumn id="4" xr3:uid="{C43BEDB7-3D2D-4D59-8EBF-A1B2176022DA}" name="Customer Name"/>
    <tableColumn id="5" xr3:uid="{075E2A0A-70C8-432C-A348-5ECDF67C1348}" name="Ship Date" dataDxfId="3"/>
    <tableColumn id="6" xr3:uid="{F9B336E6-D4D6-44EB-BB3B-BBB2AECBA192}" name="Product Name"/>
    <tableColumn id="7" xr3:uid="{03A2134E-488B-4D82-A003-ABAD58BF3868}" name="Category"/>
    <tableColumn id="8" xr3:uid="{3B963E49-65D5-43B1-A88E-A99DAEF3BB86}" name="Sub Category"/>
    <tableColumn id="9" xr3:uid="{8747E3FD-A691-43F3-89D5-7EE37457E49F}" name="State"/>
    <tableColumn id="10" xr3:uid="{B36EE641-1C02-4E83-BE57-882EBED4814A}" name="City"/>
    <tableColumn id="11" xr3:uid="{34A1A29C-8026-483B-8C6A-0CFC6543D886}" name="Gender"/>
    <tableColumn id="12" xr3:uid="{74300F38-D5A9-4D1D-888A-365C2585FA71}" name="Age"/>
    <tableColumn id="13" xr3:uid="{3969DA90-3619-4E4B-98BF-60D71D8840B9}" name="Quantity"/>
    <tableColumn id="14" xr3:uid="{24F1A93E-614E-4497-9F8B-5BA6DA00B779}" name="Discount %"/>
    <tableColumn id="15" xr3:uid="{D87E755B-D8F4-41FC-8D54-B360BFCABA94}" name="Product ID"/>
    <tableColumn id="16" xr3:uid="{628FFB87-C57E-46EB-B712-666EE091BDE1}" name="Shipping Mode"/>
    <tableColumn id="17" xr3:uid="{BF5FBDAE-8A8F-4632-BDBF-7DE81CDA4F57}" name="Payment Mode"/>
    <tableColumn id="18" xr3:uid="{80CD29B6-F2C1-47B7-81B6-3C07EDFA42A6}" name="Order Status"/>
    <tableColumn id="19" xr3:uid="{2377DB20-772E-4575-BEB5-C29549BA1BF6}" name="Brand"/>
    <tableColumn id="20" xr3:uid="{156BB847-A716-48C5-A773-45E70788DF9B}" name=" Ratings"/>
    <tableColumn id="21" xr3:uid="{5B239EE8-F379-4E25-B7D9-2808A3E49D8C}" name="Unit Price"/>
    <tableColumn id="22" xr3:uid="{C71A5FFD-21A3-4794-827C-6BC6B96C52EF}" name="Cost"/>
    <tableColumn id="23" xr3:uid="{73644623-D2D5-4C86-9E00-BEE800852D06}" name="Delivery Days"/>
    <tableColumn id="24" xr3:uid="{209F2467-163F-4DE6-B657-6E66EF69CE17}" name="month" dataDxfId="2">
      <calculatedColumnFormula>TEXT(cleaneddata[[#This Row],[Order Date]],"mmm")</calculatedColumnFormula>
    </tableColumn>
    <tableColumn id="25" xr3:uid="{3C7C19EE-03C7-4A05-8D41-7CF45CD82E35}" name="sales" dataDxfId="1">
      <calculatedColumnFormula>cleaneddata[[#This Row],[Unit Price]]*cleaneddata[[#This Row],[Quantity]]*(1-cleaneddata[[#This Row],[Discount %]]/100)</calculatedColumnFormula>
    </tableColumn>
    <tableColumn id="26" xr3:uid="{51C100A3-9943-47C7-B060-471028C0C38A}" name="project" dataDxfId="0">
      <calculatedColumnFormula>cleaneddata[[#This Row],[sales]]-cleaneddata[[#This Row],[Cost]]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C1020"/>
  <sheetViews>
    <sheetView zoomScale="79" zoomScaleNormal="79" workbookViewId="0">
      <selection activeCell="A2" sqref="A2"/>
    </sheetView>
  </sheetViews>
  <sheetFormatPr defaultRowHeight="14.4" x14ac:dyDescent="0.3"/>
  <cols>
    <col min="1" max="1" width="9.44140625" bestFit="1" customWidth="1"/>
    <col min="2" max="2" width="10.33203125" style="1" bestFit="1" customWidth="1"/>
    <col min="3" max="3" width="11.109375" bestFit="1" customWidth="1"/>
    <col min="4" max="4" width="20.33203125" bestFit="1" customWidth="1"/>
    <col min="5" max="5" width="10.33203125" style="1" bestFit="1" customWidth="1"/>
    <col min="6" max="6" width="12.6640625" bestFit="1" customWidth="1"/>
    <col min="7" max="7" width="9.77734375" bestFit="1" customWidth="1"/>
    <col min="8" max="8" width="11.6640625" bestFit="1" customWidth="1"/>
    <col min="9" max="9" width="12.88671875" bestFit="1" customWidth="1"/>
    <col min="10" max="10" width="14.77734375" bestFit="1" customWidth="1"/>
    <col min="11" max="11" width="6.88671875" bestFit="1" customWidth="1"/>
    <col min="12" max="12" width="3.88671875" bestFit="1" customWidth="1"/>
    <col min="13" max="13" width="8.109375" bestFit="1" customWidth="1"/>
    <col min="14" max="14" width="10" bestFit="1" customWidth="1"/>
    <col min="15" max="15" width="9.5546875" bestFit="1" customWidth="1"/>
    <col min="16" max="16" width="13.33203125" bestFit="1" customWidth="1"/>
    <col min="17" max="17" width="13.44140625" bestFit="1" customWidth="1"/>
    <col min="18" max="18" width="11.109375" bestFit="1" customWidth="1"/>
    <col min="19" max="19" width="9.21875" bestFit="1" customWidth="1"/>
    <col min="20" max="20" width="7.21875" bestFit="1" customWidth="1"/>
    <col min="21" max="21" width="8.88671875" bestFit="1" customWidth="1"/>
    <col min="22" max="22" width="7.88671875" bestFit="1" customWidth="1"/>
    <col min="23" max="23" width="11.88671875" bestFit="1" customWidth="1"/>
    <col min="24" max="24" width="7.33203125" bestFit="1" customWidth="1"/>
    <col min="25" max="25" width="4.88671875" bestFit="1" customWidth="1"/>
    <col min="27" max="27" width="8.33203125" bestFit="1" customWidth="1"/>
    <col min="28" max="29" width="6.88671875" bestFit="1" customWidth="1"/>
  </cols>
  <sheetData>
    <row r="1" spans="1:25" x14ac:dyDescent="0.3">
      <c r="A1" s="6" t="s">
        <v>3740</v>
      </c>
      <c r="B1" s="6"/>
      <c r="C1" s="6"/>
      <c r="D1" s="6"/>
      <c r="E1" s="6"/>
      <c r="F1" s="6"/>
      <c r="G1" s="6"/>
      <c r="H1" s="6"/>
      <c r="I1" s="6"/>
    </row>
    <row r="2" spans="1:25" x14ac:dyDescent="0.3">
      <c r="A2" t="s">
        <v>2616</v>
      </c>
      <c r="B2" t="s">
        <v>0</v>
      </c>
      <c r="C2" t="s">
        <v>2</v>
      </c>
      <c r="D2" t="s">
        <v>3</v>
      </c>
      <c r="E2" t="s">
        <v>1</v>
      </c>
      <c r="F2" t="s">
        <v>11</v>
      </c>
      <c r="G2" t="s">
        <v>9</v>
      </c>
      <c r="H2" t="s">
        <v>10</v>
      </c>
      <c r="I2" t="s">
        <v>7</v>
      </c>
      <c r="J2" t="s">
        <v>6</v>
      </c>
      <c r="K2" t="s">
        <v>4</v>
      </c>
      <c r="L2" t="s">
        <v>5</v>
      </c>
      <c r="M2" t="s">
        <v>13</v>
      </c>
      <c r="N2" t="s">
        <v>15</v>
      </c>
      <c r="O2" t="s">
        <v>8</v>
      </c>
      <c r="P2" t="s">
        <v>19</v>
      </c>
      <c r="Q2" t="s">
        <v>17</v>
      </c>
      <c r="R2" t="s">
        <v>18</v>
      </c>
      <c r="S2" t="s">
        <v>12</v>
      </c>
      <c r="T2" t="s">
        <v>2615</v>
      </c>
      <c r="U2" t="s">
        <v>14</v>
      </c>
      <c r="V2" t="s">
        <v>16</v>
      </c>
      <c r="W2" t="s">
        <v>20</v>
      </c>
      <c r="X2" t="s">
        <v>21</v>
      </c>
      <c r="Y2" t="s">
        <v>22</v>
      </c>
    </row>
    <row r="3" spans="1:25" x14ac:dyDescent="0.3">
      <c r="A3" t="s">
        <v>23</v>
      </c>
      <c r="B3" s="1">
        <v>45304</v>
      </c>
      <c r="C3" t="s">
        <v>24</v>
      </c>
      <c r="D3" t="s">
        <v>2801</v>
      </c>
      <c r="E3" s="1">
        <v>45305</v>
      </c>
      <c r="F3" t="s">
        <v>2617</v>
      </c>
      <c r="G3" t="s">
        <v>27</v>
      </c>
      <c r="H3" t="s">
        <v>28</v>
      </c>
      <c r="I3" t="s">
        <v>2661</v>
      </c>
      <c r="J3" t="s">
        <v>2700</v>
      </c>
      <c r="K3" t="s">
        <v>25</v>
      </c>
      <c r="L3">
        <v>52</v>
      </c>
      <c r="M3">
        <v>4</v>
      </c>
      <c r="N3">
        <v>0</v>
      </c>
      <c r="O3" t="s">
        <v>26</v>
      </c>
      <c r="P3" t="s">
        <v>33</v>
      </c>
      <c r="Q3" t="s">
        <v>31</v>
      </c>
      <c r="R3" t="s">
        <v>32</v>
      </c>
      <c r="S3" t="s">
        <v>30</v>
      </c>
      <c r="T3">
        <v>3</v>
      </c>
      <c r="U3">
        <v>147.79</v>
      </c>
      <c r="V3">
        <v>401.74</v>
      </c>
      <c r="W3">
        <v>1</v>
      </c>
      <c r="X3" t="s">
        <v>34</v>
      </c>
      <c r="Y3">
        <v>2024</v>
      </c>
    </row>
    <row r="4" spans="1:25" x14ac:dyDescent="0.3">
      <c r="A4" t="s">
        <v>35</v>
      </c>
      <c r="B4" s="1">
        <v>45538</v>
      </c>
      <c r="C4" t="s">
        <v>36</v>
      </c>
      <c r="D4" t="s">
        <v>2800</v>
      </c>
      <c r="E4" s="1">
        <v>45540</v>
      </c>
      <c r="F4" t="s">
        <v>40</v>
      </c>
      <c r="G4" t="s">
        <v>38</v>
      </c>
      <c r="H4" t="s">
        <v>39</v>
      </c>
      <c r="I4" t="s">
        <v>2623</v>
      </c>
      <c r="J4" t="s">
        <v>2701</v>
      </c>
      <c r="K4" t="s">
        <v>25</v>
      </c>
      <c r="L4">
        <v>26</v>
      </c>
      <c r="M4">
        <v>4</v>
      </c>
      <c r="N4">
        <v>30</v>
      </c>
      <c r="O4" t="s">
        <v>37</v>
      </c>
      <c r="P4" t="s">
        <v>44</v>
      </c>
      <c r="Q4" t="s">
        <v>42</v>
      </c>
      <c r="R4" t="s">
        <v>43</v>
      </c>
      <c r="S4" t="s">
        <v>41</v>
      </c>
      <c r="T4">
        <v>1</v>
      </c>
      <c r="U4">
        <v>154.13999999999999</v>
      </c>
      <c r="V4">
        <v>309.97000000000003</v>
      </c>
      <c r="W4">
        <v>2</v>
      </c>
      <c r="X4" t="s">
        <v>45</v>
      </c>
      <c r="Y4">
        <v>2024</v>
      </c>
    </row>
    <row r="5" spans="1:25" x14ac:dyDescent="0.3">
      <c r="A5" t="s">
        <v>46</v>
      </c>
      <c r="B5" s="1">
        <v>45462</v>
      </c>
      <c r="C5" t="s">
        <v>47</v>
      </c>
      <c r="D5" t="s">
        <v>3716</v>
      </c>
      <c r="E5" s="1">
        <v>45468</v>
      </c>
      <c r="F5" t="s">
        <v>40</v>
      </c>
      <c r="G5" t="s">
        <v>38</v>
      </c>
      <c r="H5" t="s">
        <v>39</v>
      </c>
      <c r="I5" t="s">
        <v>2634</v>
      </c>
      <c r="J5" t="s">
        <v>2650</v>
      </c>
      <c r="K5" t="s">
        <v>25</v>
      </c>
      <c r="L5">
        <v>53</v>
      </c>
      <c r="M5">
        <v>2</v>
      </c>
      <c r="N5">
        <v>30</v>
      </c>
      <c r="O5" t="s">
        <v>48</v>
      </c>
      <c r="P5" t="s">
        <v>33</v>
      </c>
      <c r="Q5" t="s">
        <v>31</v>
      </c>
      <c r="R5" t="s">
        <v>43</v>
      </c>
      <c r="S5" t="s">
        <v>41</v>
      </c>
      <c r="T5">
        <v>1</v>
      </c>
      <c r="U5">
        <v>994.37</v>
      </c>
      <c r="V5">
        <v>729.45</v>
      </c>
      <c r="W5">
        <v>6</v>
      </c>
      <c r="X5" t="s">
        <v>49</v>
      </c>
      <c r="Y5">
        <v>2024</v>
      </c>
    </row>
    <row r="6" spans="1:25" x14ac:dyDescent="0.3">
      <c r="A6" t="s">
        <v>50</v>
      </c>
      <c r="B6" s="1">
        <v>46118</v>
      </c>
      <c r="C6" t="s">
        <v>51</v>
      </c>
      <c r="D6" t="s">
        <v>2799</v>
      </c>
      <c r="E6" s="1">
        <v>46120</v>
      </c>
      <c r="F6" t="s">
        <v>56</v>
      </c>
      <c r="G6" t="s">
        <v>54</v>
      </c>
      <c r="H6" t="s">
        <v>55</v>
      </c>
      <c r="I6" t="s">
        <v>2625</v>
      </c>
      <c r="J6" t="s">
        <v>2667</v>
      </c>
      <c r="K6" t="s">
        <v>52</v>
      </c>
      <c r="L6">
        <v>65</v>
      </c>
      <c r="M6">
        <v>2</v>
      </c>
      <c r="N6">
        <v>0</v>
      </c>
      <c r="O6" t="s">
        <v>53</v>
      </c>
      <c r="P6" t="s">
        <v>44</v>
      </c>
      <c r="Q6" t="s">
        <v>58</v>
      </c>
      <c r="R6" t="s">
        <v>32</v>
      </c>
      <c r="S6" t="s">
        <v>57</v>
      </c>
      <c r="T6">
        <v>5</v>
      </c>
      <c r="U6">
        <v>679.98</v>
      </c>
      <c r="V6">
        <v>969.66</v>
      </c>
      <c r="W6">
        <v>2</v>
      </c>
      <c r="X6" t="s">
        <v>49</v>
      </c>
      <c r="Y6">
        <v>2026</v>
      </c>
    </row>
    <row r="7" spans="1:25" x14ac:dyDescent="0.3">
      <c r="A7" t="s">
        <v>59</v>
      </c>
      <c r="B7" s="1">
        <v>45869</v>
      </c>
      <c r="C7" t="s">
        <v>60</v>
      </c>
      <c r="D7" t="s">
        <v>3715</v>
      </c>
      <c r="E7" s="1">
        <v>45871</v>
      </c>
      <c r="F7" t="s">
        <v>2617</v>
      </c>
      <c r="G7" t="s">
        <v>27</v>
      </c>
      <c r="H7" t="s">
        <v>28</v>
      </c>
      <c r="I7" t="s">
        <v>2634</v>
      </c>
      <c r="J7" t="s">
        <v>2644</v>
      </c>
      <c r="K7" t="s">
        <v>25</v>
      </c>
      <c r="L7">
        <v>19</v>
      </c>
      <c r="M7">
        <v>2</v>
      </c>
      <c r="N7">
        <v>20</v>
      </c>
      <c r="O7" t="s">
        <v>61</v>
      </c>
      <c r="P7" t="s">
        <v>33</v>
      </c>
      <c r="Q7" t="s">
        <v>31</v>
      </c>
      <c r="R7" t="s">
        <v>62</v>
      </c>
      <c r="S7" t="s">
        <v>30</v>
      </c>
      <c r="T7">
        <v>4</v>
      </c>
      <c r="U7">
        <v>724.19</v>
      </c>
      <c r="V7">
        <v>837.69</v>
      </c>
      <c r="W7">
        <v>2</v>
      </c>
      <c r="X7" t="s">
        <v>45</v>
      </c>
      <c r="Y7">
        <v>2025</v>
      </c>
    </row>
    <row r="8" spans="1:25" x14ac:dyDescent="0.3">
      <c r="A8" t="s">
        <v>63</v>
      </c>
      <c r="B8" s="1">
        <v>46073</v>
      </c>
      <c r="C8" t="s">
        <v>64</v>
      </c>
      <c r="D8" t="s">
        <v>3714</v>
      </c>
      <c r="E8" s="1">
        <v>46079</v>
      </c>
      <c r="F8" t="s">
        <v>68</v>
      </c>
      <c r="G8" t="s">
        <v>66</v>
      </c>
      <c r="H8" t="s">
        <v>67</v>
      </c>
      <c r="I8" t="s">
        <v>2632</v>
      </c>
      <c r="J8" t="s">
        <v>2645</v>
      </c>
      <c r="K8" t="s">
        <v>25</v>
      </c>
      <c r="L8">
        <v>51</v>
      </c>
      <c r="M8">
        <v>3</v>
      </c>
      <c r="N8">
        <v>30</v>
      </c>
      <c r="O8" t="s">
        <v>65</v>
      </c>
      <c r="P8" t="s">
        <v>33</v>
      </c>
      <c r="Q8" t="s">
        <v>70</v>
      </c>
      <c r="R8" t="s">
        <v>71</v>
      </c>
      <c r="S8" t="s">
        <v>69</v>
      </c>
      <c r="T8">
        <v>4</v>
      </c>
      <c r="U8">
        <v>910.15</v>
      </c>
      <c r="V8">
        <v>967.22</v>
      </c>
      <c r="W8">
        <v>6</v>
      </c>
      <c r="X8" t="s">
        <v>34</v>
      </c>
      <c r="Y8">
        <v>2026</v>
      </c>
    </row>
    <row r="9" spans="1:25" x14ac:dyDescent="0.3">
      <c r="A9" t="s">
        <v>72</v>
      </c>
      <c r="B9" s="1">
        <v>45397</v>
      </c>
      <c r="C9" t="s">
        <v>73</v>
      </c>
      <c r="D9" t="s">
        <v>3713</v>
      </c>
      <c r="E9" s="1">
        <v>45403</v>
      </c>
      <c r="F9" t="s">
        <v>2617</v>
      </c>
      <c r="G9" t="s">
        <v>27</v>
      </c>
      <c r="H9" t="s">
        <v>28</v>
      </c>
      <c r="I9" t="s">
        <v>2641</v>
      </c>
      <c r="J9" t="s">
        <v>2692</v>
      </c>
      <c r="K9" t="s">
        <v>25</v>
      </c>
      <c r="L9">
        <v>57</v>
      </c>
      <c r="M9">
        <v>3</v>
      </c>
      <c r="N9">
        <v>10</v>
      </c>
      <c r="O9" t="s">
        <v>74</v>
      </c>
      <c r="P9" t="s">
        <v>75</v>
      </c>
      <c r="Q9" t="s">
        <v>42</v>
      </c>
      <c r="R9" t="s">
        <v>71</v>
      </c>
      <c r="S9" t="s">
        <v>30</v>
      </c>
      <c r="T9">
        <v>5</v>
      </c>
      <c r="U9">
        <v>142.16999999999999</v>
      </c>
      <c r="V9">
        <v>197.5</v>
      </c>
      <c r="W9">
        <v>6</v>
      </c>
      <c r="X9" t="s">
        <v>49</v>
      </c>
      <c r="Y9">
        <v>2024</v>
      </c>
    </row>
    <row r="10" spans="1:25" x14ac:dyDescent="0.3">
      <c r="A10" t="s">
        <v>76</v>
      </c>
      <c r="B10" s="1">
        <v>45694</v>
      </c>
      <c r="C10" t="s">
        <v>77</v>
      </c>
      <c r="D10" t="s">
        <v>2798</v>
      </c>
      <c r="E10" s="1">
        <v>45698</v>
      </c>
      <c r="F10" t="s">
        <v>56</v>
      </c>
      <c r="G10" t="s">
        <v>54</v>
      </c>
      <c r="H10" t="s">
        <v>55</v>
      </c>
      <c r="I10" t="s">
        <v>2654</v>
      </c>
      <c r="J10" t="s">
        <v>2702</v>
      </c>
      <c r="K10" t="s">
        <v>25</v>
      </c>
      <c r="L10">
        <v>58</v>
      </c>
      <c r="M10">
        <v>4</v>
      </c>
      <c r="N10">
        <v>30</v>
      </c>
      <c r="O10" t="s">
        <v>78</v>
      </c>
      <c r="P10" t="s">
        <v>75</v>
      </c>
      <c r="Q10" t="s">
        <v>42</v>
      </c>
      <c r="R10" t="s">
        <v>71</v>
      </c>
      <c r="S10" t="s">
        <v>57</v>
      </c>
      <c r="T10">
        <v>2</v>
      </c>
      <c r="U10">
        <v>641.74</v>
      </c>
      <c r="V10">
        <v>1161.71</v>
      </c>
      <c r="W10">
        <v>4</v>
      </c>
      <c r="X10" t="s">
        <v>34</v>
      </c>
      <c r="Y10">
        <v>2025</v>
      </c>
    </row>
    <row r="11" spans="1:25" x14ac:dyDescent="0.3">
      <c r="A11" t="s">
        <v>79</v>
      </c>
      <c r="B11" s="1">
        <v>45401</v>
      </c>
      <c r="C11" t="s">
        <v>80</v>
      </c>
      <c r="D11" t="s">
        <v>3712</v>
      </c>
      <c r="E11" s="1">
        <v>45408</v>
      </c>
      <c r="F11" t="s">
        <v>56</v>
      </c>
      <c r="G11" t="s">
        <v>54</v>
      </c>
      <c r="H11" t="s">
        <v>55</v>
      </c>
      <c r="I11" t="s">
        <v>2632</v>
      </c>
      <c r="J11" t="s">
        <v>2646</v>
      </c>
      <c r="K11" t="s">
        <v>52</v>
      </c>
      <c r="L11">
        <v>49</v>
      </c>
      <c r="M11">
        <v>1</v>
      </c>
      <c r="N11">
        <v>20</v>
      </c>
      <c r="O11" t="s">
        <v>81</v>
      </c>
      <c r="P11" t="s">
        <v>33</v>
      </c>
      <c r="Q11" t="s">
        <v>70</v>
      </c>
      <c r="R11" t="s">
        <v>62</v>
      </c>
      <c r="S11" t="s">
        <v>57</v>
      </c>
      <c r="T11">
        <v>4</v>
      </c>
      <c r="U11">
        <v>165.15</v>
      </c>
      <c r="V11">
        <v>104.84</v>
      </c>
      <c r="W11">
        <v>7</v>
      </c>
      <c r="X11" t="s">
        <v>49</v>
      </c>
      <c r="Y11">
        <v>2024</v>
      </c>
    </row>
    <row r="12" spans="1:25" x14ac:dyDescent="0.3">
      <c r="A12" t="s">
        <v>82</v>
      </c>
      <c r="B12" s="1">
        <v>45724</v>
      </c>
      <c r="C12" t="s">
        <v>83</v>
      </c>
      <c r="D12" t="s">
        <v>3711</v>
      </c>
      <c r="E12" s="1">
        <v>45727</v>
      </c>
      <c r="F12" t="s">
        <v>40</v>
      </c>
      <c r="G12" t="s">
        <v>38</v>
      </c>
      <c r="H12" t="s">
        <v>39</v>
      </c>
      <c r="I12" t="s">
        <v>2625</v>
      </c>
      <c r="J12" t="s">
        <v>2703</v>
      </c>
      <c r="K12" t="s">
        <v>52</v>
      </c>
      <c r="L12">
        <v>43</v>
      </c>
      <c r="M12">
        <v>2</v>
      </c>
      <c r="N12">
        <v>20</v>
      </c>
      <c r="O12" t="s">
        <v>84</v>
      </c>
      <c r="P12" t="s">
        <v>44</v>
      </c>
      <c r="Q12" t="s">
        <v>42</v>
      </c>
      <c r="R12" t="s">
        <v>43</v>
      </c>
      <c r="S12" t="s">
        <v>41</v>
      </c>
      <c r="T12">
        <v>2</v>
      </c>
      <c r="U12">
        <v>567.08000000000004</v>
      </c>
      <c r="V12">
        <v>726.07</v>
      </c>
      <c r="W12">
        <v>3</v>
      </c>
      <c r="X12" t="s">
        <v>34</v>
      </c>
      <c r="Y12">
        <v>2025</v>
      </c>
    </row>
    <row r="13" spans="1:25" x14ac:dyDescent="0.3">
      <c r="A13" t="s">
        <v>85</v>
      </c>
      <c r="B13" s="1">
        <v>45376</v>
      </c>
      <c r="C13" t="s">
        <v>86</v>
      </c>
      <c r="D13" t="s">
        <v>3710</v>
      </c>
      <c r="E13" s="1">
        <v>45383</v>
      </c>
      <c r="F13" t="s">
        <v>2617</v>
      </c>
      <c r="G13" t="s">
        <v>27</v>
      </c>
      <c r="H13" t="s">
        <v>28</v>
      </c>
      <c r="I13" t="s">
        <v>2622</v>
      </c>
      <c r="J13" t="s">
        <v>2704</v>
      </c>
      <c r="K13" t="s">
        <v>52</v>
      </c>
      <c r="L13">
        <v>18</v>
      </c>
      <c r="M13">
        <v>3</v>
      </c>
      <c r="N13">
        <v>15</v>
      </c>
      <c r="O13" t="s">
        <v>87</v>
      </c>
      <c r="P13" t="s">
        <v>33</v>
      </c>
      <c r="Q13" t="s">
        <v>58</v>
      </c>
      <c r="R13" t="s">
        <v>71</v>
      </c>
      <c r="S13" t="s">
        <v>30</v>
      </c>
      <c r="T13">
        <v>4</v>
      </c>
      <c r="U13">
        <v>774.08</v>
      </c>
      <c r="V13">
        <v>1359.3</v>
      </c>
      <c r="W13">
        <v>7</v>
      </c>
      <c r="X13" t="s">
        <v>34</v>
      </c>
      <c r="Y13">
        <v>2024</v>
      </c>
    </row>
    <row r="14" spans="1:25" x14ac:dyDescent="0.3">
      <c r="A14" t="s">
        <v>88</v>
      </c>
      <c r="B14" s="1">
        <v>45854</v>
      </c>
      <c r="C14" t="s">
        <v>89</v>
      </c>
      <c r="D14" t="s">
        <v>3709</v>
      </c>
      <c r="E14" s="1">
        <v>45855</v>
      </c>
      <c r="F14" t="s">
        <v>68</v>
      </c>
      <c r="G14" t="s">
        <v>66</v>
      </c>
      <c r="H14" t="s">
        <v>67</v>
      </c>
      <c r="I14" t="s">
        <v>2629</v>
      </c>
      <c r="J14" t="s">
        <v>2630</v>
      </c>
      <c r="K14" t="s">
        <v>52</v>
      </c>
      <c r="L14">
        <v>29</v>
      </c>
      <c r="M14">
        <v>4</v>
      </c>
      <c r="N14">
        <v>25</v>
      </c>
      <c r="O14" t="s">
        <v>90</v>
      </c>
      <c r="P14" t="s">
        <v>33</v>
      </c>
      <c r="Q14" t="s">
        <v>31</v>
      </c>
      <c r="R14" t="s">
        <v>32</v>
      </c>
      <c r="S14" t="s">
        <v>69</v>
      </c>
      <c r="T14">
        <v>3</v>
      </c>
      <c r="U14">
        <v>551.89</v>
      </c>
      <c r="V14">
        <v>939.41</v>
      </c>
      <c r="W14">
        <v>1</v>
      </c>
      <c r="X14" t="s">
        <v>45</v>
      </c>
      <c r="Y14">
        <v>2025</v>
      </c>
    </row>
    <row r="15" spans="1:25" x14ac:dyDescent="0.3">
      <c r="A15" t="s">
        <v>91</v>
      </c>
      <c r="B15" s="1">
        <v>45639</v>
      </c>
      <c r="C15" t="s">
        <v>92</v>
      </c>
      <c r="D15" t="s">
        <v>3708</v>
      </c>
      <c r="E15" s="1">
        <v>45644</v>
      </c>
      <c r="F15" t="s">
        <v>40</v>
      </c>
      <c r="G15" t="s">
        <v>38</v>
      </c>
      <c r="H15" t="s">
        <v>39</v>
      </c>
      <c r="I15" t="s">
        <v>2637</v>
      </c>
      <c r="J15" t="s">
        <v>2649</v>
      </c>
      <c r="K15" t="s">
        <v>52</v>
      </c>
      <c r="L15">
        <v>62</v>
      </c>
      <c r="M15">
        <v>5</v>
      </c>
      <c r="N15">
        <v>25</v>
      </c>
      <c r="O15" t="s">
        <v>93</v>
      </c>
      <c r="P15" t="s">
        <v>75</v>
      </c>
      <c r="Q15" t="s">
        <v>70</v>
      </c>
      <c r="R15" t="s">
        <v>62</v>
      </c>
      <c r="S15" t="s">
        <v>41</v>
      </c>
      <c r="T15">
        <v>4</v>
      </c>
      <c r="U15">
        <v>346.75</v>
      </c>
      <c r="V15">
        <v>1102.6400000000001</v>
      </c>
      <c r="W15">
        <v>5</v>
      </c>
      <c r="X15" t="s">
        <v>94</v>
      </c>
      <c r="Y15">
        <v>2024</v>
      </c>
    </row>
    <row r="16" spans="1:25" x14ac:dyDescent="0.3">
      <c r="A16" t="s">
        <v>95</v>
      </c>
      <c r="B16" s="1">
        <v>45955</v>
      </c>
      <c r="C16" t="s">
        <v>96</v>
      </c>
      <c r="D16" t="s">
        <v>3707</v>
      </c>
      <c r="E16" s="1">
        <v>45956</v>
      </c>
      <c r="F16" t="s">
        <v>100</v>
      </c>
      <c r="G16" t="s">
        <v>98</v>
      </c>
      <c r="H16" t="s">
        <v>99</v>
      </c>
      <c r="I16" t="s">
        <v>2623</v>
      </c>
      <c r="J16" t="s">
        <v>2691</v>
      </c>
      <c r="K16" t="s">
        <v>25</v>
      </c>
      <c r="L16">
        <v>38</v>
      </c>
      <c r="M16">
        <v>3</v>
      </c>
      <c r="N16">
        <v>10</v>
      </c>
      <c r="O16" t="s">
        <v>97</v>
      </c>
      <c r="P16" t="s">
        <v>44</v>
      </c>
      <c r="Q16" t="s">
        <v>31</v>
      </c>
      <c r="R16" t="s">
        <v>32</v>
      </c>
      <c r="S16" t="s">
        <v>101</v>
      </c>
      <c r="T16">
        <v>1</v>
      </c>
      <c r="U16">
        <v>790.15</v>
      </c>
      <c r="V16">
        <v>1446.64</v>
      </c>
      <c r="W16">
        <v>1</v>
      </c>
      <c r="X16" t="s">
        <v>94</v>
      </c>
      <c r="Y16">
        <v>2025</v>
      </c>
    </row>
    <row r="17" spans="1:25" x14ac:dyDescent="0.3">
      <c r="A17" t="s">
        <v>102</v>
      </c>
      <c r="B17" s="1">
        <v>45657</v>
      </c>
      <c r="C17" t="s">
        <v>103</v>
      </c>
      <c r="D17" t="s">
        <v>3706</v>
      </c>
      <c r="E17" s="1">
        <v>45663</v>
      </c>
      <c r="F17" t="s">
        <v>2617</v>
      </c>
      <c r="G17" t="s">
        <v>27</v>
      </c>
      <c r="H17" t="s">
        <v>28</v>
      </c>
      <c r="I17" t="s">
        <v>2625</v>
      </c>
      <c r="J17" t="s">
        <v>2651</v>
      </c>
      <c r="K17" t="s">
        <v>52</v>
      </c>
      <c r="L17">
        <v>26</v>
      </c>
      <c r="M17">
        <v>3</v>
      </c>
      <c r="N17">
        <v>15</v>
      </c>
      <c r="O17" t="s">
        <v>104</v>
      </c>
      <c r="P17" t="s">
        <v>75</v>
      </c>
      <c r="Q17" t="s">
        <v>58</v>
      </c>
      <c r="R17" t="s">
        <v>43</v>
      </c>
      <c r="S17" t="s">
        <v>30</v>
      </c>
      <c r="T17">
        <v>1</v>
      </c>
      <c r="U17">
        <v>358.48</v>
      </c>
      <c r="V17">
        <v>612.88</v>
      </c>
      <c r="W17">
        <v>6</v>
      </c>
      <c r="X17" t="s">
        <v>94</v>
      </c>
      <c r="Y17">
        <v>2024</v>
      </c>
    </row>
    <row r="18" spans="1:25" x14ac:dyDescent="0.3">
      <c r="A18" t="s">
        <v>105</v>
      </c>
      <c r="B18" s="1">
        <v>45590</v>
      </c>
      <c r="C18" t="s">
        <v>106</v>
      </c>
      <c r="D18" t="s">
        <v>3705</v>
      </c>
      <c r="E18" s="1">
        <v>45596</v>
      </c>
      <c r="F18" t="s">
        <v>56</v>
      </c>
      <c r="G18" t="s">
        <v>54</v>
      </c>
      <c r="H18" t="s">
        <v>55</v>
      </c>
      <c r="I18" t="s">
        <v>2622</v>
      </c>
      <c r="J18" t="s">
        <v>2705</v>
      </c>
      <c r="K18" t="s">
        <v>52</v>
      </c>
      <c r="L18">
        <v>27</v>
      </c>
      <c r="M18">
        <v>2</v>
      </c>
      <c r="N18">
        <v>5</v>
      </c>
      <c r="O18" t="s">
        <v>107</v>
      </c>
      <c r="P18" t="s">
        <v>33</v>
      </c>
      <c r="Q18" t="s">
        <v>42</v>
      </c>
      <c r="R18" t="s">
        <v>71</v>
      </c>
      <c r="S18" t="s">
        <v>57</v>
      </c>
      <c r="T18">
        <v>1</v>
      </c>
      <c r="U18">
        <v>377.36</v>
      </c>
      <c r="V18">
        <v>456.96</v>
      </c>
      <c r="W18">
        <v>6</v>
      </c>
      <c r="X18" t="s">
        <v>94</v>
      </c>
      <c r="Y18">
        <v>2024</v>
      </c>
    </row>
    <row r="19" spans="1:25" x14ac:dyDescent="0.3">
      <c r="A19" t="s">
        <v>108</v>
      </c>
      <c r="B19" s="1">
        <v>46153</v>
      </c>
      <c r="C19" t="s">
        <v>109</v>
      </c>
      <c r="D19" t="s">
        <v>3704</v>
      </c>
      <c r="E19" s="1">
        <v>46155</v>
      </c>
      <c r="F19" t="s">
        <v>40</v>
      </c>
      <c r="G19" t="s">
        <v>38</v>
      </c>
      <c r="H19" t="s">
        <v>39</v>
      </c>
      <c r="I19" t="s">
        <v>2622</v>
      </c>
      <c r="J19" t="s">
        <v>2704</v>
      </c>
      <c r="K19" t="s">
        <v>52</v>
      </c>
      <c r="L19">
        <v>39</v>
      </c>
      <c r="M19">
        <v>2</v>
      </c>
      <c r="N19">
        <v>0</v>
      </c>
      <c r="O19" t="s">
        <v>110</v>
      </c>
      <c r="P19" t="s">
        <v>75</v>
      </c>
      <c r="Q19" t="s">
        <v>42</v>
      </c>
      <c r="R19" t="s">
        <v>43</v>
      </c>
      <c r="S19" t="s">
        <v>41</v>
      </c>
      <c r="T19">
        <v>3</v>
      </c>
      <c r="U19">
        <v>764.21</v>
      </c>
      <c r="V19">
        <v>861.38</v>
      </c>
      <c r="W19">
        <v>2</v>
      </c>
      <c r="X19" t="s">
        <v>49</v>
      </c>
      <c r="Y19">
        <v>2026</v>
      </c>
    </row>
    <row r="20" spans="1:25" x14ac:dyDescent="0.3">
      <c r="A20" t="s">
        <v>111</v>
      </c>
      <c r="B20" s="1">
        <v>45990</v>
      </c>
      <c r="C20" t="s">
        <v>112</v>
      </c>
      <c r="D20" t="s">
        <v>3703</v>
      </c>
      <c r="E20" s="1">
        <v>45991</v>
      </c>
      <c r="F20" t="s">
        <v>115</v>
      </c>
      <c r="G20" t="s">
        <v>66</v>
      </c>
      <c r="H20" t="s">
        <v>114</v>
      </c>
      <c r="I20" t="s">
        <v>2647</v>
      </c>
      <c r="J20" t="s">
        <v>2658</v>
      </c>
      <c r="K20" t="s">
        <v>52</v>
      </c>
      <c r="L20">
        <v>55</v>
      </c>
      <c r="M20">
        <v>3</v>
      </c>
      <c r="N20">
        <v>15</v>
      </c>
      <c r="O20" t="s">
        <v>113</v>
      </c>
      <c r="P20" t="s">
        <v>33</v>
      </c>
      <c r="Q20" t="s">
        <v>117</v>
      </c>
      <c r="R20" t="s">
        <v>32</v>
      </c>
      <c r="S20" t="s">
        <v>116</v>
      </c>
      <c r="T20">
        <v>1</v>
      </c>
      <c r="U20">
        <v>381.26</v>
      </c>
      <c r="V20">
        <v>652.4</v>
      </c>
      <c r="W20">
        <v>1</v>
      </c>
      <c r="X20" t="s">
        <v>94</v>
      </c>
      <c r="Y20">
        <v>2025</v>
      </c>
    </row>
    <row r="21" spans="1:25" x14ac:dyDescent="0.3">
      <c r="A21" t="s">
        <v>118</v>
      </c>
      <c r="B21" s="1">
        <v>45841</v>
      </c>
      <c r="C21" t="s">
        <v>119</v>
      </c>
      <c r="D21" t="s">
        <v>3702</v>
      </c>
      <c r="E21" s="1">
        <v>45843</v>
      </c>
      <c r="F21" t="s">
        <v>122</v>
      </c>
      <c r="G21" t="s">
        <v>120</v>
      </c>
      <c r="H21" t="s">
        <v>121</v>
      </c>
      <c r="I21" t="s">
        <v>2661</v>
      </c>
      <c r="J21" t="s">
        <v>2662</v>
      </c>
      <c r="K21" t="s">
        <v>52</v>
      </c>
      <c r="L21">
        <v>64</v>
      </c>
      <c r="M21">
        <v>4</v>
      </c>
      <c r="N21">
        <v>10</v>
      </c>
      <c r="O21" t="s">
        <v>48</v>
      </c>
      <c r="P21" t="s">
        <v>75</v>
      </c>
      <c r="Q21" t="s">
        <v>58</v>
      </c>
      <c r="R21" t="s">
        <v>32</v>
      </c>
      <c r="S21" t="s">
        <v>123</v>
      </c>
      <c r="T21">
        <v>2</v>
      </c>
      <c r="U21">
        <v>491.42</v>
      </c>
      <c r="V21">
        <v>1374.6</v>
      </c>
      <c r="W21">
        <v>2</v>
      </c>
      <c r="X21" t="s">
        <v>45</v>
      </c>
      <c r="Y21">
        <v>2025</v>
      </c>
    </row>
    <row r="22" spans="1:25" x14ac:dyDescent="0.3">
      <c r="A22" t="s">
        <v>124</v>
      </c>
      <c r="B22" s="1">
        <v>45644</v>
      </c>
      <c r="C22" t="s">
        <v>125</v>
      </c>
      <c r="D22" t="s">
        <v>3701</v>
      </c>
      <c r="E22" s="1">
        <v>45647</v>
      </c>
      <c r="F22" t="s">
        <v>128</v>
      </c>
      <c r="G22" t="s">
        <v>98</v>
      </c>
      <c r="H22" t="s">
        <v>127</v>
      </c>
      <c r="I22" t="s">
        <v>2634</v>
      </c>
      <c r="J22" t="s">
        <v>2644</v>
      </c>
      <c r="K22" t="s">
        <v>52</v>
      </c>
      <c r="L22">
        <v>56</v>
      </c>
      <c r="M22">
        <v>5</v>
      </c>
      <c r="N22">
        <v>5</v>
      </c>
      <c r="O22" t="s">
        <v>126</v>
      </c>
      <c r="P22" t="s">
        <v>75</v>
      </c>
      <c r="Q22" t="s">
        <v>70</v>
      </c>
      <c r="R22" t="s">
        <v>71</v>
      </c>
      <c r="S22" t="s">
        <v>129</v>
      </c>
      <c r="T22">
        <v>3</v>
      </c>
      <c r="U22">
        <v>799.49</v>
      </c>
      <c r="V22">
        <v>2670.77</v>
      </c>
      <c r="W22">
        <v>3</v>
      </c>
      <c r="X22" t="s">
        <v>94</v>
      </c>
      <c r="Y22">
        <v>2024</v>
      </c>
    </row>
    <row r="23" spans="1:25" x14ac:dyDescent="0.3">
      <c r="A23" t="s">
        <v>130</v>
      </c>
      <c r="B23" s="1">
        <v>45909</v>
      </c>
      <c r="C23" t="s">
        <v>131</v>
      </c>
      <c r="D23" t="s">
        <v>3700</v>
      </c>
      <c r="E23" s="1">
        <v>45915</v>
      </c>
      <c r="F23" t="s">
        <v>100</v>
      </c>
      <c r="G23" t="s">
        <v>98</v>
      </c>
      <c r="H23" t="s">
        <v>99</v>
      </c>
      <c r="I23" t="s">
        <v>2652</v>
      </c>
      <c r="J23" t="s">
        <v>2653</v>
      </c>
      <c r="K23" t="s">
        <v>25</v>
      </c>
      <c r="L23">
        <v>52</v>
      </c>
      <c r="M23">
        <v>3</v>
      </c>
      <c r="N23">
        <v>5</v>
      </c>
      <c r="O23" t="s">
        <v>132</v>
      </c>
      <c r="P23" t="s">
        <v>75</v>
      </c>
      <c r="Q23" t="s">
        <v>31</v>
      </c>
      <c r="R23" t="s">
        <v>71</v>
      </c>
      <c r="S23" t="s">
        <v>101</v>
      </c>
      <c r="T23">
        <v>2</v>
      </c>
      <c r="U23">
        <v>812.35</v>
      </c>
      <c r="V23">
        <v>1879.78</v>
      </c>
      <c r="W23">
        <v>6</v>
      </c>
      <c r="X23" t="s">
        <v>45</v>
      </c>
      <c r="Y23">
        <v>2025</v>
      </c>
    </row>
    <row r="24" spans="1:25" x14ac:dyDescent="0.3">
      <c r="A24" t="s">
        <v>133</v>
      </c>
      <c r="B24" s="1">
        <v>46089</v>
      </c>
      <c r="C24" t="s">
        <v>134</v>
      </c>
      <c r="D24" t="s">
        <v>3699</v>
      </c>
      <c r="E24" s="1">
        <v>46094</v>
      </c>
      <c r="F24" t="s">
        <v>56</v>
      </c>
      <c r="G24" t="s">
        <v>54</v>
      </c>
      <c r="H24" t="s">
        <v>55</v>
      </c>
      <c r="I24" t="s">
        <v>2622</v>
      </c>
      <c r="J24" t="s">
        <v>2622</v>
      </c>
      <c r="K24" t="s">
        <v>25</v>
      </c>
      <c r="L24">
        <v>27</v>
      </c>
      <c r="M24">
        <v>3</v>
      </c>
      <c r="N24">
        <v>15</v>
      </c>
      <c r="O24" t="s">
        <v>135</v>
      </c>
      <c r="P24" t="s">
        <v>44</v>
      </c>
      <c r="Q24" t="s">
        <v>58</v>
      </c>
      <c r="R24" t="s">
        <v>62</v>
      </c>
      <c r="S24" t="s">
        <v>57</v>
      </c>
      <c r="T24">
        <v>3</v>
      </c>
      <c r="U24">
        <v>186.96</v>
      </c>
      <c r="V24">
        <v>367.8</v>
      </c>
      <c r="W24">
        <v>5</v>
      </c>
      <c r="X24" t="s">
        <v>34</v>
      </c>
      <c r="Y24">
        <v>2026</v>
      </c>
    </row>
    <row r="25" spans="1:25" x14ac:dyDescent="0.3">
      <c r="A25" t="s">
        <v>136</v>
      </c>
      <c r="B25" s="1">
        <v>45711</v>
      </c>
      <c r="C25" t="s">
        <v>137</v>
      </c>
      <c r="D25" t="s">
        <v>3698</v>
      </c>
      <c r="E25" s="1">
        <v>45716</v>
      </c>
      <c r="F25" t="s">
        <v>140</v>
      </c>
      <c r="G25" t="s">
        <v>38</v>
      </c>
      <c r="H25" t="s">
        <v>139</v>
      </c>
      <c r="I25" t="s">
        <v>2641</v>
      </c>
      <c r="J25" t="s">
        <v>2642</v>
      </c>
      <c r="K25" t="s">
        <v>25</v>
      </c>
      <c r="L25">
        <v>36</v>
      </c>
      <c r="M25">
        <v>2</v>
      </c>
      <c r="N25">
        <v>10</v>
      </c>
      <c r="O25" t="s">
        <v>138</v>
      </c>
      <c r="P25" t="s">
        <v>33</v>
      </c>
      <c r="Q25" t="s">
        <v>58</v>
      </c>
      <c r="R25" t="s">
        <v>32</v>
      </c>
      <c r="S25" t="s">
        <v>141</v>
      </c>
      <c r="T25">
        <v>2</v>
      </c>
      <c r="U25">
        <v>520.71</v>
      </c>
      <c r="V25">
        <v>649.54999999999995</v>
      </c>
      <c r="W25">
        <v>5</v>
      </c>
      <c r="X25" t="s">
        <v>34</v>
      </c>
      <c r="Y25">
        <v>2025</v>
      </c>
    </row>
    <row r="26" spans="1:25" x14ac:dyDescent="0.3">
      <c r="A26" t="s">
        <v>142</v>
      </c>
      <c r="B26" s="1">
        <v>45679</v>
      </c>
      <c r="C26" t="s">
        <v>143</v>
      </c>
      <c r="D26" t="s">
        <v>3697</v>
      </c>
      <c r="E26" s="1">
        <v>45684</v>
      </c>
      <c r="F26" t="s">
        <v>100</v>
      </c>
      <c r="G26" t="s">
        <v>98</v>
      </c>
      <c r="H26" t="s">
        <v>99</v>
      </c>
      <c r="I26" t="s">
        <v>2623</v>
      </c>
      <c r="J26" t="s">
        <v>2696</v>
      </c>
      <c r="K26" t="s">
        <v>25</v>
      </c>
      <c r="L26">
        <v>60</v>
      </c>
      <c r="M26">
        <v>3</v>
      </c>
      <c r="N26">
        <v>15</v>
      </c>
      <c r="O26" t="s">
        <v>144</v>
      </c>
      <c r="P26" t="s">
        <v>44</v>
      </c>
      <c r="Q26" t="s">
        <v>42</v>
      </c>
      <c r="R26" t="s">
        <v>32</v>
      </c>
      <c r="S26" t="s">
        <v>101</v>
      </c>
      <c r="T26">
        <v>5</v>
      </c>
      <c r="U26">
        <v>332.83</v>
      </c>
      <c r="V26">
        <v>461.86</v>
      </c>
      <c r="W26">
        <v>5</v>
      </c>
      <c r="X26" t="s">
        <v>34</v>
      </c>
      <c r="Y26">
        <v>2025</v>
      </c>
    </row>
    <row r="27" spans="1:25" x14ac:dyDescent="0.3">
      <c r="A27" t="s">
        <v>145</v>
      </c>
      <c r="B27" s="1">
        <v>45990</v>
      </c>
      <c r="C27" t="s">
        <v>146</v>
      </c>
      <c r="D27" t="s">
        <v>3696</v>
      </c>
      <c r="E27" s="1">
        <v>45995</v>
      </c>
      <c r="F27" t="s">
        <v>2617</v>
      </c>
      <c r="G27" t="s">
        <v>27</v>
      </c>
      <c r="H27" t="s">
        <v>28</v>
      </c>
      <c r="I27" t="s">
        <v>2622</v>
      </c>
      <c r="J27" t="s">
        <v>2686</v>
      </c>
      <c r="K27" t="s">
        <v>25</v>
      </c>
      <c r="L27">
        <v>57</v>
      </c>
      <c r="M27">
        <v>5</v>
      </c>
      <c r="N27">
        <v>5</v>
      </c>
      <c r="O27" t="s">
        <v>147</v>
      </c>
      <c r="P27" t="s">
        <v>44</v>
      </c>
      <c r="Q27" t="s">
        <v>70</v>
      </c>
      <c r="R27" t="s">
        <v>43</v>
      </c>
      <c r="S27" t="s">
        <v>30</v>
      </c>
      <c r="T27">
        <v>4</v>
      </c>
      <c r="U27">
        <v>247.29</v>
      </c>
      <c r="V27">
        <v>751.1</v>
      </c>
      <c r="W27">
        <v>5</v>
      </c>
      <c r="X27" t="s">
        <v>94</v>
      </c>
      <c r="Y27">
        <v>2025</v>
      </c>
    </row>
    <row r="28" spans="1:25" x14ac:dyDescent="0.3">
      <c r="A28" t="s">
        <v>148</v>
      </c>
      <c r="B28" s="1">
        <v>45624</v>
      </c>
      <c r="C28" t="s">
        <v>149</v>
      </c>
      <c r="D28" t="s">
        <v>3695</v>
      </c>
      <c r="E28" s="1">
        <v>45626</v>
      </c>
      <c r="F28" t="s">
        <v>122</v>
      </c>
      <c r="G28" t="s">
        <v>120</v>
      </c>
      <c r="H28" t="s">
        <v>121</v>
      </c>
      <c r="I28" t="s">
        <v>2625</v>
      </c>
      <c r="J28" t="s">
        <v>2703</v>
      </c>
      <c r="K28" t="s">
        <v>25</v>
      </c>
      <c r="L28">
        <v>22</v>
      </c>
      <c r="M28">
        <v>5</v>
      </c>
      <c r="N28">
        <v>5</v>
      </c>
      <c r="O28" t="s">
        <v>150</v>
      </c>
      <c r="P28" t="s">
        <v>75</v>
      </c>
      <c r="Q28" t="s">
        <v>42</v>
      </c>
      <c r="R28" t="s">
        <v>43</v>
      </c>
      <c r="S28" t="s">
        <v>123</v>
      </c>
      <c r="T28">
        <v>2</v>
      </c>
      <c r="U28">
        <v>930.57</v>
      </c>
      <c r="V28">
        <v>3376.63</v>
      </c>
      <c r="W28">
        <v>2</v>
      </c>
      <c r="X28" t="s">
        <v>94</v>
      </c>
      <c r="Y28">
        <v>2024</v>
      </c>
    </row>
    <row r="29" spans="1:25" x14ac:dyDescent="0.3">
      <c r="A29" t="s">
        <v>151</v>
      </c>
      <c r="B29" s="1">
        <v>46160</v>
      </c>
      <c r="C29" t="s">
        <v>152</v>
      </c>
      <c r="D29" t="s">
        <v>3694</v>
      </c>
      <c r="E29" s="1">
        <v>46164</v>
      </c>
      <c r="F29" t="s">
        <v>2617</v>
      </c>
      <c r="G29" t="s">
        <v>27</v>
      </c>
      <c r="H29" t="s">
        <v>28</v>
      </c>
      <c r="I29" t="s">
        <v>2652</v>
      </c>
      <c r="J29" t="s">
        <v>2688</v>
      </c>
      <c r="K29" t="s">
        <v>52</v>
      </c>
      <c r="L29">
        <v>29</v>
      </c>
      <c r="M29">
        <v>3</v>
      </c>
      <c r="N29">
        <v>5</v>
      </c>
      <c r="O29" t="s">
        <v>153</v>
      </c>
      <c r="P29" t="s">
        <v>75</v>
      </c>
      <c r="Q29" t="s">
        <v>42</v>
      </c>
      <c r="R29" t="s">
        <v>71</v>
      </c>
      <c r="S29" t="s">
        <v>30</v>
      </c>
      <c r="T29">
        <v>4</v>
      </c>
      <c r="U29">
        <v>497.17</v>
      </c>
      <c r="V29">
        <v>1135.4000000000001</v>
      </c>
      <c r="W29">
        <v>4</v>
      </c>
      <c r="X29" t="s">
        <v>49</v>
      </c>
      <c r="Y29">
        <v>2026</v>
      </c>
    </row>
    <row r="30" spans="1:25" x14ac:dyDescent="0.3">
      <c r="A30" t="s">
        <v>154</v>
      </c>
      <c r="B30" s="1">
        <v>45903</v>
      </c>
      <c r="C30" t="s">
        <v>155</v>
      </c>
      <c r="D30" t="s">
        <v>3693</v>
      </c>
      <c r="E30" s="1">
        <v>45907</v>
      </c>
      <c r="F30" t="s">
        <v>100</v>
      </c>
      <c r="G30" t="s">
        <v>98</v>
      </c>
      <c r="H30" t="s">
        <v>99</v>
      </c>
      <c r="I30" t="s">
        <v>2625</v>
      </c>
      <c r="J30" t="s">
        <v>2626</v>
      </c>
      <c r="K30" t="s">
        <v>52</v>
      </c>
      <c r="L30">
        <v>18</v>
      </c>
      <c r="M30">
        <v>5</v>
      </c>
      <c r="N30">
        <v>0</v>
      </c>
      <c r="O30" t="s">
        <v>156</v>
      </c>
      <c r="P30" t="s">
        <v>75</v>
      </c>
      <c r="Q30" t="s">
        <v>70</v>
      </c>
      <c r="R30" t="s">
        <v>71</v>
      </c>
      <c r="S30" t="s">
        <v>101</v>
      </c>
      <c r="T30">
        <v>3</v>
      </c>
      <c r="U30">
        <v>591.13</v>
      </c>
      <c r="V30">
        <v>2341.56</v>
      </c>
      <c r="W30">
        <v>4</v>
      </c>
      <c r="X30" t="s">
        <v>45</v>
      </c>
      <c r="Y30">
        <v>2025</v>
      </c>
    </row>
    <row r="31" spans="1:25" x14ac:dyDescent="0.3">
      <c r="A31" t="s">
        <v>157</v>
      </c>
      <c r="B31" s="1">
        <v>46040</v>
      </c>
      <c r="C31" t="s">
        <v>158</v>
      </c>
      <c r="D31" t="s">
        <v>3692</v>
      </c>
      <c r="E31" s="1">
        <v>46046</v>
      </c>
      <c r="F31" t="s">
        <v>40</v>
      </c>
      <c r="G31" t="s">
        <v>38</v>
      </c>
      <c r="H31" t="s">
        <v>39</v>
      </c>
      <c r="I31" t="s">
        <v>2652</v>
      </c>
      <c r="J31" t="s">
        <v>2706</v>
      </c>
      <c r="K31" t="s">
        <v>52</v>
      </c>
      <c r="L31">
        <v>23</v>
      </c>
      <c r="M31">
        <v>4</v>
      </c>
      <c r="N31">
        <v>25</v>
      </c>
      <c r="O31" t="s">
        <v>159</v>
      </c>
      <c r="P31" t="s">
        <v>75</v>
      </c>
      <c r="Q31" t="s">
        <v>31</v>
      </c>
      <c r="R31" t="s">
        <v>62</v>
      </c>
      <c r="S31" t="s">
        <v>41</v>
      </c>
      <c r="T31">
        <v>1</v>
      </c>
      <c r="U31">
        <v>428.34</v>
      </c>
      <c r="V31">
        <v>769.65</v>
      </c>
      <c r="W31">
        <v>6</v>
      </c>
      <c r="X31" t="s">
        <v>34</v>
      </c>
      <c r="Y31">
        <v>2026</v>
      </c>
    </row>
    <row r="32" spans="1:25" x14ac:dyDescent="0.3">
      <c r="A32" t="s">
        <v>160</v>
      </c>
      <c r="B32" s="1">
        <v>45849</v>
      </c>
      <c r="C32" t="s">
        <v>161</v>
      </c>
      <c r="D32" t="s">
        <v>3691</v>
      </c>
      <c r="E32" s="1">
        <v>45856</v>
      </c>
      <c r="F32" t="s">
        <v>122</v>
      </c>
      <c r="G32" t="s">
        <v>120</v>
      </c>
      <c r="H32" t="s">
        <v>121</v>
      </c>
      <c r="I32" t="s">
        <v>2622</v>
      </c>
      <c r="J32" t="s">
        <v>2686</v>
      </c>
      <c r="K32" t="s">
        <v>52</v>
      </c>
      <c r="L32">
        <v>47</v>
      </c>
      <c r="M32">
        <v>4</v>
      </c>
      <c r="N32">
        <v>20</v>
      </c>
      <c r="O32" t="s">
        <v>162</v>
      </c>
      <c r="P32" t="s">
        <v>75</v>
      </c>
      <c r="Q32" t="s">
        <v>42</v>
      </c>
      <c r="R32" t="s">
        <v>43</v>
      </c>
      <c r="S32" t="s">
        <v>123</v>
      </c>
      <c r="T32">
        <v>2</v>
      </c>
      <c r="U32">
        <v>651.26</v>
      </c>
      <c r="V32">
        <v>1648.62</v>
      </c>
      <c r="W32">
        <v>7</v>
      </c>
      <c r="X32" t="s">
        <v>45</v>
      </c>
      <c r="Y32">
        <v>2025</v>
      </c>
    </row>
    <row r="33" spans="1:25" x14ac:dyDescent="0.3">
      <c r="A33" t="s">
        <v>163</v>
      </c>
      <c r="B33" s="1">
        <v>45378</v>
      </c>
      <c r="C33" t="s">
        <v>164</v>
      </c>
      <c r="D33" t="s">
        <v>3690</v>
      </c>
      <c r="E33" s="1">
        <v>45382</v>
      </c>
      <c r="F33" t="s">
        <v>122</v>
      </c>
      <c r="G33" t="s">
        <v>120</v>
      </c>
      <c r="H33" t="s">
        <v>121</v>
      </c>
      <c r="I33" t="s">
        <v>2679</v>
      </c>
      <c r="J33" t="s">
        <v>2707</v>
      </c>
      <c r="K33" t="s">
        <v>25</v>
      </c>
      <c r="L33">
        <v>41</v>
      </c>
      <c r="M33">
        <v>1</v>
      </c>
      <c r="N33">
        <v>30</v>
      </c>
      <c r="O33" t="s">
        <v>165</v>
      </c>
      <c r="P33" t="s">
        <v>33</v>
      </c>
      <c r="Q33" t="s">
        <v>70</v>
      </c>
      <c r="R33" t="s">
        <v>71</v>
      </c>
      <c r="S33" t="s">
        <v>123</v>
      </c>
      <c r="T33">
        <v>1</v>
      </c>
      <c r="U33">
        <v>791.86</v>
      </c>
      <c r="V33">
        <v>373.19</v>
      </c>
      <c r="W33">
        <v>4</v>
      </c>
      <c r="X33" t="s">
        <v>34</v>
      </c>
      <c r="Y33">
        <v>2024</v>
      </c>
    </row>
    <row r="34" spans="1:25" x14ac:dyDescent="0.3">
      <c r="A34" t="s">
        <v>166</v>
      </c>
      <c r="B34" s="1">
        <v>45604</v>
      </c>
      <c r="C34" t="s">
        <v>167</v>
      </c>
      <c r="D34" t="s">
        <v>3689</v>
      </c>
      <c r="E34" s="1">
        <v>45607</v>
      </c>
      <c r="F34" t="s">
        <v>122</v>
      </c>
      <c r="G34" t="s">
        <v>120</v>
      </c>
      <c r="H34" t="s">
        <v>121</v>
      </c>
      <c r="I34" t="s">
        <v>2625</v>
      </c>
      <c r="J34" t="s">
        <v>2703</v>
      </c>
      <c r="K34" t="s">
        <v>25</v>
      </c>
      <c r="L34">
        <v>48</v>
      </c>
      <c r="M34">
        <v>1</v>
      </c>
      <c r="N34">
        <v>20</v>
      </c>
      <c r="O34" t="s">
        <v>168</v>
      </c>
      <c r="P34" t="s">
        <v>44</v>
      </c>
      <c r="Q34" t="s">
        <v>58</v>
      </c>
      <c r="R34" t="s">
        <v>62</v>
      </c>
      <c r="S34" t="s">
        <v>123</v>
      </c>
      <c r="T34">
        <v>4</v>
      </c>
      <c r="U34">
        <v>997.49</v>
      </c>
      <c r="V34">
        <v>487.84</v>
      </c>
      <c r="W34">
        <v>3</v>
      </c>
      <c r="X34" t="s">
        <v>94</v>
      </c>
      <c r="Y34">
        <v>2024</v>
      </c>
    </row>
    <row r="35" spans="1:25" x14ac:dyDescent="0.3">
      <c r="A35" t="s">
        <v>169</v>
      </c>
      <c r="B35" s="1">
        <v>45588</v>
      </c>
      <c r="C35" t="s">
        <v>170</v>
      </c>
      <c r="D35" t="s">
        <v>3688</v>
      </c>
      <c r="E35" s="1">
        <v>45594</v>
      </c>
      <c r="F35" t="s">
        <v>122</v>
      </c>
      <c r="G35" t="s">
        <v>120</v>
      </c>
      <c r="H35" t="s">
        <v>121</v>
      </c>
      <c r="I35" t="s">
        <v>2634</v>
      </c>
      <c r="J35" t="s">
        <v>2650</v>
      </c>
      <c r="K35" t="s">
        <v>25</v>
      </c>
      <c r="L35">
        <v>23</v>
      </c>
      <c r="M35">
        <v>4</v>
      </c>
      <c r="N35">
        <v>15</v>
      </c>
      <c r="O35" t="s">
        <v>171</v>
      </c>
      <c r="P35" t="s">
        <v>44</v>
      </c>
      <c r="Q35" t="s">
        <v>58</v>
      </c>
      <c r="R35" t="s">
        <v>71</v>
      </c>
      <c r="S35" t="s">
        <v>123</v>
      </c>
      <c r="T35">
        <v>1</v>
      </c>
      <c r="U35">
        <v>161.28</v>
      </c>
      <c r="V35">
        <v>383.12</v>
      </c>
      <c r="W35">
        <v>6</v>
      </c>
      <c r="X35" t="s">
        <v>94</v>
      </c>
      <c r="Y35">
        <v>2024</v>
      </c>
    </row>
    <row r="36" spans="1:25" x14ac:dyDescent="0.3">
      <c r="A36" t="s">
        <v>172</v>
      </c>
      <c r="B36" s="1">
        <v>46054</v>
      </c>
      <c r="C36" t="s">
        <v>173</v>
      </c>
      <c r="D36" t="s">
        <v>3687</v>
      </c>
      <c r="E36" s="1">
        <v>46061</v>
      </c>
      <c r="F36" t="s">
        <v>115</v>
      </c>
      <c r="G36" t="s">
        <v>66</v>
      </c>
      <c r="H36" t="s">
        <v>114</v>
      </c>
      <c r="I36" t="s">
        <v>2654</v>
      </c>
      <c r="J36" t="s">
        <v>2702</v>
      </c>
      <c r="K36" t="s">
        <v>25</v>
      </c>
      <c r="L36">
        <v>26</v>
      </c>
      <c r="M36">
        <v>1</v>
      </c>
      <c r="N36">
        <v>15</v>
      </c>
      <c r="O36" t="s">
        <v>174</v>
      </c>
      <c r="P36" t="s">
        <v>75</v>
      </c>
      <c r="Q36" t="s">
        <v>31</v>
      </c>
      <c r="R36" t="s">
        <v>32</v>
      </c>
      <c r="S36" t="s">
        <v>116</v>
      </c>
      <c r="T36">
        <v>4</v>
      </c>
      <c r="U36">
        <v>824.47</v>
      </c>
      <c r="V36">
        <v>509.83</v>
      </c>
      <c r="W36">
        <v>7</v>
      </c>
      <c r="X36" t="s">
        <v>34</v>
      </c>
      <c r="Y36">
        <v>2026</v>
      </c>
    </row>
    <row r="37" spans="1:25" x14ac:dyDescent="0.3">
      <c r="A37" t="s">
        <v>175</v>
      </c>
      <c r="B37" s="1">
        <v>45655</v>
      </c>
      <c r="C37" t="s">
        <v>176</v>
      </c>
      <c r="D37" t="s">
        <v>3686</v>
      </c>
      <c r="E37" s="1">
        <v>45657</v>
      </c>
      <c r="F37" t="s">
        <v>100</v>
      </c>
      <c r="G37" t="s">
        <v>98</v>
      </c>
      <c r="H37" t="s">
        <v>99</v>
      </c>
      <c r="I37" t="s">
        <v>2679</v>
      </c>
      <c r="J37" t="s">
        <v>2680</v>
      </c>
      <c r="K37" t="s">
        <v>52</v>
      </c>
      <c r="L37">
        <v>41</v>
      </c>
      <c r="M37">
        <v>5</v>
      </c>
      <c r="N37">
        <v>30</v>
      </c>
      <c r="O37" t="s">
        <v>177</v>
      </c>
      <c r="P37" t="s">
        <v>33</v>
      </c>
      <c r="Q37" t="s">
        <v>70</v>
      </c>
      <c r="R37" t="s">
        <v>71</v>
      </c>
      <c r="S37" t="s">
        <v>101</v>
      </c>
      <c r="T37">
        <v>4</v>
      </c>
      <c r="U37">
        <v>905.23</v>
      </c>
      <c r="V37">
        <v>1722.65</v>
      </c>
      <c r="W37">
        <v>2</v>
      </c>
      <c r="X37" t="s">
        <v>94</v>
      </c>
      <c r="Y37">
        <v>2024</v>
      </c>
    </row>
    <row r="38" spans="1:25" x14ac:dyDescent="0.3">
      <c r="A38" t="s">
        <v>178</v>
      </c>
      <c r="B38" s="1">
        <v>45765</v>
      </c>
      <c r="C38" t="s">
        <v>179</v>
      </c>
      <c r="D38" t="s">
        <v>3685</v>
      </c>
      <c r="E38" s="1">
        <v>45770</v>
      </c>
      <c r="F38" t="s">
        <v>2617</v>
      </c>
      <c r="G38" t="s">
        <v>27</v>
      </c>
      <c r="H38" t="s">
        <v>28</v>
      </c>
      <c r="I38" t="s">
        <v>2625</v>
      </c>
      <c r="J38" t="s">
        <v>2703</v>
      </c>
      <c r="K38" t="s">
        <v>52</v>
      </c>
      <c r="L38">
        <v>41</v>
      </c>
      <c r="M38">
        <v>1</v>
      </c>
      <c r="N38">
        <v>10</v>
      </c>
      <c r="O38" t="s">
        <v>180</v>
      </c>
      <c r="P38" t="s">
        <v>33</v>
      </c>
      <c r="Q38" t="s">
        <v>31</v>
      </c>
      <c r="R38" t="s">
        <v>32</v>
      </c>
      <c r="S38" t="s">
        <v>30</v>
      </c>
      <c r="T38">
        <v>5</v>
      </c>
      <c r="U38">
        <v>529.49</v>
      </c>
      <c r="V38">
        <v>335.54</v>
      </c>
      <c r="W38">
        <v>5</v>
      </c>
      <c r="X38" t="s">
        <v>49</v>
      </c>
      <c r="Y38">
        <v>2025</v>
      </c>
    </row>
    <row r="39" spans="1:25" x14ac:dyDescent="0.3">
      <c r="A39" t="s">
        <v>181</v>
      </c>
      <c r="B39" s="1">
        <v>45554</v>
      </c>
      <c r="C39" t="s">
        <v>182</v>
      </c>
      <c r="D39" t="s">
        <v>3684</v>
      </c>
      <c r="E39" s="1">
        <v>45558</v>
      </c>
      <c r="F39" t="s">
        <v>2617</v>
      </c>
      <c r="G39" t="s">
        <v>27</v>
      </c>
      <c r="H39" t="s">
        <v>28</v>
      </c>
      <c r="I39" t="s">
        <v>2661</v>
      </c>
      <c r="J39" t="s">
        <v>2662</v>
      </c>
      <c r="K39" t="s">
        <v>25</v>
      </c>
      <c r="L39">
        <v>38</v>
      </c>
      <c r="M39">
        <v>4</v>
      </c>
      <c r="N39">
        <v>5</v>
      </c>
      <c r="O39" t="s">
        <v>183</v>
      </c>
      <c r="P39" t="s">
        <v>75</v>
      </c>
      <c r="Q39" t="s">
        <v>117</v>
      </c>
      <c r="R39" t="s">
        <v>43</v>
      </c>
      <c r="S39" t="s">
        <v>30</v>
      </c>
      <c r="T39">
        <v>5</v>
      </c>
      <c r="U39">
        <v>463.51</v>
      </c>
      <c r="V39">
        <v>1021.43</v>
      </c>
      <c r="W39">
        <v>4</v>
      </c>
      <c r="X39" t="s">
        <v>45</v>
      </c>
      <c r="Y39">
        <v>2024</v>
      </c>
    </row>
    <row r="40" spans="1:25" x14ac:dyDescent="0.3">
      <c r="A40" t="s">
        <v>184</v>
      </c>
      <c r="B40" s="1">
        <v>45470</v>
      </c>
      <c r="C40" t="s">
        <v>185</v>
      </c>
      <c r="D40" t="s">
        <v>3683</v>
      </c>
      <c r="E40" s="1">
        <v>45475</v>
      </c>
      <c r="F40" t="s">
        <v>40</v>
      </c>
      <c r="G40" t="s">
        <v>38</v>
      </c>
      <c r="H40" t="s">
        <v>39</v>
      </c>
      <c r="I40" t="s">
        <v>2633</v>
      </c>
      <c r="J40" t="s">
        <v>2636</v>
      </c>
      <c r="K40" t="s">
        <v>25</v>
      </c>
      <c r="L40">
        <v>38</v>
      </c>
      <c r="M40">
        <v>3</v>
      </c>
      <c r="N40">
        <v>5</v>
      </c>
      <c r="O40" t="s">
        <v>186</v>
      </c>
      <c r="P40" t="s">
        <v>33</v>
      </c>
      <c r="Q40" t="s">
        <v>117</v>
      </c>
      <c r="R40" t="s">
        <v>62</v>
      </c>
      <c r="S40" t="s">
        <v>41</v>
      </c>
      <c r="T40">
        <v>5</v>
      </c>
      <c r="U40">
        <v>716.61</v>
      </c>
      <c r="V40">
        <v>1426.18</v>
      </c>
      <c r="W40">
        <v>5</v>
      </c>
      <c r="X40" t="s">
        <v>49</v>
      </c>
      <c r="Y40">
        <v>2024</v>
      </c>
    </row>
    <row r="41" spans="1:25" x14ac:dyDescent="0.3">
      <c r="A41" t="s">
        <v>187</v>
      </c>
      <c r="B41" s="1">
        <v>45903</v>
      </c>
      <c r="C41" t="s">
        <v>188</v>
      </c>
      <c r="D41" t="s">
        <v>3682</v>
      </c>
      <c r="E41" s="1">
        <v>45907</v>
      </c>
      <c r="F41" t="s">
        <v>122</v>
      </c>
      <c r="G41" t="s">
        <v>120</v>
      </c>
      <c r="H41" t="s">
        <v>121</v>
      </c>
      <c r="I41" t="s">
        <v>2663</v>
      </c>
      <c r="J41" t="s">
        <v>2664</v>
      </c>
      <c r="K41" t="s">
        <v>52</v>
      </c>
      <c r="L41">
        <v>48</v>
      </c>
      <c r="M41">
        <v>2</v>
      </c>
      <c r="N41">
        <v>10</v>
      </c>
      <c r="O41" t="s">
        <v>189</v>
      </c>
      <c r="P41" t="s">
        <v>75</v>
      </c>
      <c r="Q41" t="s">
        <v>117</v>
      </c>
      <c r="R41" t="s">
        <v>32</v>
      </c>
      <c r="S41" t="s">
        <v>123</v>
      </c>
      <c r="T41">
        <v>1</v>
      </c>
      <c r="U41">
        <v>785.13</v>
      </c>
      <c r="V41">
        <v>1087</v>
      </c>
      <c r="W41">
        <v>4</v>
      </c>
      <c r="X41" t="s">
        <v>45</v>
      </c>
      <c r="Y41">
        <v>2025</v>
      </c>
    </row>
    <row r="42" spans="1:25" x14ac:dyDescent="0.3">
      <c r="A42" t="s">
        <v>190</v>
      </c>
      <c r="B42" s="1">
        <v>45739</v>
      </c>
      <c r="C42" t="s">
        <v>191</v>
      </c>
      <c r="D42" t="s">
        <v>3681</v>
      </c>
      <c r="E42" s="1">
        <v>45744</v>
      </c>
      <c r="F42" t="s">
        <v>122</v>
      </c>
      <c r="G42" t="s">
        <v>120</v>
      </c>
      <c r="H42" t="s">
        <v>121</v>
      </c>
      <c r="I42" t="s">
        <v>2672</v>
      </c>
      <c r="J42" t="s">
        <v>2690</v>
      </c>
      <c r="K42" t="s">
        <v>52</v>
      </c>
      <c r="L42">
        <v>45</v>
      </c>
      <c r="M42">
        <v>1</v>
      </c>
      <c r="N42">
        <v>30</v>
      </c>
      <c r="O42" t="s">
        <v>192</v>
      </c>
      <c r="P42" t="s">
        <v>44</v>
      </c>
      <c r="Q42" t="s">
        <v>117</v>
      </c>
      <c r="R42" t="s">
        <v>71</v>
      </c>
      <c r="S42" t="s">
        <v>123</v>
      </c>
      <c r="T42">
        <v>4</v>
      </c>
      <c r="U42">
        <v>337.53</v>
      </c>
      <c r="V42">
        <v>186.22</v>
      </c>
      <c r="W42">
        <v>5</v>
      </c>
      <c r="X42" t="s">
        <v>34</v>
      </c>
      <c r="Y42">
        <v>2025</v>
      </c>
    </row>
    <row r="43" spans="1:25" x14ac:dyDescent="0.3">
      <c r="A43" t="s">
        <v>193</v>
      </c>
      <c r="B43" s="1">
        <v>46172</v>
      </c>
      <c r="C43" t="s">
        <v>194</v>
      </c>
      <c r="D43" t="s">
        <v>3680</v>
      </c>
      <c r="E43" s="1">
        <v>46179</v>
      </c>
      <c r="F43" t="s">
        <v>115</v>
      </c>
      <c r="G43" t="s">
        <v>66</v>
      </c>
      <c r="H43" t="s">
        <v>114</v>
      </c>
      <c r="I43" t="s">
        <v>2627</v>
      </c>
      <c r="J43" t="s">
        <v>2698</v>
      </c>
      <c r="K43" t="s">
        <v>52</v>
      </c>
      <c r="L43">
        <v>36</v>
      </c>
      <c r="M43">
        <v>5</v>
      </c>
      <c r="N43">
        <v>10</v>
      </c>
      <c r="O43" t="s">
        <v>195</v>
      </c>
      <c r="P43" t="s">
        <v>33</v>
      </c>
      <c r="Q43" t="s">
        <v>42</v>
      </c>
      <c r="R43" t="s">
        <v>62</v>
      </c>
      <c r="S43" t="s">
        <v>116</v>
      </c>
      <c r="T43">
        <v>4</v>
      </c>
      <c r="U43">
        <v>161.99</v>
      </c>
      <c r="V43">
        <v>619.47</v>
      </c>
      <c r="W43">
        <v>7</v>
      </c>
      <c r="X43" t="s">
        <v>49</v>
      </c>
      <c r="Y43">
        <v>2026</v>
      </c>
    </row>
    <row r="44" spans="1:25" x14ac:dyDescent="0.3">
      <c r="A44" t="s">
        <v>196</v>
      </c>
      <c r="B44" s="1">
        <v>46183</v>
      </c>
      <c r="C44" t="s">
        <v>197</v>
      </c>
      <c r="D44" t="s">
        <v>3679</v>
      </c>
      <c r="E44" s="1">
        <v>46187</v>
      </c>
      <c r="F44" t="s">
        <v>100</v>
      </c>
      <c r="G44" t="s">
        <v>98</v>
      </c>
      <c r="H44" t="s">
        <v>99</v>
      </c>
      <c r="I44" t="s">
        <v>2629</v>
      </c>
      <c r="J44" t="s">
        <v>2630</v>
      </c>
      <c r="K44" t="s">
        <v>52</v>
      </c>
      <c r="L44">
        <v>46</v>
      </c>
      <c r="M44">
        <v>4</v>
      </c>
      <c r="N44">
        <v>25</v>
      </c>
      <c r="O44" t="s">
        <v>198</v>
      </c>
      <c r="P44" t="s">
        <v>44</v>
      </c>
      <c r="Q44" t="s">
        <v>42</v>
      </c>
      <c r="R44" t="s">
        <v>71</v>
      </c>
      <c r="S44" t="s">
        <v>101</v>
      </c>
      <c r="T44">
        <v>1</v>
      </c>
      <c r="U44">
        <v>342.66</v>
      </c>
      <c r="V44">
        <v>762.5</v>
      </c>
      <c r="W44">
        <v>4</v>
      </c>
      <c r="X44" t="s">
        <v>49</v>
      </c>
      <c r="Y44">
        <v>2026</v>
      </c>
    </row>
    <row r="45" spans="1:25" x14ac:dyDescent="0.3">
      <c r="A45" t="s">
        <v>199</v>
      </c>
      <c r="B45" s="1">
        <v>45715</v>
      </c>
      <c r="C45" t="s">
        <v>200</v>
      </c>
      <c r="D45" t="s">
        <v>3678</v>
      </c>
      <c r="E45" s="1">
        <v>45716</v>
      </c>
      <c r="F45" t="s">
        <v>68</v>
      </c>
      <c r="G45" t="s">
        <v>66</v>
      </c>
      <c r="H45" t="s">
        <v>67</v>
      </c>
      <c r="I45" t="s">
        <v>2623</v>
      </c>
      <c r="J45" t="s">
        <v>2691</v>
      </c>
      <c r="K45" t="s">
        <v>52</v>
      </c>
      <c r="L45">
        <v>37</v>
      </c>
      <c r="M45">
        <v>2</v>
      </c>
      <c r="N45">
        <v>20</v>
      </c>
      <c r="O45" t="s">
        <v>201</v>
      </c>
      <c r="P45" t="s">
        <v>33</v>
      </c>
      <c r="Q45" t="s">
        <v>70</v>
      </c>
      <c r="R45" t="s">
        <v>43</v>
      </c>
      <c r="S45" t="s">
        <v>69</v>
      </c>
      <c r="T45">
        <v>4</v>
      </c>
      <c r="U45">
        <v>485.28</v>
      </c>
      <c r="V45">
        <v>450.41</v>
      </c>
      <c r="W45">
        <v>1</v>
      </c>
      <c r="X45" t="s">
        <v>34</v>
      </c>
      <c r="Y45">
        <v>2025</v>
      </c>
    </row>
    <row r="46" spans="1:25" x14ac:dyDescent="0.3">
      <c r="A46" t="s">
        <v>202</v>
      </c>
      <c r="B46" s="1">
        <v>45920</v>
      </c>
      <c r="C46" t="s">
        <v>203</v>
      </c>
      <c r="D46" t="s">
        <v>3677</v>
      </c>
      <c r="E46" s="1">
        <v>45925</v>
      </c>
      <c r="F46" t="s">
        <v>140</v>
      </c>
      <c r="G46" t="s">
        <v>38</v>
      </c>
      <c r="H46" t="s">
        <v>139</v>
      </c>
      <c r="I46" t="s">
        <v>2627</v>
      </c>
      <c r="J46" t="s">
        <v>2628</v>
      </c>
      <c r="K46" t="s">
        <v>52</v>
      </c>
      <c r="L46">
        <v>54</v>
      </c>
      <c r="M46">
        <v>2</v>
      </c>
      <c r="N46">
        <v>10</v>
      </c>
      <c r="O46" t="s">
        <v>204</v>
      </c>
      <c r="P46" t="s">
        <v>75</v>
      </c>
      <c r="Q46" t="s">
        <v>42</v>
      </c>
      <c r="R46" t="s">
        <v>32</v>
      </c>
      <c r="S46" t="s">
        <v>141</v>
      </c>
      <c r="T46">
        <v>1</v>
      </c>
      <c r="U46">
        <v>229.53</v>
      </c>
      <c r="V46">
        <v>260.48</v>
      </c>
      <c r="W46">
        <v>5</v>
      </c>
      <c r="X46" t="s">
        <v>45</v>
      </c>
      <c r="Y46">
        <v>2025</v>
      </c>
    </row>
    <row r="47" spans="1:25" x14ac:dyDescent="0.3">
      <c r="A47" t="s">
        <v>205</v>
      </c>
      <c r="B47" s="1">
        <v>46132</v>
      </c>
      <c r="C47" t="s">
        <v>206</v>
      </c>
      <c r="D47" t="s">
        <v>3676</v>
      </c>
      <c r="E47" s="1">
        <v>46139</v>
      </c>
      <c r="F47" t="s">
        <v>122</v>
      </c>
      <c r="G47" t="s">
        <v>120</v>
      </c>
      <c r="H47" t="s">
        <v>121</v>
      </c>
      <c r="I47" t="s">
        <v>2637</v>
      </c>
      <c r="J47" t="s">
        <v>2638</v>
      </c>
      <c r="K47" t="s">
        <v>52</v>
      </c>
      <c r="L47">
        <v>43</v>
      </c>
      <c r="M47">
        <v>4</v>
      </c>
      <c r="N47">
        <v>10</v>
      </c>
      <c r="O47" t="s">
        <v>207</v>
      </c>
      <c r="P47" t="s">
        <v>33</v>
      </c>
      <c r="Q47" t="s">
        <v>70</v>
      </c>
      <c r="R47" t="s">
        <v>43</v>
      </c>
      <c r="S47" t="s">
        <v>123</v>
      </c>
      <c r="T47">
        <v>3</v>
      </c>
      <c r="U47">
        <v>896.34</v>
      </c>
      <c r="V47">
        <v>2039.41</v>
      </c>
      <c r="W47">
        <v>7</v>
      </c>
      <c r="X47" t="s">
        <v>49</v>
      </c>
      <c r="Y47">
        <v>2026</v>
      </c>
    </row>
    <row r="48" spans="1:25" x14ac:dyDescent="0.3">
      <c r="A48" t="s">
        <v>208</v>
      </c>
      <c r="B48" s="1">
        <v>45700</v>
      </c>
      <c r="C48" t="s">
        <v>80</v>
      </c>
      <c r="D48" t="s">
        <v>3675</v>
      </c>
      <c r="E48" s="1">
        <v>45704</v>
      </c>
      <c r="F48" t="s">
        <v>115</v>
      </c>
      <c r="G48" t="s">
        <v>66</v>
      </c>
      <c r="H48" t="s">
        <v>114</v>
      </c>
      <c r="I48" t="s">
        <v>2623</v>
      </c>
      <c r="J48" t="s">
        <v>2624</v>
      </c>
      <c r="K48" t="s">
        <v>25</v>
      </c>
      <c r="L48">
        <v>26</v>
      </c>
      <c r="M48">
        <v>5</v>
      </c>
      <c r="N48">
        <v>15</v>
      </c>
      <c r="O48" t="s">
        <v>209</v>
      </c>
      <c r="P48" t="s">
        <v>44</v>
      </c>
      <c r="Q48" t="s">
        <v>70</v>
      </c>
      <c r="R48" t="s">
        <v>32</v>
      </c>
      <c r="S48" t="s">
        <v>116</v>
      </c>
      <c r="T48">
        <v>5</v>
      </c>
      <c r="U48">
        <v>985.72</v>
      </c>
      <c r="V48">
        <v>2744.31</v>
      </c>
      <c r="W48">
        <v>4</v>
      </c>
      <c r="X48" t="s">
        <v>34</v>
      </c>
      <c r="Y48">
        <v>2025</v>
      </c>
    </row>
    <row r="49" spans="1:25" x14ac:dyDescent="0.3">
      <c r="A49" t="s">
        <v>210</v>
      </c>
      <c r="B49" s="1">
        <v>45596</v>
      </c>
      <c r="C49" t="s">
        <v>155</v>
      </c>
      <c r="D49" t="s">
        <v>3674</v>
      </c>
      <c r="E49" s="1">
        <v>45598</v>
      </c>
      <c r="F49" t="s">
        <v>115</v>
      </c>
      <c r="G49" t="s">
        <v>66</v>
      </c>
      <c r="H49" t="s">
        <v>114</v>
      </c>
      <c r="I49" t="s">
        <v>2661</v>
      </c>
      <c r="J49" t="s">
        <v>2700</v>
      </c>
      <c r="K49" t="s">
        <v>52</v>
      </c>
      <c r="L49">
        <v>19</v>
      </c>
      <c r="M49">
        <v>4</v>
      </c>
      <c r="N49">
        <v>20</v>
      </c>
      <c r="O49" t="s">
        <v>211</v>
      </c>
      <c r="P49" t="s">
        <v>44</v>
      </c>
      <c r="Q49" t="s">
        <v>31</v>
      </c>
      <c r="R49" t="s">
        <v>43</v>
      </c>
      <c r="S49" t="s">
        <v>116</v>
      </c>
      <c r="T49">
        <v>5</v>
      </c>
      <c r="U49">
        <v>34.200000000000003</v>
      </c>
      <c r="V49">
        <v>69.180000000000007</v>
      </c>
      <c r="W49">
        <v>2</v>
      </c>
      <c r="X49" t="s">
        <v>94</v>
      </c>
      <c r="Y49">
        <v>2024</v>
      </c>
    </row>
    <row r="50" spans="1:25" x14ac:dyDescent="0.3">
      <c r="A50" t="s">
        <v>212</v>
      </c>
      <c r="B50" s="1">
        <v>45509</v>
      </c>
      <c r="C50" t="s">
        <v>213</v>
      </c>
      <c r="D50" t="s">
        <v>3673</v>
      </c>
      <c r="E50" s="1">
        <v>45514</v>
      </c>
      <c r="F50" t="s">
        <v>128</v>
      </c>
      <c r="G50" t="s">
        <v>98</v>
      </c>
      <c r="H50" t="s">
        <v>127</v>
      </c>
      <c r="I50" t="s">
        <v>2622</v>
      </c>
      <c r="J50" t="s">
        <v>2686</v>
      </c>
      <c r="K50" t="s">
        <v>52</v>
      </c>
      <c r="L50">
        <v>48</v>
      </c>
      <c r="M50">
        <v>2</v>
      </c>
      <c r="N50">
        <v>5</v>
      </c>
      <c r="O50" t="s">
        <v>214</v>
      </c>
      <c r="P50" t="s">
        <v>75</v>
      </c>
      <c r="Q50" t="s">
        <v>117</v>
      </c>
      <c r="R50" t="s">
        <v>62</v>
      </c>
      <c r="S50" t="s">
        <v>129</v>
      </c>
      <c r="T50">
        <v>4</v>
      </c>
      <c r="U50">
        <v>585.75</v>
      </c>
      <c r="V50">
        <v>917.51</v>
      </c>
      <c r="W50">
        <v>5</v>
      </c>
      <c r="X50" t="s">
        <v>45</v>
      </c>
      <c r="Y50">
        <v>2024</v>
      </c>
    </row>
    <row r="51" spans="1:25" x14ac:dyDescent="0.3">
      <c r="A51" t="s">
        <v>215</v>
      </c>
      <c r="B51" s="1">
        <v>45619</v>
      </c>
      <c r="C51" t="s">
        <v>216</v>
      </c>
      <c r="D51" t="s">
        <v>3672</v>
      </c>
      <c r="E51" s="1">
        <v>45623</v>
      </c>
      <c r="F51" t="s">
        <v>2617</v>
      </c>
      <c r="G51" t="s">
        <v>27</v>
      </c>
      <c r="H51" t="s">
        <v>28</v>
      </c>
      <c r="I51" t="s">
        <v>2668</v>
      </c>
      <c r="J51" t="s">
        <v>2708</v>
      </c>
      <c r="K51" t="s">
        <v>52</v>
      </c>
      <c r="L51">
        <v>22</v>
      </c>
      <c r="M51">
        <v>3</v>
      </c>
      <c r="N51">
        <v>15</v>
      </c>
      <c r="O51" t="s">
        <v>217</v>
      </c>
      <c r="P51" t="s">
        <v>75</v>
      </c>
      <c r="Q51" t="s">
        <v>70</v>
      </c>
      <c r="R51" t="s">
        <v>71</v>
      </c>
      <c r="S51" t="s">
        <v>30</v>
      </c>
      <c r="T51">
        <v>4</v>
      </c>
      <c r="U51">
        <v>874.94</v>
      </c>
      <c r="V51">
        <v>1261.8499999999999</v>
      </c>
      <c r="W51">
        <v>4</v>
      </c>
      <c r="X51" t="s">
        <v>94</v>
      </c>
      <c r="Y51">
        <v>2024</v>
      </c>
    </row>
    <row r="52" spans="1:25" x14ac:dyDescent="0.3">
      <c r="A52" t="s">
        <v>218</v>
      </c>
      <c r="B52" s="1">
        <v>45463</v>
      </c>
      <c r="C52" t="s">
        <v>219</v>
      </c>
      <c r="D52" t="s">
        <v>2797</v>
      </c>
      <c r="E52" s="1">
        <v>45466</v>
      </c>
      <c r="F52" t="s">
        <v>56</v>
      </c>
      <c r="G52" t="s">
        <v>54</v>
      </c>
      <c r="H52" t="s">
        <v>55</v>
      </c>
      <c r="I52" t="s">
        <v>2629</v>
      </c>
      <c r="J52" t="s">
        <v>2630</v>
      </c>
      <c r="K52" t="s">
        <v>25</v>
      </c>
      <c r="L52">
        <v>38</v>
      </c>
      <c r="M52">
        <v>1</v>
      </c>
      <c r="N52">
        <v>0</v>
      </c>
      <c r="O52" t="s">
        <v>220</v>
      </c>
      <c r="P52" t="s">
        <v>33</v>
      </c>
      <c r="Q52" t="s">
        <v>58</v>
      </c>
      <c r="R52" t="s">
        <v>71</v>
      </c>
      <c r="S52" t="s">
        <v>57</v>
      </c>
      <c r="T52">
        <v>1</v>
      </c>
      <c r="U52">
        <v>816.3</v>
      </c>
      <c r="V52">
        <v>427.28</v>
      </c>
      <c r="W52">
        <v>3</v>
      </c>
      <c r="X52" t="s">
        <v>49</v>
      </c>
      <c r="Y52">
        <v>2024</v>
      </c>
    </row>
    <row r="53" spans="1:25" x14ac:dyDescent="0.3">
      <c r="A53" t="s">
        <v>221</v>
      </c>
      <c r="B53" s="1">
        <v>45924</v>
      </c>
      <c r="C53" t="s">
        <v>222</v>
      </c>
      <c r="D53" t="s">
        <v>2796</v>
      </c>
      <c r="E53" s="1">
        <v>45928</v>
      </c>
      <c r="F53" t="s">
        <v>115</v>
      </c>
      <c r="G53" t="s">
        <v>66</v>
      </c>
      <c r="H53" t="s">
        <v>114</v>
      </c>
      <c r="I53" t="s">
        <v>2665</v>
      </c>
      <c r="J53" t="s">
        <v>2666</v>
      </c>
      <c r="K53" t="s">
        <v>25</v>
      </c>
      <c r="L53">
        <v>53</v>
      </c>
      <c r="M53">
        <v>1</v>
      </c>
      <c r="N53">
        <v>30</v>
      </c>
      <c r="O53" t="s">
        <v>223</v>
      </c>
      <c r="P53" t="s">
        <v>75</v>
      </c>
      <c r="Q53" t="s">
        <v>31</v>
      </c>
      <c r="R53" t="s">
        <v>32</v>
      </c>
      <c r="S53" t="s">
        <v>116</v>
      </c>
      <c r="T53">
        <v>2</v>
      </c>
      <c r="U53">
        <v>437.5</v>
      </c>
      <c r="V53">
        <v>253.46</v>
      </c>
      <c r="W53">
        <v>4</v>
      </c>
      <c r="X53" t="s">
        <v>45</v>
      </c>
      <c r="Y53">
        <v>2025</v>
      </c>
    </row>
    <row r="54" spans="1:25" x14ac:dyDescent="0.3">
      <c r="A54" t="s">
        <v>224</v>
      </c>
      <c r="B54" s="1">
        <v>45556</v>
      </c>
      <c r="C54" t="s">
        <v>225</v>
      </c>
      <c r="D54" t="s">
        <v>3671</v>
      </c>
      <c r="E54" s="1">
        <v>45559</v>
      </c>
      <c r="F54" t="s">
        <v>128</v>
      </c>
      <c r="G54" t="s">
        <v>98</v>
      </c>
      <c r="H54" t="s">
        <v>127</v>
      </c>
      <c r="I54" t="s">
        <v>2659</v>
      </c>
      <c r="J54" t="s">
        <v>2660</v>
      </c>
      <c r="K54" t="s">
        <v>25</v>
      </c>
      <c r="L54">
        <v>56</v>
      </c>
      <c r="M54">
        <v>1</v>
      </c>
      <c r="N54">
        <v>0</v>
      </c>
      <c r="O54" t="s">
        <v>226</v>
      </c>
      <c r="P54" t="s">
        <v>33</v>
      </c>
      <c r="Q54" t="s">
        <v>42</v>
      </c>
      <c r="R54" t="s">
        <v>62</v>
      </c>
      <c r="S54" t="s">
        <v>129</v>
      </c>
      <c r="T54">
        <v>2</v>
      </c>
      <c r="U54">
        <v>95.37</v>
      </c>
      <c r="V54">
        <v>77.88</v>
      </c>
      <c r="W54">
        <v>3</v>
      </c>
      <c r="X54" t="s">
        <v>45</v>
      </c>
      <c r="Y54">
        <v>2024</v>
      </c>
    </row>
    <row r="55" spans="1:25" x14ac:dyDescent="0.3">
      <c r="A55" t="s">
        <v>227</v>
      </c>
      <c r="B55" s="1">
        <v>45489</v>
      </c>
      <c r="C55" t="s">
        <v>228</v>
      </c>
      <c r="D55" t="s">
        <v>2795</v>
      </c>
      <c r="E55" s="1">
        <v>45490</v>
      </c>
      <c r="F55" t="s">
        <v>2617</v>
      </c>
      <c r="G55" t="s">
        <v>27</v>
      </c>
      <c r="H55" t="s">
        <v>28</v>
      </c>
      <c r="I55" t="s">
        <v>2679</v>
      </c>
      <c r="J55" t="s">
        <v>2680</v>
      </c>
      <c r="K55" t="s">
        <v>52</v>
      </c>
      <c r="L55">
        <v>44</v>
      </c>
      <c r="M55">
        <v>5</v>
      </c>
      <c r="N55">
        <v>20</v>
      </c>
      <c r="O55" t="s">
        <v>229</v>
      </c>
      <c r="P55" t="s">
        <v>33</v>
      </c>
      <c r="Q55" t="s">
        <v>117</v>
      </c>
      <c r="R55" t="s">
        <v>62</v>
      </c>
      <c r="S55" t="s">
        <v>30</v>
      </c>
      <c r="T55">
        <v>4</v>
      </c>
      <c r="U55">
        <v>318.49</v>
      </c>
      <c r="V55">
        <v>777.44</v>
      </c>
      <c r="W55">
        <v>1</v>
      </c>
      <c r="X55" t="s">
        <v>45</v>
      </c>
      <c r="Y55">
        <v>2024</v>
      </c>
    </row>
    <row r="56" spans="1:25" x14ac:dyDescent="0.3">
      <c r="A56" t="s">
        <v>230</v>
      </c>
      <c r="B56" s="1">
        <v>45674</v>
      </c>
      <c r="C56" t="s">
        <v>231</v>
      </c>
      <c r="D56" t="s">
        <v>3670</v>
      </c>
      <c r="E56" s="1">
        <v>45679</v>
      </c>
      <c r="F56" t="s">
        <v>140</v>
      </c>
      <c r="G56" t="s">
        <v>38</v>
      </c>
      <c r="H56" t="s">
        <v>139</v>
      </c>
      <c r="I56" t="s">
        <v>2622</v>
      </c>
      <c r="J56" t="s">
        <v>2686</v>
      </c>
      <c r="K56" t="s">
        <v>25</v>
      </c>
      <c r="L56">
        <v>21</v>
      </c>
      <c r="M56">
        <v>3</v>
      </c>
      <c r="N56">
        <v>20</v>
      </c>
      <c r="O56" t="s">
        <v>232</v>
      </c>
      <c r="P56" t="s">
        <v>33</v>
      </c>
      <c r="Q56" t="s">
        <v>42</v>
      </c>
      <c r="R56" t="s">
        <v>32</v>
      </c>
      <c r="S56" t="s">
        <v>141</v>
      </c>
      <c r="T56">
        <v>5</v>
      </c>
      <c r="U56">
        <v>768.07</v>
      </c>
      <c r="V56">
        <v>1541.26</v>
      </c>
      <c r="W56">
        <v>5</v>
      </c>
      <c r="X56" t="s">
        <v>34</v>
      </c>
      <c r="Y56">
        <v>2025</v>
      </c>
    </row>
    <row r="57" spans="1:25" x14ac:dyDescent="0.3">
      <c r="A57" t="s">
        <v>233</v>
      </c>
      <c r="B57" s="1">
        <v>45496</v>
      </c>
      <c r="C57" t="s">
        <v>234</v>
      </c>
      <c r="D57" t="s">
        <v>3669</v>
      </c>
      <c r="E57" s="1">
        <v>45498</v>
      </c>
      <c r="F57" t="s">
        <v>115</v>
      </c>
      <c r="G57" t="s">
        <v>66</v>
      </c>
      <c r="H57" t="s">
        <v>114</v>
      </c>
      <c r="I57" t="s">
        <v>2629</v>
      </c>
      <c r="J57" t="s">
        <v>2689</v>
      </c>
      <c r="K57" t="s">
        <v>52</v>
      </c>
      <c r="L57">
        <v>26</v>
      </c>
      <c r="M57">
        <v>3</v>
      </c>
      <c r="N57">
        <v>20</v>
      </c>
      <c r="O57" t="s">
        <v>235</v>
      </c>
      <c r="P57" t="s">
        <v>44</v>
      </c>
      <c r="Q57" t="s">
        <v>31</v>
      </c>
      <c r="R57" t="s">
        <v>32</v>
      </c>
      <c r="S57" t="s">
        <v>116</v>
      </c>
      <c r="T57">
        <v>5</v>
      </c>
      <c r="U57">
        <v>672.06</v>
      </c>
      <c r="V57">
        <v>1200.29</v>
      </c>
      <c r="W57">
        <v>2</v>
      </c>
      <c r="X57" t="s">
        <v>45</v>
      </c>
      <c r="Y57">
        <v>2024</v>
      </c>
    </row>
    <row r="58" spans="1:25" x14ac:dyDescent="0.3">
      <c r="A58" t="s">
        <v>236</v>
      </c>
      <c r="B58" s="1">
        <v>45613</v>
      </c>
      <c r="C58" t="s">
        <v>237</v>
      </c>
      <c r="D58" t="s">
        <v>3668</v>
      </c>
      <c r="E58" s="1">
        <v>45620</v>
      </c>
      <c r="F58" t="s">
        <v>115</v>
      </c>
      <c r="G58" t="s">
        <v>66</v>
      </c>
      <c r="H58" t="s">
        <v>114</v>
      </c>
      <c r="I58" t="s">
        <v>2625</v>
      </c>
      <c r="J58" t="s">
        <v>2651</v>
      </c>
      <c r="K58" t="s">
        <v>25</v>
      </c>
      <c r="L58">
        <v>46</v>
      </c>
      <c r="M58">
        <v>1</v>
      </c>
      <c r="N58">
        <v>5</v>
      </c>
      <c r="O58" t="s">
        <v>238</v>
      </c>
      <c r="P58" t="s">
        <v>33</v>
      </c>
      <c r="Q58" t="s">
        <v>70</v>
      </c>
      <c r="R58" t="s">
        <v>71</v>
      </c>
      <c r="S58" t="s">
        <v>116</v>
      </c>
      <c r="T58">
        <v>3</v>
      </c>
      <c r="U58">
        <v>923.59</v>
      </c>
      <c r="V58">
        <v>671.82</v>
      </c>
      <c r="W58">
        <v>7</v>
      </c>
      <c r="X58" t="s">
        <v>94</v>
      </c>
      <c r="Y58">
        <v>2024</v>
      </c>
    </row>
    <row r="59" spans="1:25" x14ac:dyDescent="0.3">
      <c r="A59" t="s">
        <v>239</v>
      </c>
      <c r="B59" s="1">
        <v>45487</v>
      </c>
      <c r="C59" t="s">
        <v>240</v>
      </c>
      <c r="D59" t="s">
        <v>2794</v>
      </c>
      <c r="E59" s="1">
        <v>45489</v>
      </c>
      <c r="F59" t="s">
        <v>68</v>
      </c>
      <c r="G59" t="s">
        <v>66</v>
      </c>
      <c r="H59" t="s">
        <v>67</v>
      </c>
      <c r="I59" t="s">
        <v>2665</v>
      </c>
      <c r="J59" t="s">
        <v>2693</v>
      </c>
      <c r="K59" t="s">
        <v>25</v>
      </c>
      <c r="L59">
        <v>22</v>
      </c>
      <c r="M59">
        <v>5</v>
      </c>
      <c r="N59">
        <v>10</v>
      </c>
      <c r="O59" t="s">
        <v>241</v>
      </c>
      <c r="P59" t="s">
        <v>44</v>
      </c>
      <c r="Q59" t="s">
        <v>58</v>
      </c>
      <c r="R59" t="s">
        <v>43</v>
      </c>
      <c r="S59" t="s">
        <v>69</v>
      </c>
      <c r="T59">
        <v>5</v>
      </c>
      <c r="U59">
        <v>755.82</v>
      </c>
      <c r="V59">
        <v>1960.76</v>
      </c>
      <c r="W59">
        <v>2</v>
      </c>
      <c r="X59" t="s">
        <v>45</v>
      </c>
      <c r="Y59">
        <v>2024</v>
      </c>
    </row>
    <row r="60" spans="1:25" x14ac:dyDescent="0.3">
      <c r="A60" t="s">
        <v>242</v>
      </c>
      <c r="B60" s="1">
        <v>45963</v>
      </c>
      <c r="C60" t="s">
        <v>243</v>
      </c>
      <c r="D60" t="s">
        <v>3667</v>
      </c>
      <c r="E60" s="1">
        <v>45967</v>
      </c>
      <c r="F60" t="s">
        <v>68</v>
      </c>
      <c r="G60" t="s">
        <v>66</v>
      </c>
      <c r="H60" t="s">
        <v>67</v>
      </c>
      <c r="I60" t="s">
        <v>2623</v>
      </c>
      <c r="J60" t="s">
        <v>2691</v>
      </c>
      <c r="K60" t="s">
        <v>25</v>
      </c>
      <c r="L60">
        <v>24</v>
      </c>
      <c r="M60">
        <v>5</v>
      </c>
      <c r="N60">
        <v>15</v>
      </c>
      <c r="O60" t="s">
        <v>244</v>
      </c>
      <c r="P60" t="s">
        <v>75</v>
      </c>
      <c r="Q60" t="s">
        <v>117</v>
      </c>
      <c r="R60" t="s">
        <v>32</v>
      </c>
      <c r="S60" t="s">
        <v>69</v>
      </c>
      <c r="T60">
        <v>2</v>
      </c>
      <c r="U60">
        <v>824.13</v>
      </c>
      <c r="V60">
        <v>2047.39</v>
      </c>
      <c r="W60">
        <v>4</v>
      </c>
      <c r="X60" t="s">
        <v>94</v>
      </c>
      <c r="Y60">
        <v>2025</v>
      </c>
    </row>
    <row r="61" spans="1:25" x14ac:dyDescent="0.3">
      <c r="A61" t="s">
        <v>245</v>
      </c>
      <c r="B61" s="1">
        <v>46102</v>
      </c>
      <c r="C61" t="s">
        <v>246</v>
      </c>
      <c r="D61" t="s">
        <v>3666</v>
      </c>
      <c r="E61" s="1">
        <v>46103</v>
      </c>
      <c r="F61" t="s">
        <v>115</v>
      </c>
      <c r="G61" t="s">
        <v>66</v>
      </c>
      <c r="H61" t="s">
        <v>114</v>
      </c>
      <c r="I61" t="s">
        <v>2635</v>
      </c>
      <c r="J61" t="s">
        <v>2643</v>
      </c>
      <c r="K61" t="s">
        <v>52</v>
      </c>
      <c r="L61">
        <v>42</v>
      </c>
      <c r="M61">
        <v>3</v>
      </c>
      <c r="N61">
        <v>25</v>
      </c>
      <c r="O61" t="s">
        <v>247</v>
      </c>
      <c r="P61" t="s">
        <v>44</v>
      </c>
      <c r="Q61" t="s">
        <v>58</v>
      </c>
      <c r="R61" t="s">
        <v>32</v>
      </c>
      <c r="S61" t="s">
        <v>116</v>
      </c>
      <c r="T61">
        <v>5</v>
      </c>
      <c r="U61">
        <v>640.98</v>
      </c>
      <c r="V61">
        <v>889.51</v>
      </c>
      <c r="W61">
        <v>1</v>
      </c>
      <c r="X61" t="s">
        <v>34</v>
      </c>
      <c r="Y61">
        <v>2026</v>
      </c>
    </row>
    <row r="62" spans="1:25" x14ac:dyDescent="0.3">
      <c r="A62" t="s">
        <v>248</v>
      </c>
      <c r="B62" s="1">
        <v>45893</v>
      </c>
      <c r="C62" t="s">
        <v>249</v>
      </c>
      <c r="D62" t="s">
        <v>3665</v>
      </c>
      <c r="E62" s="1">
        <v>45900</v>
      </c>
      <c r="F62" t="s">
        <v>2617</v>
      </c>
      <c r="G62" t="s">
        <v>27</v>
      </c>
      <c r="H62" t="s">
        <v>28</v>
      </c>
      <c r="I62" t="s">
        <v>2632</v>
      </c>
      <c r="J62" t="s">
        <v>2645</v>
      </c>
      <c r="K62" t="s">
        <v>25</v>
      </c>
      <c r="L62">
        <v>55</v>
      </c>
      <c r="M62">
        <v>4</v>
      </c>
      <c r="N62">
        <v>5</v>
      </c>
      <c r="O62" t="s">
        <v>250</v>
      </c>
      <c r="P62" t="s">
        <v>33</v>
      </c>
      <c r="Q62" t="s">
        <v>117</v>
      </c>
      <c r="R62" t="s">
        <v>71</v>
      </c>
      <c r="S62" t="s">
        <v>30</v>
      </c>
      <c r="T62">
        <v>1</v>
      </c>
      <c r="U62">
        <v>237.82</v>
      </c>
      <c r="V62">
        <v>458.12</v>
      </c>
      <c r="W62">
        <v>7</v>
      </c>
      <c r="X62" t="s">
        <v>45</v>
      </c>
      <c r="Y62">
        <v>2025</v>
      </c>
    </row>
    <row r="63" spans="1:25" x14ac:dyDescent="0.3">
      <c r="A63" t="s">
        <v>251</v>
      </c>
      <c r="B63" s="1">
        <v>45999</v>
      </c>
      <c r="C63" t="s">
        <v>252</v>
      </c>
      <c r="D63" t="s">
        <v>3664</v>
      </c>
      <c r="E63" s="1">
        <v>46005</v>
      </c>
      <c r="F63" t="s">
        <v>128</v>
      </c>
      <c r="G63" t="s">
        <v>98</v>
      </c>
      <c r="H63" t="s">
        <v>127</v>
      </c>
      <c r="I63" t="s">
        <v>2661</v>
      </c>
      <c r="J63" t="s">
        <v>2700</v>
      </c>
      <c r="K63" t="s">
        <v>52</v>
      </c>
      <c r="L63">
        <v>30</v>
      </c>
      <c r="M63">
        <v>5</v>
      </c>
      <c r="N63">
        <v>10</v>
      </c>
      <c r="O63" t="s">
        <v>156</v>
      </c>
      <c r="P63" t="s">
        <v>75</v>
      </c>
      <c r="Q63" t="s">
        <v>70</v>
      </c>
      <c r="R63" t="s">
        <v>62</v>
      </c>
      <c r="S63" t="s">
        <v>129</v>
      </c>
      <c r="T63">
        <v>5</v>
      </c>
      <c r="U63">
        <v>23.83</v>
      </c>
      <c r="V63">
        <v>62.71</v>
      </c>
      <c r="W63">
        <v>6</v>
      </c>
      <c r="X63" t="s">
        <v>94</v>
      </c>
      <c r="Y63">
        <v>2025</v>
      </c>
    </row>
    <row r="64" spans="1:25" x14ac:dyDescent="0.3">
      <c r="A64" t="s">
        <v>253</v>
      </c>
      <c r="B64" s="1">
        <v>46184</v>
      </c>
      <c r="C64" t="s">
        <v>254</v>
      </c>
      <c r="D64" t="s">
        <v>3663</v>
      </c>
      <c r="E64" s="1">
        <v>46187</v>
      </c>
      <c r="F64" t="s">
        <v>122</v>
      </c>
      <c r="G64" t="s">
        <v>120</v>
      </c>
      <c r="H64" t="s">
        <v>121</v>
      </c>
      <c r="I64" t="s">
        <v>2629</v>
      </c>
      <c r="J64" t="s">
        <v>2709</v>
      </c>
      <c r="K64" t="s">
        <v>25</v>
      </c>
      <c r="L64">
        <v>61</v>
      </c>
      <c r="M64">
        <v>2</v>
      </c>
      <c r="N64">
        <v>10</v>
      </c>
      <c r="O64" t="s">
        <v>255</v>
      </c>
      <c r="P64" t="s">
        <v>33</v>
      </c>
      <c r="Q64" t="s">
        <v>117</v>
      </c>
      <c r="R64" t="s">
        <v>43</v>
      </c>
      <c r="S64" t="s">
        <v>123</v>
      </c>
      <c r="T64">
        <v>3</v>
      </c>
      <c r="U64">
        <v>109.76</v>
      </c>
      <c r="V64">
        <v>162.79</v>
      </c>
      <c r="W64">
        <v>3</v>
      </c>
      <c r="X64" t="s">
        <v>49</v>
      </c>
      <c r="Y64">
        <v>2026</v>
      </c>
    </row>
    <row r="65" spans="1:25" x14ac:dyDescent="0.3">
      <c r="A65" t="s">
        <v>256</v>
      </c>
      <c r="B65" s="1">
        <v>46068</v>
      </c>
      <c r="C65" t="s">
        <v>257</v>
      </c>
      <c r="D65" t="s">
        <v>3662</v>
      </c>
      <c r="E65" s="1">
        <v>46073</v>
      </c>
      <c r="F65" t="s">
        <v>56</v>
      </c>
      <c r="G65" t="s">
        <v>54</v>
      </c>
      <c r="H65" t="s">
        <v>55</v>
      </c>
      <c r="I65" t="s">
        <v>2675</v>
      </c>
      <c r="J65" t="s">
        <v>2710</v>
      </c>
      <c r="K65" t="s">
        <v>25</v>
      </c>
      <c r="L65">
        <v>46</v>
      </c>
      <c r="M65">
        <v>5</v>
      </c>
      <c r="N65">
        <v>10</v>
      </c>
      <c r="O65" t="s">
        <v>258</v>
      </c>
      <c r="P65" t="s">
        <v>44</v>
      </c>
      <c r="Q65" t="s">
        <v>117</v>
      </c>
      <c r="R65" t="s">
        <v>43</v>
      </c>
      <c r="S65" t="s">
        <v>57</v>
      </c>
      <c r="T65">
        <v>4</v>
      </c>
      <c r="U65">
        <v>741.69</v>
      </c>
      <c r="V65">
        <v>1860.02</v>
      </c>
      <c r="W65">
        <v>5</v>
      </c>
      <c r="X65" t="s">
        <v>34</v>
      </c>
      <c r="Y65">
        <v>2026</v>
      </c>
    </row>
    <row r="66" spans="1:25" x14ac:dyDescent="0.3">
      <c r="A66" t="s">
        <v>259</v>
      </c>
      <c r="B66" s="1">
        <v>45822</v>
      </c>
      <c r="C66" t="s">
        <v>260</v>
      </c>
      <c r="D66" t="s">
        <v>3661</v>
      </c>
      <c r="E66" s="1">
        <v>45823</v>
      </c>
      <c r="F66" t="s">
        <v>56</v>
      </c>
      <c r="G66" t="s">
        <v>54</v>
      </c>
      <c r="H66" t="s">
        <v>55</v>
      </c>
      <c r="I66" t="s">
        <v>2629</v>
      </c>
      <c r="J66" t="s">
        <v>2697</v>
      </c>
      <c r="K66" t="s">
        <v>52</v>
      </c>
      <c r="L66">
        <v>42</v>
      </c>
      <c r="M66">
        <v>3</v>
      </c>
      <c r="N66">
        <v>20</v>
      </c>
      <c r="O66" t="s">
        <v>261</v>
      </c>
      <c r="P66" t="s">
        <v>44</v>
      </c>
      <c r="Q66" t="s">
        <v>31</v>
      </c>
      <c r="R66" t="s">
        <v>62</v>
      </c>
      <c r="S66" t="s">
        <v>57</v>
      </c>
      <c r="T66">
        <v>1</v>
      </c>
      <c r="U66">
        <v>64.400000000000006</v>
      </c>
      <c r="V66">
        <v>115.71</v>
      </c>
      <c r="W66">
        <v>1</v>
      </c>
      <c r="X66" t="s">
        <v>49</v>
      </c>
      <c r="Y66">
        <v>2025</v>
      </c>
    </row>
    <row r="67" spans="1:25" x14ac:dyDescent="0.3">
      <c r="A67" t="s">
        <v>262</v>
      </c>
      <c r="B67" s="1">
        <v>45723</v>
      </c>
      <c r="C67" t="s">
        <v>263</v>
      </c>
      <c r="D67" t="s">
        <v>3660</v>
      </c>
      <c r="E67" s="1">
        <v>45729</v>
      </c>
      <c r="F67" t="s">
        <v>100</v>
      </c>
      <c r="G67" t="s">
        <v>98</v>
      </c>
      <c r="H67" t="s">
        <v>99</v>
      </c>
      <c r="I67" t="s">
        <v>2668</v>
      </c>
      <c r="J67" t="s">
        <v>2708</v>
      </c>
      <c r="K67" t="s">
        <v>25</v>
      </c>
      <c r="L67">
        <v>51</v>
      </c>
      <c r="M67">
        <v>4</v>
      </c>
      <c r="N67">
        <v>5</v>
      </c>
      <c r="O67" t="s">
        <v>264</v>
      </c>
      <c r="P67" t="s">
        <v>33</v>
      </c>
      <c r="Q67" t="s">
        <v>42</v>
      </c>
      <c r="R67" t="s">
        <v>71</v>
      </c>
      <c r="S67" t="s">
        <v>101</v>
      </c>
      <c r="T67">
        <v>5</v>
      </c>
      <c r="U67">
        <v>889.73</v>
      </c>
      <c r="V67">
        <v>2824.63</v>
      </c>
      <c r="W67">
        <v>6</v>
      </c>
      <c r="X67" t="s">
        <v>34</v>
      </c>
      <c r="Y67">
        <v>2025</v>
      </c>
    </row>
    <row r="68" spans="1:25" x14ac:dyDescent="0.3">
      <c r="A68" t="s">
        <v>265</v>
      </c>
      <c r="B68" s="1">
        <v>45504</v>
      </c>
      <c r="C68" t="s">
        <v>266</v>
      </c>
      <c r="D68" t="s">
        <v>3659</v>
      </c>
      <c r="E68" s="1">
        <v>45509</v>
      </c>
      <c r="F68" t="s">
        <v>100</v>
      </c>
      <c r="G68" t="s">
        <v>98</v>
      </c>
      <c r="H68" t="s">
        <v>99</v>
      </c>
      <c r="I68" t="s">
        <v>2623</v>
      </c>
      <c r="J68" t="s">
        <v>2701</v>
      </c>
      <c r="K68" t="s">
        <v>52</v>
      </c>
      <c r="L68">
        <v>59</v>
      </c>
      <c r="M68">
        <v>1</v>
      </c>
      <c r="N68">
        <v>20</v>
      </c>
      <c r="O68" t="s">
        <v>267</v>
      </c>
      <c r="P68" t="s">
        <v>33</v>
      </c>
      <c r="Q68" t="s">
        <v>58</v>
      </c>
      <c r="R68" t="s">
        <v>43</v>
      </c>
      <c r="S68" t="s">
        <v>101</v>
      </c>
      <c r="T68">
        <v>5</v>
      </c>
      <c r="U68">
        <v>304.26</v>
      </c>
      <c r="V68">
        <v>133.43</v>
      </c>
      <c r="W68">
        <v>5</v>
      </c>
      <c r="X68" t="s">
        <v>45</v>
      </c>
      <c r="Y68">
        <v>2024</v>
      </c>
    </row>
    <row r="69" spans="1:25" x14ac:dyDescent="0.3">
      <c r="A69" t="s">
        <v>268</v>
      </c>
      <c r="B69" s="1">
        <v>45539</v>
      </c>
      <c r="C69" t="s">
        <v>269</v>
      </c>
      <c r="D69" t="s">
        <v>3658</v>
      </c>
      <c r="E69" s="1">
        <v>45540</v>
      </c>
      <c r="F69" t="s">
        <v>2617</v>
      </c>
      <c r="G69" t="s">
        <v>27</v>
      </c>
      <c r="H69" t="s">
        <v>28</v>
      </c>
      <c r="I69" t="s">
        <v>2679</v>
      </c>
      <c r="J69" t="s">
        <v>2680</v>
      </c>
      <c r="K69" t="s">
        <v>52</v>
      </c>
      <c r="L69">
        <v>48</v>
      </c>
      <c r="M69">
        <v>4</v>
      </c>
      <c r="N69">
        <v>30</v>
      </c>
      <c r="O69" t="s">
        <v>270</v>
      </c>
      <c r="P69" t="s">
        <v>44</v>
      </c>
      <c r="Q69" t="s">
        <v>58</v>
      </c>
      <c r="R69" t="s">
        <v>71</v>
      </c>
      <c r="S69" t="s">
        <v>30</v>
      </c>
      <c r="T69">
        <v>3</v>
      </c>
      <c r="U69">
        <v>181.8</v>
      </c>
      <c r="V69">
        <v>280.31</v>
      </c>
      <c r="W69">
        <v>1</v>
      </c>
      <c r="X69" t="s">
        <v>45</v>
      </c>
      <c r="Y69">
        <v>2024</v>
      </c>
    </row>
    <row r="70" spans="1:25" x14ac:dyDescent="0.3">
      <c r="A70" t="s">
        <v>271</v>
      </c>
      <c r="B70" s="1">
        <v>46173</v>
      </c>
      <c r="C70" t="s">
        <v>272</v>
      </c>
      <c r="D70" t="s">
        <v>3657</v>
      </c>
      <c r="E70" s="1">
        <v>46174</v>
      </c>
      <c r="F70" t="s">
        <v>68</v>
      </c>
      <c r="G70" t="s">
        <v>66</v>
      </c>
      <c r="H70" t="s">
        <v>67</v>
      </c>
      <c r="I70" t="s">
        <v>2679</v>
      </c>
      <c r="J70" t="s">
        <v>2680</v>
      </c>
      <c r="K70" t="s">
        <v>52</v>
      </c>
      <c r="L70">
        <v>29</v>
      </c>
      <c r="M70">
        <v>2</v>
      </c>
      <c r="N70">
        <v>5</v>
      </c>
      <c r="O70" t="s">
        <v>273</v>
      </c>
      <c r="P70" t="s">
        <v>33</v>
      </c>
      <c r="Q70" t="s">
        <v>42</v>
      </c>
      <c r="R70" t="s">
        <v>32</v>
      </c>
      <c r="S70" t="s">
        <v>69</v>
      </c>
      <c r="T70">
        <v>1</v>
      </c>
      <c r="U70">
        <v>755.06</v>
      </c>
      <c r="V70">
        <v>935.11</v>
      </c>
      <c r="W70">
        <v>1</v>
      </c>
      <c r="X70" t="s">
        <v>49</v>
      </c>
      <c r="Y70">
        <v>2026</v>
      </c>
    </row>
    <row r="71" spans="1:25" x14ac:dyDescent="0.3">
      <c r="A71" t="s">
        <v>274</v>
      </c>
      <c r="B71" s="1">
        <v>45668</v>
      </c>
      <c r="C71" t="s">
        <v>275</v>
      </c>
      <c r="D71" t="s">
        <v>3656</v>
      </c>
      <c r="E71" s="1">
        <v>45670</v>
      </c>
      <c r="F71" t="s">
        <v>100</v>
      </c>
      <c r="G71" t="s">
        <v>98</v>
      </c>
      <c r="H71" t="s">
        <v>99</v>
      </c>
      <c r="I71" t="s">
        <v>2625</v>
      </c>
      <c r="J71" t="s">
        <v>2667</v>
      </c>
      <c r="K71" t="s">
        <v>25</v>
      </c>
      <c r="L71">
        <v>27</v>
      </c>
      <c r="M71">
        <v>2</v>
      </c>
      <c r="N71">
        <v>25</v>
      </c>
      <c r="O71" t="s">
        <v>276</v>
      </c>
      <c r="P71" t="s">
        <v>44</v>
      </c>
      <c r="Q71" t="s">
        <v>117</v>
      </c>
      <c r="R71" t="s">
        <v>43</v>
      </c>
      <c r="S71" t="s">
        <v>101</v>
      </c>
      <c r="T71">
        <v>3</v>
      </c>
      <c r="U71">
        <v>523.73</v>
      </c>
      <c r="V71">
        <v>406.74</v>
      </c>
      <c r="W71">
        <v>2</v>
      </c>
      <c r="X71" t="s">
        <v>34</v>
      </c>
      <c r="Y71">
        <v>2025</v>
      </c>
    </row>
    <row r="72" spans="1:25" x14ac:dyDescent="0.3">
      <c r="A72" t="s">
        <v>277</v>
      </c>
      <c r="B72" s="1">
        <v>45470</v>
      </c>
      <c r="C72" t="s">
        <v>278</v>
      </c>
      <c r="D72" t="s">
        <v>3655</v>
      </c>
      <c r="E72" s="1">
        <v>45477</v>
      </c>
      <c r="F72" t="s">
        <v>2617</v>
      </c>
      <c r="G72" t="s">
        <v>27</v>
      </c>
      <c r="H72" t="s">
        <v>28</v>
      </c>
      <c r="I72" t="s">
        <v>2668</v>
      </c>
      <c r="J72" t="s">
        <v>2682</v>
      </c>
      <c r="K72" t="s">
        <v>25</v>
      </c>
      <c r="L72">
        <v>47</v>
      </c>
      <c r="M72">
        <v>5</v>
      </c>
      <c r="N72">
        <v>25</v>
      </c>
      <c r="O72" t="s">
        <v>279</v>
      </c>
      <c r="P72" t="s">
        <v>44</v>
      </c>
      <c r="Q72" t="s">
        <v>70</v>
      </c>
      <c r="R72" t="s">
        <v>43</v>
      </c>
      <c r="S72" t="s">
        <v>30</v>
      </c>
      <c r="T72">
        <v>5</v>
      </c>
      <c r="U72">
        <v>574.62</v>
      </c>
      <c r="V72">
        <v>1410.73</v>
      </c>
      <c r="W72">
        <v>7</v>
      </c>
      <c r="X72" t="s">
        <v>49</v>
      </c>
      <c r="Y72">
        <v>2024</v>
      </c>
    </row>
    <row r="73" spans="1:25" x14ac:dyDescent="0.3">
      <c r="A73" t="s">
        <v>280</v>
      </c>
      <c r="B73" s="1">
        <v>46061</v>
      </c>
      <c r="C73" t="s">
        <v>281</v>
      </c>
      <c r="D73" t="s">
        <v>3654</v>
      </c>
      <c r="E73" s="1">
        <v>46067</v>
      </c>
      <c r="F73" t="s">
        <v>56</v>
      </c>
      <c r="G73" t="s">
        <v>54</v>
      </c>
      <c r="H73" t="s">
        <v>55</v>
      </c>
      <c r="I73" t="s">
        <v>2629</v>
      </c>
      <c r="J73" t="s">
        <v>2697</v>
      </c>
      <c r="K73" t="s">
        <v>52</v>
      </c>
      <c r="L73">
        <v>24</v>
      </c>
      <c r="M73">
        <v>3</v>
      </c>
      <c r="N73">
        <v>30</v>
      </c>
      <c r="O73" t="s">
        <v>282</v>
      </c>
      <c r="P73" t="s">
        <v>75</v>
      </c>
      <c r="Q73" t="s">
        <v>70</v>
      </c>
      <c r="R73" t="s">
        <v>62</v>
      </c>
      <c r="S73" t="s">
        <v>57</v>
      </c>
      <c r="T73">
        <v>3</v>
      </c>
      <c r="U73">
        <v>902.38</v>
      </c>
      <c r="V73">
        <v>1432.65</v>
      </c>
      <c r="W73">
        <v>6</v>
      </c>
      <c r="X73" t="s">
        <v>34</v>
      </c>
      <c r="Y73">
        <v>2026</v>
      </c>
    </row>
    <row r="74" spans="1:25" x14ac:dyDescent="0.3">
      <c r="A74" t="s">
        <v>283</v>
      </c>
      <c r="B74" s="1">
        <v>45702</v>
      </c>
      <c r="C74" t="s">
        <v>284</v>
      </c>
      <c r="D74" t="s">
        <v>3653</v>
      </c>
      <c r="E74" s="1">
        <v>45703</v>
      </c>
      <c r="F74" t="s">
        <v>100</v>
      </c>
      <c r="G74" t="s">
        <v>98</v>
      </c>
      <c r="H74" t="s">
        <v>99</v>
      </c>
      <c r="I74" t="s">
        <v>2652</v>
      </c>
      <c r="J74" t="s">
        <v>2653</v>
      </c>
      <c r="K74" t="s">
        <v>25</v>
      </c>
      <c r="L74">
        <v>25</v>
      </c>
      <c r="M74">
        <v>2</v>
      </c>
      <c r="N74">
        <v>0</v>
      </c>
      <c r="O74" t="s">
        <v>285</v>
      </c>
      <c r="P74" t="s">
        <v>75</v>
      </c>
      <c r="Q74" t="s">
        <v>117</v>
      </c>
      <c r="R74" t="s">
        <v>32</v>
      </c>
      <c r="S74" t="s">
        <v>101</v>
      </c>
      <c r="T74">
        <v>4</v>
      </c>
      <c r="U74">
        <v>732.79</v>
      </c>
      <c r="V74">
        <v>1108.8499999999999</v>
      </c>
      <c r="W74">
        <v>1</v>
      </c>
      <c r="X74" t="s">
        <v>34</v>
      </c>
      <c r="Y74">
        <v>2025</v>
      </c>
    </row>
    <row r="75" spans="1:25" x14ac:dyDescent="0.3">
      <c r="A75" t="s">
        <v>286</v>
      </c>
      <c r="B75" s="1">
        <v>45921</v>
      </c>
      <c r="C75" t="s">
        <v>287</v>
      </c>
      <c r="D75" t="s">
        <v>3652</v>
      </c>
      <c r="E75" s="1">
        <v>45923</v>
      </c>
      <c r="F75" t="s">
        <v>122</v>
      </c>
      <c r="G75" t="s">
        <v>120</v>
      </c>
      <c r="H75" t="s">
        <v>121</v>
      </c>
      <c r="I75" t="s">
        <v>2635</v>
      </c>
      <c r="J75" t="s">
        <v>2677</v>
      </c>
      <c r="K75" t="s">
        <v>25</v>
      </c>
      <c r="L75">
        <v>26</v>
      </c>
      <c r="M75">
        <v>2</v>
      </c>
      <c r="N75">
        <v>30</v>
      </c>
      <c r="O75" t="s">
        <v>288</v>
      </c>
      <c r="P75" t="s">
        <v>44</v>
      </c>
      <c r="Q75" t="s">
        <v>31</v>
      </c>
      <c r="R75" t="s">
        <v>32</v>
      </c>
      <c r="S75" t="s">
        <v>123</v>
      </c>
      <c r="T75">
        <v>5</v>
      </c>
      <c r="U75">
        <v>63.95</v>
      </c>
      <c r="V75">
        <v>72.09</v>
      </c>
      <c r="W75">
        <v>2</v>
      </c>
      <c r="X75" t="s">
        <v>45</v>
      </c>
      <c r="Y75">
        <v>2025</v>
      </c>
    </row>
    <row r="76" spans="1:25" x14ac:dyDescent="0.3">
      <c r="A76" t="s">
        <v>289</v>
      </c>
      <c r="B76" s="1">
        <v>45754</v>
      </c>
      <c r="C76" t="s">
        <v>290</v>
      </c>
      <c r="D76" t="s">
        <v>3651</v>
      </c>
      <c r="E76" s="1">
        <v>45757</v>
      </c>
      <c r="F76" t="s">
        <v>140</v>
      </c>
      <c r="G76" t="s">
        <v>38</v>
      </c>
      <c r="H76" t="s">
        <v>139</v>
      </c>
      <c r="I76" t="s">
        <v>2631</v>
      </c>
      <c r="J76" t="s">
        <v>2711</v>
      </c>
      <c r="K76" t="s">
        <v>25</v>
      </c>
      <c r="L76">
        <v>45</v>
      </c>
      <c r="M76">
        <v>3</v>
      </c>
      <c r="N76">
        <v>20</v>
      </c>
      <c r="O76" t="s">
        <v>291</v>
      </c>
      <c r="P76" t="s">
        <v>44</v>
      </c>
      <c r="Q76" t="s">
        <v>117</v>
      </c>
      <c r="R76" t="s">
        <v>32</v>
      </c>
      <c r="S76" t="s">
        <v>141</v>
      </c>
      <c r="T76">
        <v>5</v>
      </c>
      <c r="U76">
        <v>871.25</v>
      </c>
      <c r="V76">
        <v>1123.8499999999999</v>
      </c>
      <c r="W76">
        <v>3</v>
      </c>
      <c r="X76" t="s">
        <v>49</v>
      </c>
      <c r="Y76">
        <v>2025</v>
      </c>
    </row>
    <row r="77" spans="1:25" x14ac:dyDescent="0.3">
      <c r="A77" t="s">
        <v>292</v>
      </c>
      <c r="B77" s="1">
        <v>45839</v>
      </c>
      <c r="C77" t="s">
        <v>112</v>
      </c>
      <c r="D77" t="s">
        <v>3650</v>
      </c>
      <c r="E77" s="1">
        <v>45840</v>
      </c>
      <c r="F77" t="s">
        <v>68</v>
      </c>
      <c r="G77" t="s">
        <v>66</v>
      </c>
      <c r="H77" t="s">
        <v>67</v>
      </c>
      <c r="I77" t="s">
        <v>2625</v>
      </c>
      <c r="J77" t="s">
        <v>2667</v>
      </c>
      <c r="K77" t="s">
        <v>52</v>
      </c>
      <c r="L77">
        <v>22</v>
      </c>
      <c r="M77">
        <v>3</v>
      </c>
      <c r="N77">
        <v>30</v>
      </c>
      <c r="O77" t="s">
        <v>293</v>
      </c>
      <c r="P77" t="s">
        <v>33</v>
      </c>
      <c r="Q77" t="s">
        <v>117</v>
      </c>
      <c r="R77" t="s">
        <v>32</v>
      </c>
      <c r="S77" t="s">
        <v>69</v>
      </c>
      <c r="T77">
        <v>3</v>
      </c>
      <c r="U77">
        <v>507.82</v>
      </c>
      <c r="V77">
        <v>624.64</v>
      </c>
      <c r="W77">
        <v>1</v>
      </c>
      <c r="X77" t="s">
        <v>45</v>
      </c>
      <c r="Y77">
        <v>2025</v>
      </c>
    </row>
    <row r="78" spans="1:25" x14ac:dyDescent="0.3">
      <c r="A78" t="s">
        <v>294</v>
      </c>
      <c r="B78" s="1">
        <v>45815</v>
      </c>
      <c r="C78" t="s">
        <v>295</v>
      </c>
      <c r="D78" t="s">
        <v>3649</v>
      </c>
      <c r="E78" s="1">
        <v>45816</v>
      </c>
      <c r="F78" t="s">
        <v>128</v>
      </c>
      <c r="G78" t="s">
        <v>98</v>
      </c>
      <c r="H78" t="s">
        <v>127</v>
      </c>
      <c r="I78" t="s">
        <v>2625</v>
      </c>
      <c r="J78" t="s">
        <v>2667</v>
      </c>
      <c r="K78" t="s">
        <v>25</v>
      </c>
      <c r="L78">
        <v>45</v>
      </c>
      <c r="M78">
        <v>3</v>
      </c>
      <c r="N78">
        <v>0</v>
      </c>
      <c r="O78" t="s">
        <v>296</v>
      </c>
      <c r="P78" t="s">
        <v>44</v>
      </c>
      <c r="Q78" t="s">
        <v>31</v>
      </c>
      <c r="R78" t="s">
        <v>32</v>
      </c>
      <c r="S78" t="s">
        <v>129</v>
      </c>
      <c r="T78">
        <v>1</v>
      </c>
      <c r="U78">
        <v>322.85000000000002</v>
      </c>
      <c r="V78">
        <v>614</v>
      </c>
      <c r="W78">
        <v>1</v>
      </c>
      <c r="X78" t="s">
        <v>49</v>
      </c>
      <c r="Y78">
        <v>2025</v>
      </c>
    </row>
    <row r="79" spans="1:25" x14ac:dyDescent="0.3">
      <c r="A79" t="s">
        <v>297</v>
      </c>
      <c r="B79" s="1">
        <v>45772</v>
      </c>
      <c r="C79" t="s">
        <v>298</v>
      </c>
      <c r="D79" t="s">
        <v>3648</v>
      </c>
      <c r="E79" s="1">
        <v>45773</v>
      </c>
      <c r="F79" t="s">
        <v>140</v>
      </c>
      <c r="G79" t="s">
        <v>38</v>
      </c>
      <c r="H79" t="s">
        <v>139</v>
      </c>
      <c r="I79" t="s">
        <v>2625</v>
      </c>
      <c r="J79" t="s">
        <v>2651</v>
      </c>
      <c r="K79" t="s">
        <v>25</v>
      </c>
      <c r="L79">
        <v>45</v>
      </c>
      <c r="M79">
        <v>3</v>
      </c>
      <c r="N79">
        <v>10</v>
      </c>
      <c r="O79" t="s">
        <v>299</v>
      </c>
      <c r="P79" t="s">
        <v>75</v>
      </c>
      <c r="Q79" t="s">
        <v>58</v>
      </c>
      <c r="R79" t="s">
        <v>62</v>
      </c>
      <c r="S79" t="s">
        <v>141</v>
      </c>
      <c r="T79">
        <v>4</v>
      </c>
      <c r="U79">
        <v>76.64</v>
      </c>
      <c r="V79">
        <v>146.13999999999999</v>
      </c>
      <c r="W79">
        <v>1</v>
      </c>
      <c r="X79" t="s">
        <v>49</v>
      </c>
      <c r="Y79">
        <v>2025</v>
      </c>
    </row>
    <row r="80" spans="1:25" x14ac:dyDescent="0.3">
      <c r="A80" t="s">
        <v>300</v>
      </c>
      <c r="B80" s="1">
        <v>45380</v>
      </c>
      <c r="C80" t="s">
        <v>301</v>
      </c>
      <c r="D80" t="s">
        <v>3647</v>
      </c>
      <c r="E80" s="1">
        <v>45386</v>
      </c>
      <c r="F80" t="s">
        <v>100</v>
      </c>
      <c r="G80" t="s">
        <v>98</v>
      </c>
      <c r="H80" t="s">
        <v>99</v>
      </c>
      <c r="I80" t="s">
        <v>2639</v>
      </c>
      <c r="J80" t="s">
        <v>2640</v>
      </c>
      <c r="K80" t="s">
        <v>52</v>
      </c>
      <c r="L80">
        <v>56</v>
      </c>
      <c r="M80">
        <v>4</v>
      </c>
      <c r="N80">
        <v>30</v>
      </c>
      <c r="O80" t="s">
        <v>302</v>
      </c>
      <c r="P80" t="s">
        <v>33</v>
      </c>
      <c r="Q80" t="s">
        <v>58</v>
      </c>
      <c r="R80" t="s">
        <v>62</v>
      </c>
      <c r="S80" t="s">
        <v>101</v>
      </c>
      <c r="T80">
        <v>5</v>
      </c>
      <c r="U80">
        <v>525.62</v>
      </c>
      <c r="V80">
        <v>1075.27</v>
      </c>
      <c r="W80">
        <v>6</v>
      </c>
      <c r="X80" t="s">
        <v>34</v>
      </c>
      <c r="Y80">
        <v>2024</v>
      </c>
    </row>
    <row r="81" spans="1:25" x14ac:dyDescent="0.3">
      <c r="A81" t="s">
        <v>303</v>
      </c>
      <c r="B81" s="1">
        <v>46011</v>
      </c>
      <c r="C81" t="s">
        <v>304</v>
      </c>
      <c r="D81" t="s">
        <v>3646</v>
      </c>
      <c r="E81" s="1">
        <v>46013</v>
      </c>
      <c r="F81" t="s">
        <v>68</v>
      </c>
      <c r="G81" t="s">
        <v>66</v>
      </c>
      <c r="H81" t="s">
        <v>67</v>
      </c>
      <c r="I81" t="s">
        <v>2622</v>
      </c>
      <c r="J81" t="s">
        <v>2705</v>
      </c>
      <c r="K81" t="s">
        <v>52</v>
      </c>
      <c r="L81">
        <v>60</v>
      </c>
      <c r="M81">
        <v>3</v>
      </c>
      <c r="N81">
        <v>5</v>
      </c>
      <c r="O81" t="s">
        <v>305</v>
      </c>
      <c r="P81" t="s">
        <v>33</v>
      </c>
      <c r="Q81" t="s">
        <v>117</v>
      </c>
      <c r="R81" t="s">
        <v>43</v>
      </c>
      <c r="S81" t="s">
        <v>69</v>
      </c>
      <c r="T81">
        <v>4</v>
      </c>
      <c r="U81">
        <v>252.58</v>
      </c>
      <c r="V81">
        <v>451.58</v>
      </c>
      <c r="W81">
        <v>2</v>
      </c>
      <c r="X81" t="s">
        <v>94</v>
      </c>
      <c r="Y81">
        <v>2025</v>
      </c>
    </row>
    <row r="82" spans="1:25" x14ac:dyDescent="0.3">
      <c r="A82" t="s">
        <v>306</v>
      </c>
      <c r="B82" s="1">
        <v>45833</v>
      </c>
      <c r="C82" t="s">
        <v>307</v>
      </c>
      <c r="D82" t="s">
        <v>3645</v>
      </c>
      <c r="E82" s="1">
        <v>45836</v>
      </c>
      <c r="F82" t="s">
        <v>2617</v>
      </c>
      <c r="G82" t="s">
        <v>27</v>
      </c>
      <c r="H82" t="s">
        <v>28</v>
      </c>
      <c r="I82" t="s">
        <v>2654</v>
      </c>
      <c r="J82" t="s">
        <v>2684</v>
      </c>
      <c r="K82" t="s">
        <v>25</v>
      </c>
      <c r="L82">
        <v>41</v>
      </c>
      <c r="M82">
        <v>5</v>
      </c>
      <c r="N82">
        <v>10</v>
      </c>
      <c r="O82" t="s">
        <v>308</v>
      </c>
      <c r="P82" t="s">
        <v>44</v>
      </c>
      <c r="Q82" t="s">
        <v>58</v>
      </c>
      <c r="R82" t="s">
        <v>71</v>
      </c>
      <c r="S82" t="s">
        <v>30</v>
      </c>
      <c r="T82">
        <v>4</v>
      </c>
      <c r="U82">
        <v>573.69000000000005</v>
      </c>
      <c r="V82">
        <v>2037.46</v>
      </c>
      <c r="W82">
        <v>3</v>
      </c>
      <c r="X82" t="s">
        <v>49</v>
      </c>
      <c r="Y82">
        <v>2025</v>
      </c>
    </row>
    <row r="83" spans="1:25" x14ac:dyDescent="0.3">
      <c r="A83" t="s">
        <v>309</v>
      </c>
      <c r="B83" s="1">
        <v>46093</v>
      </c>
      <c r="C83" t="s">
        <v>310</v>
      </c>
      <c r="D83" t="s">
        <v>3644</v>
      </c>
      <c r="E83" s="1">
        <v>46094</v>
      </c>
      <c r="F83" t="s">
        <v>100</v>
      </c>
      <c r="G83" t="s">
        <v>98</v>
      </c>
      <c r="H83" t="s">
        <v>99</v>
      </c>
      <c r="I83" t="s">
        <v>2654</v>
      </c>
      <c r="J83" t="s">
        <v>2655</v>
      </c>
      <c r="K83" t="s">
        <v>52</v>
      </c>
      <c r="L83">
        <v>37</v>
      </c>
      <c r="M83">
        <v>3</v>
      </c>
      <c r="N83">
        <v>10</v>
      </c>
      <c r="O83" t="s">
        <v>311</v>
      </c>
      <c r="P83" t="s">
        <v>75</v>
      </c>
      <c r="Q83" t="s">
        <v>117</v>
      </c>
      <c r="R83" t="s">
        <v>43</v>
      </c>
      <c r="S83" t="s">
        <v>101</v>
      </c>
      <c r="T83">
        <v>5</v>
      </c>
      <c r="U83">
        <v>844.48</v>
      </c>
      <c r="V83">
        <v>1631.23</v>
      </c>
      <c r="W83">
        <v>1</v>
      </c>
      <c r="X83" t="s">
        <v>34</v>
      </c>
      <c r="Y83">
        <v>2026</v>
      </c>
    </row>
    <row r="84" spans="1:25" x14ac:dyDescent="0.3">
      <c r="A84" t="s">
        <v>312</v>
      </c>
      <c r="B84" s="1">
        <v>46094</v>
      </c>
      <c r="C84" t="s">
        <v>313</v>
      </c>
      <c r="D84" t="s">
        <v>3643</v>
      </c>
      <c r="E84" s="1">
        <v>46098</v>
      </c>
      <c r="F84" t="s">
        <v>56</v>
      </c>
      <c r="G84" t="s">
        <v>54</v>
      </c>
      <c r="H84" t="s">
        <v>55</v>
      </c>
      <c r="I84" t="s">
        <v>2656</v>
      </c>
      <c r="J84" t="s">
        <v>2712</v>
      </c>
      <c r="K84" t="s">
        <v>25</v>
      </c>
      <c r="L84">
        <v>59</v>
      </c>
      <c r="M84">
        <v>1</v>
      </c>
      <c r="N84">
        <v>15</v>
      </c>
      <c r="O84" t="s">
        <v>37</v>
      </c>
      <c r="P84" t="s">
        <v>44</v>
      </c>
      <c r="Q84" t="s">
        <v>117</v>
      </c>
      <c r="R84" t="s">
        <v>43</v>
      </c>
      <c r="S84" t="s">
        <v>57</v>
      </c>
      <c r="T84">
        <v>2</v>
      </c>
      <c r="U84">
        <v>175.24</v>
      </c>
      <c r="V84">
        <v>113.39</v>
      </c>
      <c r="W84">
        <v>4</v>
      </c>
      <c r="X84" t="s">
        <v>34</v>
      </c>
      <c r="Y84">
        <v>2026</v>
      </c>
    </row>
    <row r="85" spans="1:25" x14ac:dyDescent="0.3">
      <c r="A85" t="s">
        <v>314</v>
      </c>
      <c r="B85" s="1">
        <v>45909</v>
      </c>
      <c r="C85" t="s">
        <v>315</v>
      </c>
      <c r="D85" t="s">
        <v>3642</v>
      </c>
      <c r="E85" s="1">
        <v>45916</v>
      </c>
      <c r="F85" t="s">
        <v>122</v>
      </c>
      <c r="G85" t="s">
        <v>120</v>
      </c>
      <c r="H85" t="s">
        <v>121</v>
      </c>
      <c r="I85" t="s">
        <v>2629</v>
      </c>
      <c r="J85" t="s">
        <v>2630</v>
      </c>
      <c r="K85" t="s">
        <v>52</v>
      </c>
      <c r="L85">
        <v>39</v>
      </c>
      <c r="M85">
        <v>2</v>
      </c>
      <c r="N85">
        <v>30</v>
      </c>
      <c r="O85" t="s">
        <v>316</v>
      </c>
      <c r="P85" t="s">
        <v>75</v>
      </c>
      <c r="Q85" t="s">
        <v>117</v>
      </c>
      <c r="R85" t="s">
        <v>43</v>
      </c>
      <c r="S85" t="s">
        <v>123</v>
      </c>
      <c r="T85">
        <v>1</v>
      </c>
      <c r="U85">
        <v>837.42</v>
      </c>
      <c r="V85">
        <v>936.12</v>
      </c>
      <c r="W85">
        <v>7</v>
      </c>
      <c r="X85" t="s">
        <v>45</v>
      </c>
      <c r="Y85">
        <v>2025</v>
      </c>
    </row>
    <row r="86" spans="1:25" x14ac:dyDescent="0.3">
      <c r="A86" t="s">
        <v>317</v>
      </c>
      <c r="B86" s="1">
        <v>45666</v>
      </c>
      <c r="C86" t="s">
        <v>318</v>
      </c>
      <c r="D86" t="s">
        <v>3641</v>
      </c>
      <c r="E86" s="1">
        <v>45669</v>
      </c>
      <c r="F86" t="s">
        <v>56</v>
      </c>
      <c r="G86" t="s">
        <v>54</v>
      </c>
      <c r="H86" t="s">
        <v>55</v>
      </c>
      <c r="I86" t="s">
        <v>2656</v>
      </c>
      <c r="J86" t="s">
        <v>2683</v>
      </c>
      <c r="K86" t="s">
        <v>25</v>
      </c>
      <c r="L86">
        <v>30</v>
      </c>
      <c r="M86">
        <v>3</v>
      </c>
      <c r="N86">
        <v>30</v>
      </c>
      <c r="O86" t="s">
        <v>319</v>
      </c>
      <c r="P86" t="s">
        <v>33</v>
      </c>
      <c r="Q86" t="s">
        <v>31</v>
      </c>
      <c r="R86" t="s">
        <v>62</v>
      </c>
      <c r="S86" t="s">
        <v>57</v>
      </c>
      <c r="T86">
        <v>4</v>
      </c>
      <c r="U86">
        <v>377.81</v>
      </c>
      <c r="V86">
        <v>417.21</v>
      </c>
      <c r="W86">
        <v>3</v>
      </c>
      <c r="X86" t="s">
        <v>34</v>
      </c>
      <c r="Y86">
        <v>2025</v>
      </c>
    </row>
    <row r="87" spans="1:25" x14ac:dyDescent="0.3">
      <c r="A87" t="s">
        <v>320</v>
      </c>
      <c r="B87" s="1">
        <v>45352</v>
      </c>
      <c r="C87" t="s">
        <v>321</v>
      </c>
      <c r="D87" t="s">
        <v>3640</v>
      </c>
      <c r="E87" s="1">
        <v>45358</v>
      </c>
      <c r="F87" t="s">
        <v>115</v>
      </c>
      <c r="G87" t="s">
        <v>66</v>
      </c>
      <c r="H87" t="s">
        <v>114</v>
      </c>
      <c r="I87" t="s">
        <v>2639</v>
      </c>
      <c r="J87" t="s">
        <v>2640</v>
      </c>
      <c r="K87" t="s">
        <v>25</v>
      </c>
      <c r="L87">
        <v>51</v>
      </c>
      <c r="M87">
        <v>1</v>
      </c>
      <c r="N87">
        <v>30</v>
      </c>
      <c r="O87" t="s">
        <v>322</v>
      </c>
      <c r="P87" t="s">
        <v>44</v>
      </c>
      <c r="Q87" t="s">
        <v>58</v>
      </c>
      <c r="R87" t="s">
        <v>43</v>
      </c>
      <c r="S87" t="s">
        <v>116</v>
      </c>
      <c r="T87">
        <v>3</v>
      </c>
      <c r="U87">
        <v>502.91</v>
      </c>
      <c r="V87">
        <v>194.45</v>
      </c>
      <c r="W87">
        <v>6</v>
      </c>
      <c r="X87" t="s">
        <v>34</v>
      </c>
      <c r="Y87">
        <v>2024</v>
      </c>
    </row>
    <row r="88" spans="1:25" x14ac:dyDescent="0.3">
      <c r="A88" t="s">
        <v>323</v>
      </c>
      <c r="B88" s="1">
        <v>46163</v>
      </c>
      <c r="C88" t="s">
        <v>324</v>
      </c>
      <c r="D88" t="s">
        <v>3639</v>
      </c>
      <c r="E88" s="1">
        <v>46166</v>
      </c>
      <c r="F88" t="s">
        <v>56</v>
      </c>
      <c r="G88" t="s">
        <v>54</v>
      </c>
      <c r="H88" t="s">
        <v>55</v>
      </c>
      <c r="I88" t="s">
        <v>2654</v>
      </c>
      <c r="J88" t="s">
        <v>2684</v>
      </c>
      <c r="K88" t="s">
        <v>52</v>
      </c>
      <c r="L88">
        <v>36</v>
      </c>
      <c r="M88">
        <v>4</v>
      </c>
      <c r="N88">
        <v>20</v>
      </c>
      <c r="O88" t="s">
        <v>113</v>
      </c>
      <c r="P88" t="s">
        <v>33</v>
      </c>
      <c r="Q88" t="s">
        <v>31</v>
      </c>
      <c r="R88" t="s">
        <v>32</v>
      </c>
      <c r="S88" t="s">
        <v>57</v>
      </c>
      <c r="T88">
        <v>2</v>
      </c>
      <c r="U88">
        <v>95.99</v>
      </c>
      <c r="V88">
        <v>245.58</v>
      </c>
      <c r="W88">
        <v>3</v>
      </c>
      <c r="X88" t="s">
        <v>49</v>
      </c>
      <c r="Y88">
        <v>2026</v>
      </c>
    </row>
    <row r="89" spans="1:25" x14ac:dyDescent="0.3">
      <c r="A89" t="s">
        <v>325</v>
      </c>
      <c r="B89" s="1">
        <v>45639</v>
      </c>
      <c r="C89" t="s">
        <v>326</v>
      </c>
      <c r="D89" t="s">
        <v>3638</v>
      </c>
      <c r="E89" s="1">
        <v>45645</v>
      </c>
      <c r="F89" t="s">
        <v>2617</v>
      </c>
      <c r="G89" t="s">
        <v>27</v>
      </c>
      <c r="H89" t="s">
        <v>28</v>
      </c>
      <c r="I89" t="s">
        <v>2668</v>
      </c>
      <c r="J89" t="s">
        <v>2669</v>
      </c>
      <c r="K89" t="s">
        <v>25</v>
      </c>
      <c r="L89">
        <v>27</v>
      </c>
      <c r="M89">
        <v>1</v>
      </c>
      <c r="N89">
        <v>25</v>
      </c>
      <c r="O89" t="s">
        <v>327</v>
      </c>
      <c r="P89" t="s">
        <v>75</v>
      </c>
      <c r="Q89" t="s">
        <v>31</v>
      </c>
      <c r="R89" t="s">
        <v>32</v>
      </c>
      <c r="S89" t="s">
        <v>30</v>
      </c>
      <c r="T89">
        <v>4</v>
      </c>
      <c r="U89">
        <v>421.2</v>
      </c>
      <c r="V89">
        <v>260.58</v>
      </c>
      <c r="W89">
        <v>6</v>
      </c>
      <c r="X89" t="s">
        <v>94</v>
      </c>
      <c r="Y89">
        <v>2024</v>
      </c>
    </row>
    <row r="90" spans="1:25" x14ac:dyDescent="0.3">
      <c r="A90" t="s">
        <v>328</v>
      </c>
      <c r="B90" s="1">
        <v>46004</v>
      </c>
      <c r="C90" t="s">
        <v>329</v>
      </c>
      <c r="D90" t="s">
        <v>3637</v>
      </c>
      <c r="E90" s="1">
        <v>46011</v>
      </c>
      <c r="F90" t="s">
        <v>140</v>
      </c>
      <c r="G90" t="s">
        <v>38</v>
      </c>
      <c r="H90" t="s">
        <v>139</v>
      </c>
      <c r="I90" t="s">
        <v>2631</v>
      </c>
      <c r="J90" t="s">
        <v>2674</v>
      </c>
      <c r="K90" t="s">
        <v>52</v>
      </c>
      <c r="L90">
        <v>63</v>
      </c>
      <c r="M90">
        <v>1</v>
      </c>
      <c r="N90">
        <v>15</v>
      </c>
      <c r="O90" t="s">
        <v>276</v>
      </c>
      <c r="P90" t="s">
        <v>75</v>
      </c>
      <c r="Q90" t="s">
        <v>31</v>
      </c>
      <c r="R90" t="s">
        <v>62</v>
      </c>
      <c r="S90" t="s">
        <v>141</v>
      </c>
      <c r="T90">
        <v>1</v>
      </c>
      <c r="U90">
        <v>250.65</v>
      </c>
      <c r="V90">
        <v>170.03</v>
      </c>
      <c r="W90">
        <v>7</v>
      </c>
      <c r="X90" t="s">
        <v>94</v>
      </c>
      <c r="Y90">
        <v>2025</v>
      </c>
    </row>
    <row r="91" spans="1:25" x14ac:dyDescent="0.3">
      <c r="A91" t="s">
        <v>330</v>
      </c>
      <c r="B91" s="1">
        <v>45791</v>
      </c>
      <c r="C91" t="s">
        <v>331</v>
      </c>
      <c r="D91" t="s">
        <v>3636</v>
      </c>
      <c r="E91" s="1">
        <v>45793</v>
      </c>
      <c r="F91" t="s">
        <v>68</v>
      </c>
      <c r="G91" t="s">
        <v>66</v>
      </c>
      <c r="H91" t="s">
        <v>67</v>
      </c>
      <c r="I91" t="s">
        <v>2668</v>
      </c>
      <c r="J91" t="s">
        <v>2669</v>
      </c>
      <c r="K91" t="s">
        <v>52</v>
      </c>
      <c r="L91">
        <v>36</v>
      </c>
      <c r="M91">
        <v>3</v>
      </c>
      <c r="N91">
        <v>10</v>
      </c>
      <c r="O91" t="s">
        <v>332</v>
      </c>
      <c r="P91" t="s">
        <v>44</v>
      </c>
      <c r="Q91" t="s">
        <v>42</v>
      </c>
      <c r="R91" t="s">
        <v>71</v>
      </c>
      <c r="S91" t="s">
        <v>69</v>
      </c>
      <c r="T91">
        <v>3</v>
      </c>
      <c r="U91">
        <v>919.05</v>
      </c>
      <c r="V91">
        <v>1629.64</v>
      </c>
      <c r="W91">
        <v>2</v>
      </c>
      <c r="X91" t="s">
        <v>49</v>
      </c>
      <c r="Y91">
        <v>2025</v>
      </c>
    </row>
    <row r="92" spans="1:25" x14ac:dyDescent="0.3">
      <c r="A92" t="s">
        <v>333</v>
      </c>
      <c r="B92" s="1">
        <v>45585</v>
      </c>
      <c r="C92" t="s">
        <v>334</v>
      </c>
      <c r="D92" t="s">
        <v>3635</v>
      </c>
      <c r="E92" s="1">
        <v>45592</v>
      </c>
      <c r="F92" t="s">
        <v>2617</v>
      </c>
      <c r="G92" t="s">
        <v>27</v>
      </c>
      <c r="H92" t="s">
        <v>28</v>
      </c>
      <c r="I92" t="s">
        <v>2625</v>
      </c>
      <c r="J92" t="s">
        <v>2703</v>
      </c>
      <c r="K92" t="s">
        <v>52</v>
      </c>
      <c r="L92">
        <v>23</v>
      </c>
      <c r="M92">
        <v>1</v>
      </c>
      <c r="N92">
        <v>20</v>
      </c>
      <c r="O92" t="s">
        <v>335</v>
      </c>
      <c r="P92" t="s">
        <v>33</v>
      </c>
      <c r="Q92" t="s">
        <v>42</v>
      </c>
      <c r="R92" t="s">
        <v>32</v>
      </c>
      <c r="S92" t="s">
        <v>30</v>
      </c>
      <c r="T92">
        <v>3</v>
      </c>
      <c r="U92">
        <v>758.66</v>
      </c>
      <c r="V92">
        <v>462.62</v>
      </c>
      <c r="W92">
        <v>7</v>
      </c>
      <c r="X92" t="s">
        <v>94</v>
      </c>
      <c r="Y92">
        <v>2024</v>
      </c>
    </row>
    <row r="93" spans="1:25" x14ac:dyDescent="0.3">
      <c r="A93" t="s">
        <v>336</v>
      </c>
      <c r="B93" s="1">
        <v>45815</v>
      </c>
      <c r="C93" t="s">
        <v>337</v>
      </c>
      <c r="D93" t="s">
        <v>3634</v>
      </c>
      <c r="E93" s="1">
        <v>45820</v>
      </c>
      <c r="F93" t="s">
        <v>100</v>
      </c>
      <c r="G93" t="s">
        <v>98</v>
      </c>
      <c r="H93" t="s">
        <v>99</v>
      </c>
      <c r="I93" t="s">
        <v>2637</v>
      </c>
      <c r="J93" t="s">
        <v>99</v>
      </c>
      <c r="K93" t="s">
        <v>25</v>
      </c>
      <c r="L93">
        <v>51</v>
      </c>
      <c r="M93">
        <v>2</v>
      </c>
      <c r="N93">
        <v>15</v>
      </c>
      <c r="O93" t="s">
        <v>338</v>
      </c>
      <c r="P93" t="s">
        <v>33</v>
      </c>
      <c r="Q93" t="s">
        <v>58</v>
      </c>
      <c r="R93" t="s">
        <v>32</v>
      </c>
      <c r="S93" t="s">
        <v>101</v>
      </c>
      <c r="T93">
        <v>4</v>
      </c>
      <c r="U93">
        <v>852.32</v>
      </c>
      <c r="V93">
        <v>1220.3499999999999</v>
      </c>
      <c r="W93">
        <v>5</v>
      </c>
      <c r="X93" t="s">
        <v>49</v>
      </c>
      <c r="Y93">
        <v>2025</v>
      </c>
    </row>
    <row r="94" spans="1:25" x14ac:dyDescent="0.3">
      <c r="A94" t="s">
        <v>339</v>
      </c>
      <c r="B94" s="1">
        <v>45294</v>
      </c>
      <c r="C94" t="s">
        <v>340</v>
      </c>
      <c r="D94" t="s">
        <v>3633</v>
      </c>
      <c r="E94" s="1">
        <v>45298</v>
      </c>
      <c r="F94" t="s">
        <v>122</v>
      </c>
      <c r="G94" t="s">
        <v>120</v>
      </c>
      <c r="H94" t="s">
        <v>121</v>
      </c>
      <c r="I94" t="s">
        <v>2652</v>
      </c>
      <c r="J94" t="s">
        <v>2706</v>
      </c>
      <c r="K94" t="s">
        <v>52</v>
      </c>
      <c r="L94">
        <v>45</v>
      </c>
      <c r="M94">
        <v>4</v>
      </c>
      <c r="N94">
        <v>10</v>
      </c>
      <c r="O94" t="s">
        <v>341</v>
      </c>
      <c r="P94" t="s">
        <v>75</v>
      </c>
      <c r="Q94" t="s">
        <v>58</v>
      </c>
      <c r="R94" t="s">
        <v>32</v>
      </c>
      <c r="S94" t="s">
        <v>123</v>
      </c>
      <c r="T94">
        <v>1</v>
      </c>
      <c r="U94">
        <v>80.2</v>
      </c>
      <c r="V94">
        <v>228.83</v>
      </c>
      <c r="W94">
        <v>4</v>
      </c>
      <c r="X94" t="s">
        <v>34</v>
      </c>
      <c r="Y94">
        <v>2024</v>
      </c>
    </row>
    <row r="95" spans="1:25" x14ac:dyDescent="0.3">
      <c r="A95" t="s">
        <v>342</v>
      </c>
      <c r="B95" s="1">
        <v>45683</v>
      </c>
      <c r="C95" t="s">
        <v>343</v>
      </c>
      <c r="D95" t="s">
        <v>3632</v>
      </c>
      <c r="E95" s="1">
        <v>45685</v>
      </c>
      <c r="F95" t="s">
        <v>40</v>
      </c>
      <c r="G95" t="s">
        <v>38</v>
      </c>
      <c r="H95" t="s">
        <v>39</v>
      </c>
      <c r="I95" t="s">
        <v>2634</v>
      </c>
      <c r="J95" t="s">
        <v>2650</v>
      </c>
      <c r="K95" t="s">
        <v>25</v>
      </c>
      <c r="L95">
        <v>63</v>
      </c>
      <c r="M95">
        <v>1</v>
      </c>
      <c r="N95">
        <v>25</v>
      </c>
      <c r="O95" t="s">
        <v>344</v>
      </c>
      <c r="P95" t="s">
        <v>33</v>
      </c>
      <c r="Q95" t="s">
        <v>117</v>
      </c>
      <c r="R95" t="s">
        <v>32</v>
      </c>
      <c r="S95" t="s">
        <v>41</v>
      </c>
      <c r="T95">
        <v>5</v>
      </c>
      <c r="U95">
        <v>517.5</v>
      </c>
      <c r="V95">
        <v>228.3</v>
      </c>
      <c r="W95">
        <v>2</v>
      </c>
      <c r="X95" t="s">
        <v>34</v>
      </c>
      <c r="Y95">
        <v>2025</v>
      </c>
    </row>
    <row r="96" spans="1:25" x14ac:dyDescent="0.3">
      <c r="A96" t="s">
        <v>345</v>
      </c>
      <c r="B96" s="1">
        <v>46186</v>
      </c>
      <c r="C96" t="s">
        <v>346</v>
      </c>
      <c r="D96" t="s">
        <v>3631</v>
      </c>
      <c r="E96" s="1">
        <v>46191</v>
      </c>
      <c r="F96" t="s">
        <v>100</v>
      </c>
      <c r="G96" t="s">
        <v>98</v>
      </c>
      <c r="H96" t="s">
        <v>99</v>
      </c>
      <c r="I96" t="s">
        <v>2631</v>
      </c>
      <c r="J96" t="s">
        <v>2694</v>
      </c>
      <c r="K96" t="s">
        <v>52</v>
      </c>
      <c r="L96">
        <v>21</v>
      </c>
      <c r="M96">
        <v>1</v>
      </c>
      <c r="N96">
        <v>10</v>
      </c>
      <c r="O96" t="s">
        <v>347</v>
      </c>
      <c r="P96" t="s">
        <v>75</v>
      </c>
      <c r="Q96" t="s">
        <v>70</v>
      </c>
      <c r="R96" t="s">
        <v>71</v>
      </c>
      <c r="S96" t="s">
        <v>101</v>
      </c>
      <c r="T96">
        <v>2</v>
      </c>
      <c r="U96">
        <v>265.31</v>
      </c>
      <c r="V96">
        <v>184.58</v>
      </c>
      <c r="W96">
        <v>5</v>
      </c>
      <c r="X96" t="s">
        <v>49</v>
      </c>
      <c r="Y96">
        <v>2026</v>
      </c>
    </row>
    <row r="97" spans="1:25" x14ac:dyDescent="0.3">
      <c r="A97" t="s">
        <v>348</v>
      </c>
      <c r="B97" s="1">
        <v>45450</v>
      </c>
      <c r="C97" t="s">
        <v>349</v>
      </c>
      <c r="D97" t="s">
        <v>3630</v>
      </c>
      <c r="E97" s="1">
        <v>45451</v>
      </c>
      <c r="F97" t="s">
        <v>115</v>
      </c>
      <c r="G97" t="s">
        <v>66</v>
      </c>
      <c r="H97" t="s">
        <v>114</v>
      </c>
      <c r="I97" t="s">
        <v>2632</v>
      </c>
      <c r="J97" t="s">
        <v>2646</v>
      </c>
      <c r="K97" t="s">
        <v>25</v>
      </c>
      <c r="L97">
        <v>45</v>
      </c>
      <c r="M97">
        <v>1</v>
      </c>
      <c r="N97">
        <v>15</v>
      </c>
      <c r="O97" t="s">
        <v>350</v>
      </c>
      <c r="P97" t="s">
        <v>75</v>
      </c>
      <c r="Q97" t="s">
        <v>31</v>
      </c>
      <c r="R97" t="s">
        <v>43</v>
      </c>
      <c r="S97" t="s">
        <v>116</v>
      </c>
      <c r="T97">
        <v>5</v>
      </c>
      <c r="U97">
        <v>642.47</v>
      </c>
      <c r="V97">
        <v>351.07</v>
      </c>
      <c r="W97">
        <v>1</v>
      </c>
      <c r="X97" t="s">
        <v>49</v>
      </c>
      <c r="Y97">
        <v>2024</v>
      </c>
    </row>
    <row r="98" spans="1:25" x14ac:dyDescent="0.3">
      <c r="A98" t="s">
        <v>351</v>
      </c>
      <c r="B98" s="1">
        <v>45559</v>
      </c>
      <c r="C98" t="s">
        <v>352</v>
      </c>
      <c r="D98" t="s">
        <v>3629</v>
      </c>
      <c r="E98" s="1">
        <v>45560</v>
      </c>
      <c r="F98" t="s">
        <v>2617</v>
      </c>
      <c r="G98" t="s">
        <v>27</v>
      </c>
      <c r="H98" t="s">
        <v>28</v>
      </c>
      <c r="I98" t="s">
        <v>2641</v>
      </c>
      <c r="J98" t="s">
        <v>2713</v>
      </c>
      <c r="K98" t="s">
        <v>52</v>
      </c>
      <c r="L98">
        <v>46</v>
      </c>
      <c r="M98">
        <v>5</v>
      </c>
      <c r="N98">
        <v>10</v>
      </c>
      <c r="O98" t="s">
        <v>353</v>
      </c>
      <c r="P98" t="s">
        <v>75</v>
      </c>
      <c r="Q98" t="s">
        <v>31</v>
      </c>
      <c r="R98" t="s">
        <v>71</v>
      </c>
      <c r="S98" t="s">
        <v>30</v>
      </c>
      <c r="T98">
        <v>4</v>
      </c>
      <c r="U98">
        <v>28.59</v>
      </c>
      <c r="V98">
        <v>106.55</v>
      </c>
      <c r="W98">
        <v>1</v>
      </c>
      <c r="X98" t="s">
        <v>45</v>
      </c>
      <c r="Y98">
        <v>2024</v>
      </c>
    </row>
    <row r="99" spans="1:25" x14ac:dyDescent="0.3">
      <c r="A99" t="s">
        <v>354</v>
      </c>
      <c r="B99" s="1">
        <v>45444</v>
      </c>
      <c r="C99" t="s">
        <v>355</v>
      </c>
      <c r="D99" t="s">
        <v>3628</v>
      </c>
      <c r="E99" s="1">
        <v>45447</v>
      </c>
      <c r="F99" t="s">
        <v>56</v>
      </c>
      <c r="G99" t="s">
        <v>54</v>
      </c>
      <c r="H99" t="s">
        <v>55</v>
      </c>
      <c r="I99" t="s">
        <v>2672</v>
      </c>
      <c r="J99" t="s">
        <v>2690</v>
      </c>
      <c r="K99" t="s">
        <v>52</v>
      </c>
      <c r="L99">
        <v>37</v>
      </c>
      <c r="M99">
        <v>4</v>
      </c>
      <c r="N99">
        <v>15</v>
      </c>
      <c r="O99" t="s">
        <v>356</v>
      </c>
      <c r="P99" t="s">
        <v>75</v>
      </c>
      <c r="Q99" t="s">
        <v>42</v>
      </c>
      <c r="R99" t="s">
        <v>62</v>
      </c>
      <c r="S99" t="s">
        <v>57</v>
      </c>
      <c r="T99">
        <v>5</v>
      </c>
      <c r="U99">
        <v>306.68</v>
      </c>
      <c r="V99">
        <v>668.74</v>
      </c>
      <c r="W99">
        <v>3</v>
      </c>
      <c r="X99" t="s">
        <v>49</v>
      </c>
      <c r="Y99">
        <v>2024</v>
      </c>
    </row>
    <row r="100" spans="1:25" x14ac:dyDescent="0.3">
      <c r="A100" t="s">
        <v>357</v>
      </c>
      <c r="B100" s="1">
        <v>45387</v>
      </c>
      <c r="C100" t="s">
        <v>358</v>
      </c>
      <c r="D100" t="s">
        <v>3627</v>
      </c>
      <c r="E100" s="1">
        <v>45389</v>
      </c>
      <c r="F100" t="s">
        <v>128</v>
      </c>
      <c r="G100" t="s">
        <v>98</v>
      </c>
      <c r="H100" t="s">
        <v>127</v>
      </c>
      <c r="I100" t="s">
        <v>2635</v>
      </c>
      <c r="J100" t="s">
        <v>2677</v>
      </c>
      <c r="K100" t="s">
        <v>52</v>
      </c>
      <c r="L100">
        <v>52</v>
      </c>
      <c r="M100">
        <v>1</v>
      </c>
      <c r="N100">
        <v>15</v>
      </c>
      <c r="O100" t="s">
        <v>359</v>
      </c>
      <c r="P100" t="s">
        <v>44</v>
      </c>
      <c r="Q100" t="s">
        <v>117</v>
      </c>
      <c r="R100" t="s">
        <v>71</v>
      </c>
      <c r="S100" t="s">
        <v>129</v>
      </c>
      <c r="T100">
        <v>2</v>
      </c>
      <c r="U100">
        <v>649.78</v>
      </c>
      <c r="V100">
        <v>392.88</v>
      </c>
      <c r="W100">
        <v>2</v>
      </c>
      <c r="X100" t="s">
        <v>49</v>
      </c>
      <c r="Y100">
        <v>2024</v>
      </c>
    </row>
    <row r="101" spans="1:25" x14ac:dyDescent="0.3">
      <c r="A101" t="s">
        <v>360</v>
      </c>
      <c r="B101" s="1">
        <v>45402</v>
      </c>
      <c r="C101" t="s">
        <v>361</v>
      </c>
      <c r="D101" t="s">
        <v>2793</v>
      </c>
      <c r="E101" s="1">
        <v>45407</v>
      </c>
      <c r="F101" t="s">
        <v>115</v>
      </c>
      <c r="G101" t="s">
        <v>66</v>
      </c>
      <c r="H101" t="s">
        <v>114</v>
      </c>
      <c r="I101" t="s">
        <v>2625</v>
      </c>
      <c r="J101" t="s">
        <v>2651</v>
      </c>
      <c r="K101" t="s">
        <v>52</v>
      </c>
      <c r="L101">
        <v>32</v>
      </c>
      <c r="M101">
        <v>2</v>
      </c>
      <c r="N101">
        <v>15</v>
      </c>
      <c r="O101" t="s">
        <v>362</v>
      </c>
      <c r="P101" t="s">
        <v>44</v>
      </c>
      <c r="Q101" t="s">
        <v>42</v>
      </c>
      <c r="R101" t="s">
        <v>62</v>
      </c>
      <c r="S101" t="s">
        <v>116</v>
      </c>
      <c r="T101">
        <v>2</v>
      </c>
      <c r="U101">
        <v>627.88</v>
      </c>
      <c r="V101">
        <v>599.35</v>
      </c>
      <c r="W101">
        <v>5</v>
      </c>
      <c r="X101" t="s">
        <v>49</v>
      </c>
      <c r="Y101">
        <v>2024</v>
      </c>
    </row>
    <row r="102" spans="1:25" x14ac:dyDescent="0.3">
      <c r="A102" t="s">
        <v>363</v>
      </c>
      <c r="B102" s="1">
        <v>45741</v>
      </c>
      <c r="C102" t="s">
        <v>364</v>
      </c>
      <c r="D102" t="s">
        <v>2792</v>
      </c>
      <c r="E102" s="1">
        <v>45743</v>
      </c>
      <c r="F102" t="s">
        <v>115</v>
      </c>
      <c r="G102" t="s">
        <v>66</v>
      </c>
      <c r="H102" t="s">
        <v>114</v>
      </c>
      <c r="I102" t="s">
        <v>2656</v>
      </c>
      <c r="J102" t="s">
        <v>2712</v>
      </c>
      <c r="K102" t="s">
        <v>52</v>
      </c>
      <c r="L102">
        <v>39</v>
      </c>
      <c r="M102">
        <v>5</v>
      </c>
      <c r="N102">
        <v>15</v>
      </c>
      <c r="O102" t="s">
        <v>365</v>
      </c>
      <c r="P102" t="s">
        <v>33</v>
      </c>
      <c r="Q102" t="s">
        <v>58</v>
      </c>
      <c r="R102" t="s">
        <v>43</v>
      </c>
      <c r="S102" t="s">
        <v>116</v>
      </c>
      <c r="T102">
        <v>5</v>
      </c>
      <c r="U102">
        <v>416.63</v>
      </c>
      <c r="V102">
        <v>1217.06</v>
      </c>
      <c r="W102">
        <v>2</v>
      </c>
      <c r="X102" t="s">
        <v>34</v>
      </c>
      <c r="Y102">
        <v>2025</v>
      </c>
    </row>
    <row r="103" spans="1:25" x14ac:dyDescent="0.3">
      <c r="A103" t="s">
        <v>366</v>
      </c>
      <c r="B103" s="1">
        <v>45744</v>
      </c>
      <c r="C103" t="s">
        <v>367</v>
      </c>
      <c r="D103" t="s">
        <v>3626</v>
      </c>
      <c r="E103" s="1">
        <v>45749</v>
      </c>
      <c r="F103" t="s">
        <v>40</v>
      </c>
      <c r="G103" t="s">
        <v>38</v>
      </c>
      <c r="H103" t="s">
        <v>39</v>
      </c>
      <c r="I103" t="s">
        <v>2634</v>
      </c>
      <c r="J103" t="s">
        <v>2714</v>
      </c>
      <c r="K103" t="s">
        <v>25</v>
      </c>
      <c r="L103">
        <v>49</v>
      </c>
      <c r="M103">
        <v>1</v>
      </c>
      <c r="N103">
        <v>20</v>
      </c>
      <c r="O103" t="s">
        <v>368</v>
      </c>
      <c r="P103" t="s">
        <v>44</v>
      </c>
      <c r="Q103" t="s">
        <v>31</v>
      </c>
      <c r="R103" t="s">
        <v>32</v>
      </c>
      <c r="S103" t="s">
        <v>41</v>
      </c>
      <c r="T103">
        <v>1</v>
      </c>
      <c r="U103">
        <v>473.36</v>
      </c>
      <c r="V103">
        <v>312.89999999999998</v>
      </c>
      <c r="W103">
        <v>5</v>
      </c>
      <c r="X103" t="s">
        <v>34</v>
      </c>
      <c r="Y103">
        <v>2025</v>
      </c>
    </row>
    <row r="104" spans="1:25" x14ac:dyDescent="0.3">
      <c r="A104" t="s">
        <v>369</v>
      </c>
      <c r="B104" s="1">
        <v>45801</v>
      </c>
      <c r="C104" t="s">
        <v>370</v>
      </c>
      <c r="D104" t="s">
        <v>2791</v>
      </c>
      <c r="E104" s="1">
        <v>45806</v>
      </c>
      <c r="F104" t="s">
        <v>122</v>
      </c>
      <c r="G104" t="s">
        <v>120</v>
      </c>
      <c r="H104" t="s">
        <v>121</v>
      </c>
      <c r="I104" t="s">
        <v>2625</v>
      </c>
      <c r="J104" t="s">
        <v>2703</v>
      </c>
      <c r="K104" t="s">
        <v>52</v>
      </c>
      <c r="L104">
        <v>41</v>
      </c>
      <c r="M104">
        <v>2</v>
      </c>
      <c r="N104">
        <v>15</v>
      </c>
      <c r="O104" t="s">
        <v>371</v>
      </c>
      <c r="P104" t="s">
        <v>44</v>
      </c>
      <c r="Q104" t="s">
        <v>117</v>
      </c>
      <c r="R104" t="s">
        <v>43</v>
      </c>
      <c r="S104" t="s">
        <v>123</v>
      </c>
      <c r="T104">
        <v>3</v>
      </c>
      <c r="U104">
        <v>248.88</v>
      </c>
      <c r="V104">
        <v>339.96</v>
      </c>
      <c r="W104">
        <v>5</v>
      </c>
      <c r="X104" t="s">
        <v>49</v>
      </c>
      <c r="Y104">
        <v>2025</v>
      </c>
    </row>
    <row r="105" spans="1:25" x14ac:dyDescent="0.3">
      <c r="A105" t="s">
        <v>372</v>
      </c>
      <c r="B105" s="1">
        <v>45318</v>
      </c>
      <c r="C105" t="s">
        <v>373</v>
      </c>
      <c r="D105" t="s">
        <v>3625</v>
      </c>
      <c r="E105" s="1">
        <v>45324</v>
      </c>
      <c r="F105" t="s">
        <v>122</v>
      </c>
      <c r="G105" t="s">
        <v>120</v>
      </c>
      <c r="H105" t="s">
        <v>121</v>
      </c>
      <c r="I105" t="s">
        <v>2622</v>
      </c>
      <c r="J105" t="s">
        <v>2705</v>
      </c>
      <c r="K105" t="s">
        <v>52</v>
      </c>
      <c r="L105">
        <v>26</v>
      </c>
      <c r="M105">
        <v>5</v>
      </c>
      <c r="N105">
        <v>0</v>
      </c>
      <c r="O105" t="s">
        <v>162</v>
      </c>
      <c r="P105" t="s">
        <v>44</v>
      </c>
      <c r="Q105" t="s">
        <v>117</v>
      </c>
      <c r="R105" t="s">
        <v>43</v>
      </c>
      <c r="S105" t="s">
        <v>123</v>
      </c>
      <c r="T105">
        <v>3</v>
      </c>
      <c r="U105">
        <v>275.02</v>
      </c>
      <c r="V105">
        <v>714.94</v>
      </c>
      <c r="W105">
        <v>6</v>
      </c>
      <c r="X105" t="s">
        <v>34</v>
      </c>
      <c r="Y105">
        <v>2024</v>
      </c>
    </row>
    <row r="106" spans="1:25" x14ac:dyDescent="0.3">
      <c r="A106" t="s">
        <v>374</v>
      </c>
      <c r="B106" s="1">
        <v>45297</v>
      </c>
      <c r="C106" t="s">
        <v>375</v>
      </c>
      <c r="D106" t="s">
        <v>3624</v>
      </c>
      <c r="E106" s="1">
        <v>45303</v>
      </c>
      <c r="F106" t="s">
        <v>56</v>
      </c>
      <c r="G106" t="s">
        <v>54</v>
      </c>
      <c r="H106" t="s">
        <v>55</v>
      </c>
      <c r="I106" t="s">
        <v>2679</v>
      </c>
      <c r="J106" t="s">
        <v>2680</v>
      </c>
      <c r="K106" t="s">
        <v>52</v>
      </c>
      <c r="L106">
        <v>18</v>
      </c>
      <c r="M106">
        <v>3</v>
      </c>
      <c r="N106">
        <v>5</v>
      </c>
      <c r="O106" t="s">
        <v>376</v>
      </c>
      <c r="P106" t="s">
        <v>75</v>
      </c>
      <c r="Q106" t="s">
        <v>42</v>
      </c>
      <c r="R106" t="s">
        <v>71</v>
      </c>
      <c r="S106" t="s">
        <v>57</v>
      </c>
      <c r="T106">
        <v>5</v>
      </c>
      <c r="U106">
        <v>674.61</v>
      </c>
      <c r="V106">
        <v>1381.79</v>
      </c>
      <c r="W106">
        <v>6</v>
      </c>
      <c r="X106" t="s">
        <v>34</v>
      </c>
      <c r="Y106">
        <v>2024</v>
      </c>
    </row>
    <row r="107" spans="1:25" x14ac:dyDescent="0.3">
      <c r="A107" t="s">
        <v>377</v>
      </c>
      <c r="B107" s="1">
        <v>46054</v>
      </c>
      <c r="C107" t="s">
        <v>378</v>
      </c>
      <c r="D107" t="s">
        <v>3623</v>
      </c>
      <c r="E107" s="1">
        <v>46056</v>
      </c>
      <c r="F107" t="s">
        <v>68</v>
      </c>
      <c r="G107" t="s">
        <v>66</v>
      </c>
      <c r="H107" t="s">
        <v>67</v>
      </c>
      <c r="I107" t="s">
        <v>2634</v>
      </c>
      <c r="J107" t="s">
        <v>2714</v>
      </c>
      <c r="K107" t="s">
        <v>52</v>
      </c>
      <c r="L107">
        <v>43</v>
      </c>
      <c r="M107">
        <v>1</v>
      </c>
      <c r="N107">
        <v>25</v>
      </c>
      <c r="O107" t="s">
        <v>379</v>
      </c>
      <c r="P107" t="s">
        <v>75</v>
      </c>
      <c r="Q107" t="s">
        <v>70</v>
      </c>
      <c r="R107" t="s">
        <v>62</v>
      </c>
      <c r="S107" t="s">
        <v>69</v>
      </c>
      <c r="T107">
        <v>3</v>
      </c>
      <c r="U107">
        <v>612.99</v>
      </c>
      <c r="V107">
        <v>335.21</v>
      </c>
      <c r="W107">
        <v>2</v>
      </c>
      <c r="X107" t="s">
        <v>34</v>
      </c>
      <c r="Y107">
        <v>2026</v>
      </c>
    </row>
    <row r="108" spans="1:25" x14ac:dyDescent="0.3">
      <c r="A108" t="s">
        <v>380</v>
      </c>
      <c r="B108" s="1">
        <v>45470</v>
      </c>
      <c r="C108" t="s">
        <v>381</v>
      </c>
      <c r="D108" t="s">
        <v>2790</v>
      </c>
      <c r="E108" s="1">
        <v>45472</v>
      </c>
      <c r="F108" t="s">
        <v>56</v>
      </c>
      <c r="G108" t="s">
        <v>54</v>
      </c>
      <c r="H108" t="s">
        <v>55</v>
      </c>
      <c r="I108" t="s">
        <v>2623</v>
      </c>
      <c r="J108" t="s">
        <v>2696</v>
      </c>
      <c r="K108" t="s">
        <v>25</v>
      </c>
      <c r="L108">
        <v>19</v>
      </c>
      <c r="M108">
        <v>5</v>
      </c>
      <c r="N108">
        <v>30</v>
      </c>
      <c r="O108" t="s">
        <v>382</v>
      </c>
      <c r="P108" t="s">
        <v>33</v>
      </c>
      <c r="Q108" t="s">
        <v>117</v>
      </c>
      <c r="R108" t="s">
        <v>71</v>
      </c>
      <c r="S108" t="s">
        <v>57</v>
      </c>
      <c r="T108">
        <v>3</v>
      </c>
      <c r="U108">
        <v>272.60000000000002</v>
      </c>
      <c r="V108">
        <v>591.5</v>
      </c>
      <c r="W108">
        <v>2</v>
      </c>
      <c r="X108" t="s">
        <v>49</v>
      </c>
      <c r="Y108">
        <v>2024</v>
      </c>
    </row>
    <row r="109" spans="1:25" x14ac:dyDescent="0.3">
      <c r="A109" t="s">
        <v>383</v>
      </c>
      <c r="B109" s="1">
        <v>45706</v>
      </c>
      <c r="C109" t="s">
        <v>384</v>
      </c>
      <c r="D109" t="s">
        <v>3622</v>
      </c>
      <c r="E109" s="1">
        <v>45709</v>
      </c>
      <c r="F109" t="s">
        <v>122</v>
      </c>
      <c r="G109" t="s">
        <v>120</v>
      </c>
      <c r="H109" t="s">
        <v>121</v>
      </c>
      <c r="I109" t="s">
        <v>2679</v>
      </c>
      <c r="J109" t="s">
        <v>2707</v>
      </c>
      <c r="K109" t="s">
        <v>52</v>
      </c>
      <c r="L109">
        <v>57</v>
      </c>
      <c r="M109">
        <v>4</v>
      </c>
      <c r="N109">
        <v>10</v>
      </c>
      <c r="O109" t="s">
        <v>385</v>
      </c>
      <c r="P109" t="s">
        <v>33</v>
      </c>
      <c r="Q109" t="s">
        <v>58</v>
      </c>
      <c r="R109" t="s">
        <v>32</v>
      </c>
      <c r="S109" t="s">
        <v>123</v>
      </c>
      <c r="T109">
        <v>2</v>
      </c>
      <c r="U109">
        <v>768.8</v>
      </c>
      <c r="V109">
        <v>1594</v>
      </c>
      <c r="W109">
        <v>3</v>
      </c>
      <c r="X109" t="s">
        <v>34</v>
      </c>
      <c r="Y109">
        <v>2025</v>
      </c>
    </row>
    <row r="110" spans="1:25" x14ac:dyDescent="0.3">
      <c r="A110" t="s">
        <v>386</v>
      </c>
      <c r="B110" s="1">
        <v>45960</v>
      </c>
      <c r="C110" t="s">
        <v>387</v>
      </c>
      <c r="D110" t="s">
        <v>3621</v>
      </c>
      <c r="E110" s="1">
        <v>45963</v>
      </c>
      <c r="F110" t="s">
        <v>2617</v>
      </c>
      <c r="G110" t="s">
        <v>27</v>
      </c>
      <c r="H110" t="s">
        <v>28</v>
      </c>
      <c r="I110" t="s">
        <v>2654</v>
      </c>
      <c r="J110" t="s">
        <v>2684</v>
      </c>
      <c r="K110" t="s">
        <v>52</v>
      </c>
      <c r="L110">
        <v>59</v>
      </c>
      <c r="M110">
        <v>2</v>
      </c>
      <c r="N110">
        <v>5</v>
      </c>
      <c r="O110" t="s">
        <v>388</v>
      </c>
      <c r="P110" t="s">
        <v>33</v>
      </c>
      <c r="Q110" t="s">
        <v>58</v>
      </c>
      <c r="R110" t="s">
        <v>43</v>
      </c>
      <c r="S110" t="s">
        <v>30</v>
      </c>
      <c r="T110">
        <v>3</v>
      </c>
      <c r="U110">
        <v>907.65</v>
      </c>
      <c r="V110">
        <v>1389.01</v>
      </c>
      <c r="W110">
        <v>3</v>
      </c>
      <c r="X110" t="s">
        <v>94</v>
      </c>
      <c r="Y110">
        <v>2025</v>
      </c>
    </row>
    <row r="111" spans="1:25" x14ac:dyDescent="0.3">
      <c r="A111" t="s">
        <v>389</v>
      </c>
      <c r="B111" s="1">
        <v>45916</v>
      </c>
      <c r="C111" t="s">
        <v>390</v>
      </c>
      <c r="D111" t="s">
        <v>3620</v>
      </c>
      <c r="E111" s="1">
        <v>45919</v>
      </c>
      <c r="F111" t="s">
        <v>128</v>
      </c>
      <c r="G111" t="s">
        <v>98</v>
      </c>
      <c r="H111" t="s">
        <v>127</v>
      </c>
      <c r="I111" t="s">
        <v>2629</v>
      </c>
      <c r="J111" t="s">
        <v>2689</v>
      </c>
      <c r="K111" t="s">
        <v>25</v>
      </c>
      <c r="L111">
        <v>39</v>
      </c>
      <c r="M111">
        <v>3</v>
      </c>
      <c r="N111">
        <v>0</v>
      </c>
      <c r="O111" t="s">
        <v>391</v>
      </c>
      <c r="P111" t="s">
        <v>33</v>
      </c>
      <c r="Q111" t="s">
        <v>58</v>
      </c>
      <c r="R111" t="s">
        <v>32</v>
      </c>
      <c r="S111" t="s">
        <v>129</v>
      </c>
      <c r="T111">
        <v>1</v>
      </c>
      <c r="U111">
        <v>932.33</v>
      </c>
      <c r="V111">
        <v>2335.0100000000002</v>
      </c>
      <c r="W111">
        <v>3</v>
      </c>
      <c r="X111" t="s">
        <v>45</v>
      </c>
      <c r="Y111">
        <v>2025</v>
      </c>
    </row>
    <row r="112" spans="1:25" x14ac:dyDescent="0.3">
      <c r="A112" t="s">
        <v>392</v>
      </c>
      <c r="B112" s="1">
        <v>46030</v>
      </c>
      <c r="C112" t="s">
        <v>393</v>
      </c>
      <c r="D112" t="s">
        <v>3619</v>
      </c>
      <c r="E112" s="1">
        <v>46036</v>
      </c>
      <c r="F112" t="s">
        <v>56</v>
      </c>
      <c r="G112" t="s">
        <v>54</v>
      </c>
      <c r="H112" t="s">
        <v>55</v>
      </c>
      <c r="I112" t="s">
        <v>2679</v>
      </c>
      <c r="J112" t="s">
        <v>2680</v>
      </c>
      <c r="K112" t="s">
        <v>25</v>
      </c>
      <c r="L112">
        <v>46</v>
      </c>
      <c r="M112">
        <v>1</v>
      </c>
      <c r="N112">
        <v>25</v>
      </c>
      <c r="O112" t="s">
        <v>394</v>
      </c>
      <c r="P112" t="s">
        <v>44</v>
      </c>
      <c r="Q112" t="s">
        <v>117</v>
      </c>
      <c r="R112" t="s">
        <v>43</v>
      </c>
      <c r="S112" t="s">
        <v>57</v>
      </c>
      <c r="T112">
        <v>2</v>
      </c>
      <c r="U112">
        <v>144.76</v>
      </c>
      <c r="V112">
        <v>69.47</v>
      </c>
      <c r="W112">
        <v>6</v>
      </c>
      <c r="X112" t="s">
        <v>34</v>
      </c>
      <c r="Y112">
        <v>2026</v>
      </c>
    </row>
    <row r="113" spans="1:25" x14ac:dyDescent="0.3">
      <c r="A113" t="s">
        <v>395</v>
      </c>
      <c r="B113" s="1">
        <v>45506</v>
      </c>
      <c r="C113" t="s">
        <v>396</v>
      </c>
      <c r="D113" t="s">
        <v>3618</v>
      </c>
      <c r="E113" s="1">
        <v>45507</v>
      </c>
      <c r="F113" t="s">
        <v>122</v>
      </c>
      <c r="G113" t="s">
        <v>120</v>
      </c>
      <c r="H113" t="s">
        <v>121</v>
      </c>
      <c r="I113" t="s">
        <v>2661</v>
      </c>
      <c r="J113" t="s">
        <v>2671</v>
      </c>
      <c r="K113" t="s">
        <v>25</v>
      </c>
      <c r="L113">
        <v>63</v>
      </c>
      <c r="M113">
        <v>5</v>
      </c>
      <c r="N113">
        <v>5</v>
      </c>
      <c r="O113" t="s">
        <v>397</v>
      </c>
      <c r="P113" t="s">
        <v>75</v>
      </c>
      <c r="Q113" t="s">
        <v>42</v>
      </c>
      <c r="R113" t="s">
        <v>62</v>
      </c>
      <c r="S113" t="s">
        <v>123</v>
      </c>
      <c r="T113">
        <v>5</v>
      </c>
      <c r="U113">
        <v>75.59</v>
      </c>
      <c r="V113">
        <v>260.01</v>
      </c>
      <c r="W113">
        <v>1</v>
      </c>
      <c r="X113" t="s">
        <v>45</v>
      </c>
      <c r="Y113">
        <v>2024</v>
      </c>
    </row>
    <row r="114" spans="1:25" x14ac:dyDescent="0.3">
      <c r="A114" t="s">
        <v>398</v>
      </c>
      <c r="B114" s="1">
        <v>45362</v>
      </c>
      <c r="C114" t="s">
        <v>399</v>
      </c>
      <c r="D114" t="s">
        <v>3617</v>
      </c>
      <c r="E114" s="1">
        <v>45365</v>
      </c>
      <c r="F114" t="s">
        <v>128</v>
      </c>
      <c r="G114" t="s">
        <v>98</v>
      </c>
      <c r="H114" t="s">
        <v>127</v>
      </c>
      <c r="I114" t="s">
        <v>2659</v>
      </c>
      <c r="J114" t="s">
        <v>2660</v>
      </c>
      <c r="K114" t="s">
        <v>25</v>
      </c>
      <c r="L114">
        <v>28</v>
      </c>
      <c r="M114">
        <v>1</v>
      </c>
      <c r="N114">
        <v>10</v>
      </c>
      <c r="O114" t="s">
        <v>400</v>
      </c>
      <c r="P114" t="s">
        <v>44</v>
      </c>
      <c r="Q114" t="s">
        <v>70</v>
      </c>
      <c r="R114" t="s">
        <v>32</v>
      </c>
      <c r="S114" t="s">
        <v>129</v>
      </c>
      <c r="T114">
        <v>5</v>
      </c>
      <c r="U114">
        <v>130.5</v>
      </c>
      <c r="V114">
        <v>88.2</v>
      </c>
      <c r="W114">
        <v>3</v>
      </c>
      <c r="X114" t="s">
        <v>34</v>
      </c>
      <c r="Y114">
        <v>2024</v>
      </c>
    </row>
    <row r="115" spans="1:25" x14ac:dyDescent="0.3">
      <c r="A115" t="s">
        <v>401</v>
      </c>
      <c r="B115" s="1">
        <v>45524</v>
      </c>
      <c r="C115" t="s">
        <v>402</v>
      </c>
      <c r="D115" t="s">
        <v>3616</v>
      </c>
      <c r="E115" s="1">
        <v>45528</v>
      </c>
      <c r="F115" t="s">
        <v>2617</v>
      </c>
      <c r="G115" t="s">
        <v>27</v>
      </c>
      <c r="H115" t="s">
        <v>28</v>
      </c>
      <c r="I115" t="s">
        <v>2629</v>
      </c>
      <c r="J115" t="s">
        <v>2689</v>
      </c>
      <c r="K115" t="s">
        <v>52</v>
      </c>
      <c r="L115">
        <v>27</v>
      </c>
      <c r="M115">
        <v>4</v>
      </c>
      <c r="N115">
        <v>30</v>
      </c>
      <c r="O115" t="s">
        <v>403</v>
      </c>
      <c r="P115" t="s">
        <v>75</v>
      </c>
      <c r="Q115" t="s">
        <v>58</v>
      </c>
      <c r="R115" t="s">
        <v>32</v>
      </c>
      <c r="S115" t="s">
        <v>30</v>
      </c>
      <c r="T115">
        <v>1</v>
      </c>
      <c r="U115">
        <v>369.7</v>
      </c>
      <c r="V115">
        <v>609.29999999999995</v>
      </c>
      <c r="W115">
        <v>4</v>
      </c>
      <c r="X115" t="s">
        <v>45</v>
      </c>
      <c r="Y115">
        <v>2024</v>
      </c>
    </row>
    <row r="116" spans="1:25" x14ac:dyDescent="0.3">
      <c r="A116" t="s">
        <v>404</v>
      </c>
      <c r="B116" s="1">
        <v>46125</v>
      </c>
      <c r="C116" t="s">
        <v>405</v>
      </c>
      <c r="D116" t="s">
        <v>3615</v>
      </c>
      <c r="E116" s="1">
        <v>46130</v>
      </c>
      <c r="F116" t="s">
        <v>128</v>
      </c>
      <c r="G116" t="s">
        <v>98</v>
      </c>
      <c r="H116" t="s">
        <v>127</v>
      </c>
      <c r="I116" t="s">
        <v>2622</v>
      </c>
      <c r="J116" t="s">
        <v>2704</v>
      </c>
      <c r="K116" t="s">
        <v>25</v>
      </c>
      <c r="L116">
        <v>40</v>
      </c>
      <c r="M116">
        <v>5</v>
      </c>
      <c r="N116">
        <v>10</v>
      </c>
      <c r="O116" t="s">
        <v>406</v>
      </c>
      <c r="P116" t="s">
        <v>44</v>
      </c>
      <c r="Q116" t="s">
        <v>42</v>
      </c>
      <c r="R116" t="s">
        <v>43</v>
      </c>
      <c r="S116" t="s">
        <v>129</v>
      </c>
      <c r="T116">
        <v>3</v>
      </c>
      <c r="U116">
        <v>308.11</v>
      </c>
      <c r="V116">
        <v>1169.07</v>
      </c>
      <c r="W116">
        <v>5</v>
      </c>
      <c r="X116" t="s">
        <v>49</v>
      </c>
      <c r="Y116">
        <v>2026</v>
      </c>
    </row>
    <row r="117" spans="1:25" x14ac:dyDescent="0.3">
      <c r="A117" t="s">
        <v>407</v>
      </c>
      <c r="B117" s="1">
        <v>45846</v>
      </c>
      <c r="C117" t="s">
        <v>408</v>
      </c>
      <c r="D117" t="s">
        <v>3614</v>
      </c>
      <c r="E117" s="1">
        <v>45852</v>
      </c>
      <c r="F117" t="s">
        <v>115</v>
      </c>
      <c r="G117" t="s">
        <v>66</v>
      </c>
      <c r="H117" t="s">
        <v>114</v>
      </c>
      <c r="I117" t="s">
        <v>2623</v>
      </c>
      <c r="J117" t="s">
        <v>2691</v>
      </c>
      <c r="K117" t="s">
        <v>25</v>
      </c>
      <c r="L117">
        <v>54</v>
      </c>
      <c r="M117">
        <v>1</v>
      </c>
      <c r="N117">
        <v>10</v>
      </c>
      <c r="O117" t="s">
        <v>409</v>
      </c>
      <c r="P117" t="s">
        <v>33</v>
      </c>
      <c r="Q117" t="s">
        <v>70</v>
      </c>
      <c r="R117" t="s">
        <v>32</v>
      </c>
      <c r="S117" t="s">
        <v>116</v>
      </c>
      <c r="T117">
        <v>2</v>
      </c>
      <c r="U117">
        <v>388.1</v>
      </c>
      <c r="V117">
        <v>276.12</v>
      </c>
      <c r="W117">
        <v>6</v>
      </c>
      <c r="X117" t="s">
        <v>45</v>
      </c>
      <c r="Y117">
        <v>2025</v>
      </c>
    </row>
    <row r="118" spans="1:25" x14ac:dyDescent="0.3">
      <c r="A118" t="s">
        <v>410</v>
      </c>
      <c r="B118" s="1">
        <v>45973</v>
      </c>
      <c r="C118" t="s">
        <v>411</v>
      </c>
      <c r="D118" t="s">
        <v>3613</v>
      </c>
      <c r="E118" s="1">
        <v>45975</v>
      </c>
      <c r="F118" t="s">
        <v>56</v>
      </c>
      <c r="G118" t="s">
        <v>54</v>
      </c>
      <c r="H118" t="s">
        <v>55</v>
      </c>
      <c r="I118" t="s">
        <v>2652</v>
      </c>
      <c r="J118" t="s">
        <v>2688</v>
      </c>
      <c r="K118" t="s">
        <v>52</v>
      </c>
      <c r="L118">
        <v>60</v>
      </c>
      <c r="M118">
        <v>4</v>
      </c>
      <c r="N118">
        <v>20</v>
      </c>
      <c r="O118" t="s">
        <v>270</v>
      </c>
      <c r="P118" t="s">
        <v>44</v>
      </c>
      <c r="Q118" t="s">
        <v>42</v>
      </c>
      <c r="R118" t="s">
        <v>62</v>
      </c>
      <c r="S118" t="s">
        <v>57</v>
      </c>
      <c r="T118">
        <v>4</v>
      </c>
      <c r="U118">
        <v>584.17999999999995</v>
      </c>
      <c r="V118">
        <v>1537.11</v>
      </c>
      <c r="W118">
        <v>2</v>
      </c>
      <c r="X118" t="s">
        <v>94</v>
      </c>
      <c r="Y118">
        <v>2025</v>
      </c>
    </row>
    <row r="119" spans="1:25" x14ac:dyDescent="0.3">
      <c r="A119" t="s">
        <v>412</v>
      </c>
      <c r="B119" s="1">
        <v>46042</v>
      </c>
      <c r="C119" t="s">
        <v>413</v>
      </c>
      <c r="D119" t="s">
        <v>3612</v>
      </c>
      <c r="E119" s="1">
        <v>46043</v>
      </c>
      <c r="F119" t="s">
        <v>140</v>
      </c>
      <c r="G119" t="s">
        <v>38</v>
      </c>
      <c r="H119" t="s">
        <v>139</v>
      </c>
      <c r="I119" t="s">
        <v>2625</v>
      </c>
      <c r="J119" t="s">
        <v>2667</v>
      </c>
      <c r="K119" t="s">
        <v>52</v>
      </c>
      <c r="L119">
        <v>38</v>
      </c>
      <c r="M119">
        <v>2</v>
      </c>
      <c r="N119">
        <v>15</v>
      </c>
      <c r="O119" t="s">
        <v>414</v>
      </c>
      <c r="P119" t="s">
        <v>33</v>
      </c>
      <c r="Q119" t="s">
        <v>117</v>
      </c>
      <c r="R119" t="s">
        <v>43</v>
      </c>
      <c r="S119" t="s">
        <v>141</v>
      </c>
      <c r="T119">
        <v>4</v>
      </c>
      <c r="U119">
        <v>247.48</v>
      </c>
      <c r="V119">
        <v>297.77999999999997</v>
      </c>
      <c r="W119">
        <v>1</v>
      </c>
      <c r="X119" t="s">
        <v>34</v>
      </c>
      <c r="Y119">
        <v>2026</v>
      </c>
    </row>
    <row r="120" spans="1:25" x14ac:dyDescent="0.3">
      <c r="A120" t="s">
        <v>415</v>
      </c>
      <c r="B120" s="1">
        <v>46034</v>
      </c>
      <c r="C120" t="s">
        <v>416</v>
      </c>
      <c r="D120" t="s">
        <v>3611</v>
      </c>
      <c r="E120" s="1">
        <v>46039</v>
      </c>
      <c r="F120" t="s">
        <v>2617</v>
      </c>
      <c r="G120" t="s">
        <v>27</v>
      </c>
      <c r="H120" t="s">
        <v>28</v>
      </c>
      <c r="I120" t="s">
        <v>2632</v>
      </c>
      <c r="J120" t="s">
        <v>2715</v>
      </c>
      <c r="K120" t="s">
        <v>52</v>
      </c>
      <c r="L120">
        <v>42</v>
      </c>
      <c r="M120">
        <v>4</v>
      </c>
      <c r="N120">
        <v>5</v>
      </c>
      <c r="O120" t="s">
        <v>417</v>
      </c>
      <c r="P120" t="s">
        <v>75</v>
      </c>
      <c r="Q120" t="s">
        <v>58</v>
      </c>
      <c r="R120" t="s">
        <v>32</v>
      </c>
      <c r="S120" t="s">
        <v>30</v>
      </c>
      <c r="T120">
        <v>4</v>
      </c>
      <c r="U120">
        <v>762.62</v>
      </c>
      <c r="V120">
        <v>1818.47</v>
      </c>
      <c r="W120">
        <v>5</v>
      </c>
      <c r="X120" t="s">
        <v>34</v>
      </c>
      <c r="Y120">
        <v>2026</v>
      </c>
    </row>
    <row r="121" spans="1:25" x14ac:dyDescent="0.3">
      <c r="A121" t="s">
        <v>418</v>
      </c>
      <c r="B121" s="1">
        <v>46138</v>
      </c>
      <c r="C121" t="s">
        <v>419</v>
      </c>
      <c r="D121" t="s">
        <v>3610</v>
      </c>
      <c r="E121" s="1">
        <v>46142</v>
      </c>
      <c r="F121" t="s">
        <v>122</v>
      </c>
      <c r="G121" t="s">
        <v>120</v>
      </c>
      <c r="H121" t="s">
        <v>121</v>
      </c>
      <c r="I121" t="s">
        <v>2663</v>
      </c>
      <c r="J121" t="s">
        <v>2670</v>
      </c>
      <c r="K121" t="s">
        <v>52</v>
      </c>
      <c r="L121">
        <v>48</v>
      </c>
      <c r="M121">
        <v>2</v>
      </c>
      <c r="N121">
        <v>10</v>
      </c>
      <c r="O121" t="s">
        <v>420</v>
      </c>
      <c r="P121" t="s">
        <v>75</v>
      </c>
      <c r="Q121" t="s">
        <v>58</v>
      </c>
      <c r="R121" t="s">
        <v>71</v>
      </c>
      <c r="S121" t="s">
        <v>123</v>
      </c>
      <c r="T121">
        <v>3</v>
      </c>
      <c r="U121">
        <v>515.66</v>
      </c>
      <c r="V121">
        <v>528.78</v>
      </c>
      <c r="W121">
        <v>4</v>
      </c>
      <c r="X121" t="s">
        <v>49</v>
      </c>
      <c r="Y121">
        <v>2026</v>
      </c>
    </row>
    <row r="122" spans="1:25" x14ac:dyDescent="0.3">
      <c r="A122" t="s">
        <v>421</v>
      </c>
      <c r="B122" s="1">
        <v>46036</v>
      </c>
      <c r="C122" t="s">
        <v>422</v>
      </c>
      <c r="D122" t="s">
        <v>3609</v>
      </c>
      <c r="E122" s="1">
        <v>46040</v>
      </c>
      <c r="F122" t="s">
        <v>122</v>
      </c>
      <c r="G122" t="s">
        <v>120</v>
      </c>
      <c r="H122" t="s">
        <v>121</v>
      </c>
      <c r="I122" t="s">
        <v>2672</v>
      </c>
      <c r="J122" t="s">
        <v>2716</v>
      </c>
      <c r="K122" t="s">
        <v>25</v>
      </c>
      <c r="L122">
        <v>34</v>
      </c>
      <c r="M122">
        <v>2</v>
      </c>
      <c r="N122">
        <v>25</v>
      </c>
      <c r="O122" t="s">
        <v>180</v>
      </c>
      <c r="P122" t="s">
        <v>44</v>
      </c>
      <c r="Q122" t="s">
        <v>70</v>
      </c>
      <c r="R122" t="s">
        <v>62</v>
      </c>
      <c r="S122" t="s">
        <v>123</v>
      </c>
      <c r="T122">
        <v>3</v>
      </c>
      <c r="U122">
        <v>961.36</v>
      </c>
      <c r="V122">
        <v>1066.18</v>
      </c>
      <c r="W122">
        <v>4</v>
      </c>
      <c r="X122" t="s">
        <v>34</v>
      </c>
      <c r="Y122">
        <v>2026</v>
      </c>
    </row>
    <row r="123" spans="1:25" x14ac:dyDescent="0.3">
      <c r="A123" t="s">
        <v>423</v>
      </c>
      <c r="B123" s="1">
        <v>46048</v>
      </c>
      <c r="C123" t="s">
        <v>424</v>
      </c>
      <c r="D123" t="s">
        <v>3608</v>
      </c>
      <c r="E123" s="1">
        <v>46055</v>
      </c>
      <c r="F123" t="s">
        <v>56</v>
      </c>
      <c r="G123" t="s">
        <v>54</v>
      </c>
      <c r="H123" t="s">
        <v>55</v>
      </c>
      <c r="I123" t="s">
        <v>2627</v>
      </c>
      <c r="J123" t="s">
        <v>2717</v>
      </c>
      <c r="K123" t="s">
        <v>25</v>
      </c>
      <c r="L123">
        <v>55</v>
      </c>
      <c r="M123">
        <v>5</v>
      </c>
      <c r="N123">
        <v>25</v>
      </c>
      <c r="O123" t="s">
        <v>425</v>
      </c>
      <c r="P123" t="s">
        <v>44</v>
      </c>
      <c r="Q123" t="s">
        <v>117</v>
      </c>
      <c r="R123" t="s">
        <v>43</v>
      </c>
      <c r="S123" t="s">
        <v>57</v>
      </c>
      <c r="T123">
        <v>3</v>
      </c>
      <c r="U123">
        <v>451.63</v>
      </c>
      <c r="V123">
        <v>1011.27</v>
      </c>
      <c r="W123">
        <v>7</v>
      </c>
      <c r="X123" t="s">
        <v>34</v>
      </c>
      <c r="Y123">
        <v>2026</v>
      </c>
    </row>
    <row r="124" spans="1:25" x14ac:dyDescent="0.3">
      <c r="A124" t="s">
        <v>426</v>
      </c>
      <c r="B124" s="1">
        <v>45811</v>
      </c>
      <c r="C124" t="s">
        <v>427</v>
      </c>
      <c r="D124" t="s">
        <v>3607</v>
      </c>
      <c r="E124" s="1">
        <v>45813</v>
      </c>
      <c r="F124" t="s">
        <v>100</v>
      </c>
      <c r="G124" t="s">
        <v>98</v>
      </c>
      <c r="H124" t="s">
        <v>99</v>
      </c>
      <c r="I124" t="s">
        <v>2656</v>
      </c>
      <c r="J124" t="s">
        <v>2683</v>
      </c>
      <c r="K124" t="s">
        <v>25</v>
      </c>
      <c r="L124">
        <v>28</v>
      </c>
      <c r="M124">
        <v>3</v>
      </c>
      <c r="N124">
        <v>15</v>
      </c>
      <c r="O124" t="s">
        <v>428</v>
      </c>
      <c r="P124" t="s">
        <v>33</v>
      </c>
      <c r="Q124" t="s">
        <v>31</v>
      </c>
      <c r="R124" t="s">
        <v>62</v>
      </c>
      <c r="S124" t="s">
        <v>101</v>
      </c>
      <c r="T124">
        <v>2</v>
      </c>
      <c r="U124">
        <v>13.21</v>
      </c>
      <c r="V124">
        <v>22.23</v>
      </c>
      <c r="W124">
        <v>2</v>
      </c>
      <c r="X124" t="s">
        <v>49</v>
      </c>
      <c r="Y124">
        <v>2025</v>
      </c>
    </row>
    <row r="125" spans="1:25" x14ac:dyDescent="0.3">
      <c r="A125" t="s">
        <v>429</v>
      </c>
      <c r="B125" s="1">
        <v>45773</v>
      </c>
      <c r="C125" t="s">
        <v>430</v>
      </c>
      <c r="D125" t="s">
        <v>3606</v>
      </c>
      <c r="E125" s="1">
        <v>45774</v>
      </c>
      <c r="F125" t="s">
        <v>115</v>
      </c>
      <c r="G125" t="s">
        <v>66</v>
      </c>
      <c r="H125" t="s">
        <v>114</v>
      </c>
      <c r="I125" t="s">
        <v>2654</v>
      </c>
      <c r="J125" t="s">
        <v>2655</v>
      </c>
      <c r="K125" t="s">
        <v>25</v>
      </c>
      <c r="L125">
        <v>53</v>
      </c>
      <c r="M125">
        <v>5</v>
      </c>
      <c r="N125">
        <v>5</v>
      </c>
      <c r="O125" t="s">
        <v>431</v>
      </c>
      <c r="P125" t="s">
        <v>44</v>
      </c>
      <c r="Q125" t="s">
        <v>117</v>
      </c>
      <c r="R125" t="s">
        <v>43</v>
      </c>
      <c r="S125" t="s">
        <v>116</v>
      </c>
      <c r="T125">
        <v>1</v>
      </c>
      <c r="U125">
        <v>773.09</v>
      </c>
      <c r="V125">
        <v>2088.58</v>
      </c>
      <c r="W125">
        <v>1</v>
      </c>
      <c r="X125" t="s">
        <v>49</v>
      </c>
      <c r="Y125">
        <v>2025</v>
      </c>
    </row>
    <row r="126" spans="1:25" x14ac:dyDescent="0.3">
      <c r="A126" t="s">
        <v>432</v>
      </c>
      <c r="B126" s="1">
        <v>46123</v>
      </c>
      <c r="C126" t="s">
        <v>433</v>
      </c>
      <c r="D126" t="s">
        <v>3605</v>
      </c>
      <c r="E126" s="1">
        <v>46125</v>
      </c>
      <c r="F126" t="s">
        <v>140</v>
      </c>
      <c r="G126" t="s">
        <v>38</v>
      </c>
      <c r="H126" t="s">
        <v>139</v>
      </c>
      <c r="I126" t="s">
        <v>2675</v>
      </c>
      <c r="J126" t="s">
        <v>2710</v>
      </c>
      <c r="K126" t="s">
        <v>25</v>
      </c>
      <c r="L126">
        <v>54</v>
      </c>
      <c r="M126">
        <v>4</v>
      </c>
      <c r="N126">
        <v>30</v>
      </c>
      <c r="O126" t="s">
        <v>434</v>
      </c>
      <c r="P126" t="s">
        <v>44</v>
      </c>
      <c r="Q126" t="s">
        <v>70</v>
      </c>
      <c r="R126" t="s">
        <v>43</v>
      </c>
      <c r="S126" t="s">
        <v>141</v>
      </c>
      <c r="T126">
        <v>1</v>
      </c>
      <c r="U126">
        <v>952.95</v>
      </c>
      <c r="V126">
        <v>1921.72</v>
      </c>
      <c r="W126">
        <v>2</v>
      </c>
      <c r="X126" t="s">
        <v>49</v>
      </c>
      <c r="Y126">
        <v>2026</v>
      </c>
    </row>
    <row r="127" spans="1:25" x14ac:dyDescent="0.3">
      <c r="A127" t="s">
        <v>435</v>
      </c>
      <c r="B127" s="1">
        <v>45431</v>
      </c>
      <c r="C127" t="s">
        <v>436</v>
      </c>
      <c r="D127" t="s">
        <v>3604</v>
      </c>
      <c r="E127" s="1">
        <v>45433</v>
      </c>
      <c r="F127" t="s">
        <v>100</v>
      </c>
      <c r="G127" t="s">
        <v>98</v>
      </c>
      <c r="H127" t="s">
        <v>99</v>
      </c>
      <c r="I127" t="s">
        <v>2625</v>
      </c>
      <c r="J127" t="s">
        <v>2651</v>
      </c>
      <c r="K127" t="s">
        <v>25</v>
      </c>
      <c r="L127">
        <v>29</v>
      </c>
      <c r="M127">
        <v>1</v>
      </c>
      <c r="N127">
        <v>20</v>
      </c>
      <c r="O127" t="s">
        <v>437</v>
      </c>
      <c r="P127" t="s">
        <v>33</v>
      </c>
      <c r="Q127" t="s">
        <v>42</v>
      </c>
      <c r="R127" t="s">
        <v>62</v>
      </c>
      <c r="S127" t="s">
        <v>101</v>
      </c>
      <c r="T127">
        <v>5</v>
      </c>
      <c r="U127">
        <v>307.58999999999997</v>
      </c>
      <c r="V127">
        <v>135.82</v>
      </c>
      <c r="W127">
        <v>2</v>
      </c>
      <c r="X127" t="s">
        <v>49</v>
      </c>
      <c r="Y127">
        <v>2024</v>
      </c>
    </row>
    <row r="128" spans="1:25" x14ac:dyDescent="0.3">
      <c r="A128" t="s">
        <v>438</v>
      </c>
      <c r="B128" s="1">
        <v>45613</v>
      </c>
      <c r="C128" t="s">
        <v>439</v>
      </c>
      <c r="D128" t="s">
        <v>3603</v>
      </c>
      <c r="E128" s="1">
        <v>45617</v>
      </c>
      <c r="F128" t="s">
        <v>140</v>
      </c>
      <c r="G128" t="s">
        <v>38</v>
      </c>
      <c r="H128" t="s">
        <v>139</v>
      </c>
      <c r="I128" t="s">
        <v>2654</v>
      </c>
      <c r="J128" t="s">
        <v>2684</v>
      </c>
      <c r="K128" t="s">
        <v>52</v>
      </c>
      <c r="L128">
        <v>52</v>
      </c>
      <c r="M128">
        <v>3</v>
      </c>
      <c r="N128">
        <v>15</v>
      </c>
      <c r="O128" t="s">
        <v>440</v>
      </c>
      <c r="P128" t="s">
        <v>75</v>
      </c>
      <c r="Q128" t="s">
        <v>42</v>
      </c>
      <c r="R128" t="s">
        <v>32</v>
      </c>
      <c r="S128" t="s">
        <v>141</v>
      </c>
      <c r="T128">
        <v>4</v>
      </c>
      <c r="U128">
        <v>818.3</v>
      </c>
      <c r="V128">
        <v>1080.3599999999999</v>
      </c>
      <c r="W128">
        <v>4</v>
      </c>
      <c r="X128" t="s">
        <v>94</v>
      </c>
      <c r="Y128">
        <v>2024</v>
      </c>
    </row>
    <row r="129" spans="1:25" x14ac:dyDescent="0.3">
      <c r="A129" t="s">
        <v>441</v>
      </c>
      <c r="B129" s="1">
        <v>45647</v>
      </c>
      <c r="C129" t="s">
        <v>442</v>
      </c>
      <c r="D129" t="s">
        <v>3602</v>
      </c>
      <c r="E129" s="1">
        <v>45652</v>
      </c>
      <c r="F129" t="s">
        <v>140</v>
      </c>
      <c r="G129" t="s">
        <v>38</v>
      </c>
      <c r="H129" t="s">
        <v>139</v>
      </c>
      <c r="I129" t="s">
        <v>2635</v>
      </c>
      <c r="J129" t="s">
        <v>2677</v>
      </c>
      <c r="K129" t="s">
        <v>25</v>
      </c>
      <c r="L129">
        <v>23</v>
      </c>
      <c r="M129">
        <v>1</v>
      </c>
      <c r="N129">
        <v>10</v>
      </c>
      <c r="O129" t="s">
        <v>443</v>
      </c>
      <c r="P129" t="s">
        <v>75</v>
      </c>
      <c r="Q129" t="s">
        <v>117</v>
      </c>
      <c r="R129" t="s">
        <v>62</v>
      </c>
      <c r="S129" t="s">
        <v>141</v>
      </c>
      <c r="T129">
        <v>5</v>
      </c>
      <c r="U129">
        <v>310.38</v>
      </c>
      <c r="V129">
        <v>225.49</v>
      </c>
      <c r="W129">
        <v>5</v>
      </c>
      <c r="X129" t="s">
        <v>94</v>
      </c>
      <c r="Y129">
        <v>2024</v>
      </c>
    </row>
    <row r="130" spans="1:25" x14ac:dyDescent="0.3">
      <c r="A130" t="s">
        <v>444</v>
      </c>
      <c r="B130" s="1">
        <v>45632</v>
      </c>
      <c r="C130" t="s">
        <v>445</v>
      </c>
      <c r="D130" t="s">
        <v>3601</v>
      </c>
      <c r="E130" s="1">
        <v>45638</v>
      </c>
      <c r="F130" t="s">
        <v>56</v>
      </c>
      <c r="G130" t="s">
        <v>54</v>
      </c>
      <c r="H130" t="s">
        <v>55</v>
      </c>
      <c r="I130" t="s">
        <v>2665</v>
      </c>
      <c r="J130" t="s">
        <v>2666</v>
      </c>
      <c r="K130" t="s">
        <v>25</v>
      </c>
      <c r="L130">
        <v>63</v>
      </c>
      <c r="M130">
        <v>3</v>
      </c>
      <c r="N130">
        <v>25</v>
      </c>
      <c r="O130" t="s">
        <v>446</v>
      </c>
      <c r="P130" t="s">
        <v>75</v>
      </c>
      <c r="Q130" t="s">
        <v>42</v>
      </c>
      <c r="R130" t="s">
        <v>43</v>
      </c>
      <c r="S130" t="s">
        <v>57</v>
      </c>
      <c r="T130">
        <v>4</v>
      </c>
      <c r="U130">
        <v>903.29</v>
      </c>
      <c r="V130">
        <v>1427.85</v>
      </c>
      <c r="W130">
        <v>6</v>
      </c>
      <c r="X130" t="s">
        <v>94</v>
      </c>
      <c r="Y130">
        <v>2024</v>
      </c>
    </row>
    <row r="131" spans="1:25" x14ac:dyDescent="0.3">
      <c r="A131" t="s">
        <v>447</v>
      </c>
      <c r="B131" s="1">
        <v>45992</v>
      </c>
      <c r="C131" t="s">
        <v>448</v>
      </c>
      <c r="D131" t="s">
        <v>3600</v>
      </c>
      <c r="E131" s="1">
        <v>45994</v>
      </c>
      <c r="F131" t="s">
        <v>128</v>
      </c>
      <c r="G131" t="s">
        <v>98</v>
      </c>
      <c r="H131" t="s">
        <v>127</v>
      </c>
      <c r="I131" t="s">
        <v>2629</v>
      </c>
      <c r="J131" t="s">
        <v>2630</v>
      </c>
      <c r="K131" t="s">
        <v>25</v>
      </c>
      <c r="L131">
        <v>20</v>
      </c>
      <c r="M131">
        <v>2</v>
      </c>
      <c r="N131">
        <v>5</v>
      </c>
      <c r="O131" t="s">
        <v>449</v>
      </c>
      <c r="P131" t="s">
        <v>44</v>
      </c>
      <c r="Q131" t="s">
        <v>70</v>
      </c>
      <c r="R131" t="s">
        <v>71</v>
      </c>
      <c r="S131" t="s">
        <v>129</v>
      </c>
      <c r="T131">
        <v>2</v>
      </c>
      <c r="U131">
        <v>356.72</v>
      </c>
      <c r="V131">
        <v>562.77</v>
      </c>
      <c r="W131">
        <v>2</v>
      </c>
      <c r="X131" t="s">
        <v>94</v>
      </c>
      <c r="Y131">
        <v>2025</v>
      </c>
    </row>
    <row r="132" spans="1:25" x14ac:dyDescent="0.3">
      <c r="A132" t="s">
        <v>450</v>
      </c>
      <c r="B132" s="1">
        <v>45760</v>
      </c>
      <c r="C132" t="s">
        <v>451</v>
      </c>
      <c r="D132" t="s">
        <v>3599</v>
      </c>
      <c r="E132" s="1">
        <v>45764</v>
      </c>
      <c r="F132" t="s">
        <v>115</v>
      </c>
      <c r="G132" t="s">
        <v>66</v>
      </c>
      <c r="H132" t="s">
        <v>114</v>
      </c>
      <c r="I132" t="s">
        <v>2629</v>
      </c>
      <c r="J132" t="s">
        <v>2630</v>
      </c>
      <c r="K132" t="s">
        <v>52</v>
      </c>
      <c r="L132">
        <v>29</v>
      </c>
      <c r="M132">
        <v>3</v>
      </c>
      <c r="N132">
        <v>15</v>
      </c>
      <c r="O132" t="s">
        <v>452</v>
      </c>
      <c r="P132" t="s">
        <v>33</v>
      </c>
      <c r="Q132" t="s">
        <v>42</v>
      </c>
      <c r="R132" t="s">
        <v>32</v>
      </c>
      <c r="S132" t="s">
        <v>116</v>
      </c>
      <c r="T132">
        <v>5</v>
      </c>
      <c r="U132">
        <v>346.09</v>
      </c>
      <c r="V132">
        <v>480.72</v>
      </c>
      <c r="W132">
        <v>4</v>
      </c>
      <c r="X132" t="s">
        <v>49</v>
      </c>
      <c r="Y132">
        <v>2025</v>
      </c>
    </row>
    <row r="133" spans="1:25" x14ac:dyDescent="0.3">
      <c r="A133" t="s">
        <v>453</v>
      </c>
      <c r="B133" s="1">
        <v>45958</v>
      </c>
      <c r="C133" t="s">
        <v>454</v>
      </c>
      <c r="D133" t="s">
        <v>3598</v>
      </c>
      <c r="E133" s="1">
        <v>45963</v>
      </c>
      <c r="F133" t="s">
        <v>122</v>
      </c>
      <c r="G133" t="s">
        <v>120</v>
      </c>
      <c r="H133" t="s">
        <v>121</v>
      </c>
      <c r="I133" t="s">
        <v>2623</v>
      </c>
      <c r="J133" t="s">
        <v>2624</v>
      </c>
      <c r="K133" t="s">
        <v>52</v>
      </c>
      <c r="L133">
        <v>60</v>
      </c>
      <c r="M133">
        <v>3</v>
      </c>
      <c r="N133">
        <v>20</v>
      </c>
      <c r="O133" t="s">
        <v>455</v>
      </c>
      <c r="P133" t="s">
        <v>44</v>
      </c>
      <c r="Q133" t="s">
        <v>31</v>
      </c>
      <c r="R133" t="s">
        <v>71</v>
      </c>
      <c r="S133" t="s">
        <v>123</v>
      </c>
      <c r="T133">
        <v>3</v>
      </c>
      <c r="U133">
        <v>257.86</v>
      </c>
      <c r="V133">
        <v>371.99</v>
      </c>
      <c r="W133">
        <v>5</v>
      </c>
      <c r="X133" t="s">
        <v>94</v>
      </c>
      <c r="Y133">
        <v>2025</v>
      </c>
    </row>
    <row r="134" spans="1:25" x14ac:dyDescent="0.3">
      <c r="A134" t="s">
        <v>456</v>
      </c>
      <c r="B134" s="1">
        <v>46056</v>
      </c>
      <c r="C134" t="s">
        <v>457</v>
      </c>
      <c r="D134" t="s">
        <v>3597</v>
      </c>
      <c r="E134" s="1">
        <v>46061</v>
      </c>
      <c r="F134" t="s">
        <v>100</v>
      </c>
      <c r="G134" t="s">
        <v>98</v>
      </c>
      <c r="H134" t="s">
        <v>99</v>
      </c>
      <c r="I134" t="s">
        <v>2622</v>
      </c>
      <c r="J134" t="s">
        <v>2705</v>
      </c>
      <c r="K134" t="s">
        <v>52</v>
      </c>
      <c r="L134">
        <v>21</v>
      </c>
      <c r="M134">
        <v>3</v>
      </c>
      <c r="N134">
        <v>0</v>
      </c>
      <c r="O134" t="s">
        <v>458</v>
      </c>
      <c r="P134" t="s">
        <v>75</v>
      </c>
      <c r="Q134" t="s">
        <v>58</v>
      </c>
      <c r="R134" t="s">
        <v>62</v>
      </c>
      <c r="S134" t="s">
        <v>101</v>
      </c>
      <c r="T134">
        <v>5</v>
      </c>
      <c r="U134">
        <v>566.97</v>
      </c>
      <c r="V134">
        <v>921.05</v>
      </c>
      <c r="W134">
        <v>5</v>
      </c>
      <c r="X134" t="s">
        <v>34</v>
      </c>
      <c r="Y134">
        <v>2026</v>
      </c>
    </row>
    <row r="135" spans="1:25" x14ac:dyDescent="0.3">
      <c r="A135" t="s">
        <v>459</v>
      </c>
      <c r="B135" s="1">
        <v>45557</v>
      </c>
      <c r="C135" t="s">
        <v>460</v>
      </c>
      <c r="D135" t="s">
        <v>3596</v>
      </c>
      <c r="E135" s="1">
        <v>45564</v>
      </c>
      <c r="F135" t="s">
        <v>115</v>
      </c>
      <c r="G135" t="s">
        <v>66</v>
      </c>
      <c r="H135" t="s">
        <v>114</v>
      </c>
      <c r="I135" t="s">
        <v>2629</v>
      </c>
      <c r="J135" t="s">
        <v>2709</v>
      </c>
      <c r="K135" t="s">
        <v>52</v>
      </c>
      <c r="L135">
        <v>56</v>
      </c>
      <c r="M135">
        <v>1</v>
      </c>
      <c r="N135">
        <v>25</v>
      </c>
      <c r="O135" t="s">
        <v>461</v>
      </c>
      <c r="P135" t="s">
        <v>75</v>
      </c>
      <c r="Q135" t="s">
        <v>31</v>
      </c>
      <c r="R135" t="s">
        <v>43</v>
      </c>
      <c r="S135" t="s">
        <v>116</v>
      </c>
      <c r="T135">
        <v>2</v>
      </c>
      <c r="U135">
        <v>109.69</v>
      </c>
      <c r="V135">
        <v>42.25</v>
      </c>
      <c r="W135">
        <v>7</v>
      </c>
      <c r="X135" t="s">
        <v>45</v>
      </c>
      <c r="Y135">
        <v>2024</v>
      </c>
    </row>
    <row r="136" spans="1:25" x14ac:dyDescent="0.3">
      <c r="A136" t="s">
        <v>462</v>
      </c>
      <c r="B136" s="1">
        <v>45849</v>
      </c>
      <c r="C136" t="s">
        <v>463</v>
      </c>
      <c r="D136" t="s">
        <v>3595</v>
      </c>
      <c r="E136" s="1">
        <v>45855</v>
      </c>
      <c r="F136" t="s">
        <v>128</v>
      </c>
      <c r="G136" t="s">
        <v>98</v>
      </c>
      <c r="H136" t="s">
        <v>127</v>
      </c>
      <c r="I136" t="s">
        <v>2637</v>
      </c>
      <c r="J136" t="s">
        <v>2649</v>
      </c>
      <c r="K136" t="s">
        <v>52</v>
      </c>
      <c r="L136">
        <v>45</v>
      </c>
      <c r="M136">
        <v>5</v>
      </c>
      <c r="N136">
        <v>10</v>
      </c>
      <c r="O136" t="s">
        <v>464</v>
      </c>
      <c r="P136" t="s">
        <v>33</v>
      </c>
      <c r="Q136" t="s">
        <v>31</v>
      </c>
      <c r="R136" t="s">
        <v>43</v>
      </c>
      <c r="S136" t="s">
        <v>129</v>
      </c>
      <c r="T136">
        <v>5</v>
      </c>
      <c r="U136">
        <v>694.87</v>
      </c>
      <c r="V136">
        <v>2472.0700000000002</v>
      </c>
      <c r="W136">
        <v>6</v>
      </c>
      <c r="X136" t="s">
        <v>45</v>
      </c>
      <c r="Y136">
        <v>2025</v>
      </c>
    </row>
    <row r="137" spans="1:25" x14ac:dyDescent="0.3">
      <c r="A137" t="s">
        <v>465</v>
      </c>
      <c r="B137" s="1">
        <v>46129</v>
      </c>
      <c r="C137" t="s">
        <v>466</v>
      </c>
      <c r="D137" t="s">
        <v>3594</v>
      </c>
      <c r="E137" s="1">
        <v>46133</v>
      </c>
      <c r="F137" t="s">
        <v>68</v>
      </c>
      <c r="G137" t="s">
        <v>66</v>
      </c>
      <c r="H137" t="s">
        <v>67</v>
      </c>
      <c r="I137" t="s">
        <v>2663</v>
      </c>
      <c r="J137" t="s">
        <v>2670</v>
      </c>
      <c r="K137" t="s">
        <v>52</v>
      </c>
      <c r="L137">
        <v>37</v>
      </c>
      <c r="M137">
        <v>3</v>
      </c>
      <c r="N137">
        <v>0</v>
      </c>
      <c r="O137" t="s">
        <v>467</v>
      </c>
      <c r="P137" t="s">
        <v>44</v>
      </c>
      <c r="Q137" t="s">
        <v>70</v>
      </c>
      <c r="R137" t="s">
        <v>71</v>
      </c>
      <c r="S137" t="s">
        <v>69</v>
      </c>
      <c r="T137">
        <v>4</v>
      </c>
      <c r="U137">
        <v>867.99</v>
      </c>
      <c r="V137">
        <v>1798.51</v>
      </c>
      <c r="W137">
        <v>4</v>
      </c>
      <c r="X137" t="s">
        <v>49</v>
      </c>
      <c r="Y137">
        <v>2026</v>
      </c>
    </row>
    <row r="138" spans="1:25" x14ac:dyDescent="0.3">
      <c r="A138" t="s">
        <v>468</v>
      </c>
      <c r="B138" s="1">
        <v>45876</v>
      </c>
      <c r="C138" t="s">
        <v>469</v>
      </c>
      <c r="D138" t="s">
        <v>3593</v>
      </c>
      <c r="E138" s="1">
        <v>45878</v>
      </c>
      <c r="F138" t="s">
        <v>115</v>
      </c>
      <c r="G138" t="s">
        <v>66</v>
      </c>
      <c r="H138" t="s">
        <v>114</v>
      </c>
      <c r="I138" t="s">
        <v>2625</v>
      </c>
      <c r="J138" t="s">
        <v>2651</v>
      </c>
      <c r="K138" t="s">
        <v>52</v>
      </c>
      <c r="L138">
        <v>38</v>
      </c>
      <c r="M138">
        <v>2</v>
      </c>
      <c r="N138">
        <v>10</v>
      </c>
      <c r="O138" t="s">
        <v>470</v>
      </c>
      <c r="P138" t="s">
        <v>75</v>
      </c>
      <c r="Q138" t="s">
        <v>58</v>
      </c>
      <c r="R138" t="s">
        <v>62</v>
      </c>
      <c r="S138" t="s">
        <v>116</v>
      </c>
      <c r="T138">
        <v>1</v>
      </c>
      <c r="U138">
        <v>533.57000000000005</v>
      </c>
      <c r="V138">
        <v>737.78</v>
      </c>
      <c r="W138">
        <v>2</v>
      </c>
      <c r="X138" t="s">
        <v>45</v>
      </c>
      <c r="Y138">
        <v>2025</v>
      </c>
    </row>
    <row r="139" spans="1:25" x14ac:dyDescent="0.3">
      <c r="A139" t="s">
        <v>471</v>
      </c>
      <c r="B139" s="1">
        <v>46036</v>
      </c>
      <c r="C139" t="s">
        <v>472</v>
      </c>
      <c r="D139" t="s">
        <v>3592</v>
      </c>
      <c r="E139" s="1">
        <v>46039</v>
      </c>
      <c r="F139" t="s">
        <v>140</v>
      </c>
      <c r="G139" t="s">
        <v>38</v>
      </c>
      <c r="H139" t="s">
        <v>139</v>
      </c>
      <c r="I139" t="s">
        <v>2623</v>
      </c>
      <c r="J139" t="s">
        <v>2701</v>
      </c>
      <c r="K139" t="s">
        <v>52</v>
      </c>
      <c r="L139">
        <v>22</v>
      </c>
      <c r="M139">
        <v>4</v>
      </c>
      <c r="N139">
        <v>15</v>
      </c>
      <c r="O139" t="s">
        <v>473</v>
      </c>
      <c r="P139" t="s">
        <v>75</v>
      </c>
      <c r="Q139" t="s">
        <v>70</v>
      </c>
      <c r="R139" t="s">
        <v>32</v>
      </c>
      <c r="S139" t="s">
        <v>141</v>
      </c>
      <c r="T139">
        <v>1</v>
      </c>
      <c r="U139">
        <v>119.08</v>
      </c>
      <c r="V139">
        <v>288.19</v>
      </c>
      <c r="W139">
        <v>3</v>
      </c>
      <c r="X139" t="s">
        <v>34</v>
      </c>
      <c r="Y139">
        <v>2026</v>
      </c>
    </row>
    <row r="140" spans="1:25" x14ac:dyDescent="0.3">
      <c r="A140" t="s">
        <v>474</v>
      </c>
      <c r="B140" s="1">
        <v>46040</v>
      </c>
      <c r="C140" t="s">
        <v>475</v>
      </c>
      <c r="D140" t="s">
        <v>3591</v>
      </c>
      <c r="E140" s="1">
        <v>46041</v>
      </c>
      <c r="F140" t="s">
        <v>56</v>
      </c>
      <c r="G140" t="s">
        <v>54</v>
      </c>
      <c r="H140" t="s">
        <v>55</v>
      </c>
      <c r="I140" t="s">
        <v>2625</v>
      </c>
      <c r="J140" t="s">
        <v>2626</v>
      </c>
      <c r="K140" t="s">
        <v>52</v>
      </c>
      <c r="L140">
        <v>19</v>
      </c>
      <c r="M140">
        <v>5</v>
      </c>
      <c r="N140">
        <v>30</v>
      </c>
      <c r="O140" t="s">
        <v>476</v>
      </c>
      <c r="P140" t="s">
        <v>44</v>
      </c>
      <c r="Q140" t="s">
        <v>42</v>
      </c>
      <c r="R140" t="s">
        <v>62</v>
      </c>
      <c r="S140" t="s">
        <v>57</v>
      </c>
      <c r="T140">
        <v>4</v>
      </c>
      <c r="U140">
        <v>852.41</v>
      </c>
      <c r="V140">
        <v>2157.14</v>
      </c>
      <c r="W140">
        <v>1</v>
      </c>
      <c r="X140" t="s">
        <v>34</v>
      </c>
      <c r="Y140">
        <v>2026</v>
      </c>
    </row>
    <row r="141" spans="1:25" x14ac:dyDescent="0.3">
      <c r="A141" t="s">
        <v>477</v>
      </c>
      <c r="B141" s="1">
        <v>45761</v>
      </c>
      <c r="C141" t="s">
        <v>478</v>
      </c>
      <c r="D141" t="s">
        <v>3590</v>
      </c>
      <c r="E141" s="1">
        <v>45763</v>
      </c>
      <c r="F141" t="s">
        <v>40</v>
      </c>
      <c r="G141" t="s">
        <v>38</v>
      </c>
      <c r="H141" t="s">
        <v>39</v>
      </c>
      <c r="I141" t="s">
        <v>2679</v>
      </c>
      <c r="J141" t="s">
        <v>2680</v>
      </c>
      <c r="K141" t="s">
        <v>25</v>
      </c>
      <c r="L141">
        <v>50</v>
      </c>
      <c r="M141">
        <v>5</v>
      </c>
      <c r="N141">
        <v>25</v>
      </c>
      <c r="O141" t="s">
        <v>479</v>
      </c>
      <c r="P141" t="s">
        <v>33</v>
      </c>
      <c r="Q141" t="s">
        <v>70</v>
      </c>
      <c r="R141" t="s">
        <v>43</v>
      </c>
      <c r="S141" t="s">
        <v>41</v>
      </c>
      <c r="T141">
        <v>3</v>
      </c>
      <c r="U141">
        <v>508.13</v>
      </c>
      <c r="V141">
        <v>1020.7</v>
      </c>
      <c r="W141">
        <v>2</v>
      </c>
      <c r="X141" t="s">
        <v>49</v>
      </c>
      <c r="Y141">
        <v>2025</v>
      </c>
    </row>
    <row r="142" spans="1:25" x14ac:dyDescent="0.3">
      <c r="A142" t="s">
        <v>480</v>
      </c>
      <c r="B142" s="1">
        <v>46190</v>
      </c>
      <c r="C142" t="s">
        <v>481</v>
      </c>
      <c r="D142" t="s">
        <v>3589</v>
      </c>
      <c r="E142" s="1">
        <v>46195</v>
      </c>
      <c r="F142" t="s">
        <v>122</v>
      </c>
      <c r="G142" t="s">
        <v>120</v>
      </c>
      <c r="H142" t="s">
        <v>121</v>
      </c>
      <c r="I142" t="s">
        <v>2627</v>
      </c>
      <c r="J142" t="s">
        <v>2717</v>
      </c>
      <c r="K142" t="s">
        <v>25</v>
      </c>
      <c r="L142">
        <v>27</v>
      </c>
      <c r="M142">
        <v>4</v>
      </c>
      <c r="N142">
        <v>0</v>
      </c>
      <c r="O142" t="s">
        <v>81</v>
      </c>
      <c r="P142" t="s">
        <v>44</v>
      </c>
      <c r="Q142" t="s">
        <v>70</v>
      </c>
      <c r="R142" t="s">
        <v>43</v>
      </c>
      <c r="S142" t="s">
        <v>123</v>
      </c>
      <c r="T142">
        <v>3</v>
      </c>
      <c r="U142">
        <v>582.79</v>
      </c>
      <c r="V142">
        <v>1416.81</v>
      </c>
      <c r="W142">
        <v>5</v>
      </c>
      <c r="X142" t="s">
        <v>49</v>
      </c>
      <c r="Y142">
        <v>2026</v>
      </c>
    </row>
    <row r="143" spans="1:25" x14ac:dyDescent="0.3">
      <c r="A143" t="s">
        <v>482</v>
      </c>
      <c r="B143" s="1">
        <v>45369</v>
      </c>
      <c r="C143" t="s">
        <v>483</v>
      </c>
      <c r="D143" t="s">
        <v>3588</v>
      </c>
      <c r="E143" s="1">
        <v>45373</v>
      </c>
      <c r="F143" t="s">
        <v>2617</v>
      </c>
      <c r="G143" t="s">
        <v>27</v>
      </c>
      <c r="H143" t="s">
        <v>28</v>
      </c>
      <c r="I143" t="s">
        <v>2661</v>
      </c>
      <c r="J143" t="s">
        <v>2671</v>
      </c>
      <c r="K143" t="s">
        <v>52</v>
      </c>
      <c r="L143">
        <v>28</v>
      </c>
      <c r="M143">
        <v>3</v>
      </c>
      <c r="N143">
        <v>25</v>
      </c>
      <c r="O143" t="s">
        <v>484</v>
      </c>
      <c r="P143" t="s">
        <v>75</v>
      </c>
      <c r="Q143" t="s">
        <v>42</v>
      </c>
      <c r="R143" t="s">
        <v>43</v>
      </c>
      <c r="S143" t="s">
        <v>30</v>
      </c>
      <c r="T143">
        <v>4</v>
      </c>
      <c r="U143">
        <v>123.99</v>
      </c>
      <c r="V143">
        <v>212.47</v>
      </c>
      <c r="W143">
        <v>4</v>
      </c>
      <c r="X143" t="s">
        <v>34</v>
      </c>
      <c r="Y143">
        <v>2024</v>
      </c>
    </row>
    <row r="144" spans="1:25" x14ac:dyDescent="0.3">
      <c r="A144" t="s">
        <v>485</v>
      </c>
      <c r="B144" s="1">
        <v>45864</v>
      </c>
      <c r="C144" t="s">
        <v>486</v>
      </c>
      <c r="D144" t="s">
        <v>3587</v>
      </c>
      <c r="E144" s="1">
        <v>45868</v>
      </c>
      <c r="F144" t="s">
        <v>40</v>
      </c>
      <c r="G144" t="s">
        <v>38</v>
      </c>
      <c r="H144" t="s">
        <v>39</v>
      </c>
      <c r="I144" t="s">
        <v>2668</v>
      </c>
      <c r="J144" t="s">
        <v>2669</v>
      </c>
      <c r="K144" t="s">
        <v>25</v>
      </c>
      <c r="L144">
        <v>61</v>
      </c>
      <c r="M144">
        <v>2</v>
      </c>
      <c r="N144">
        <v>15</v>
      </c>
      <c r="O144" t="s">
        <v>487</v>
      </c>
      <c r="P144" t="s">
        <v>75</v>
      </c>
      <c r="Q144" t="s">
        <v>70</v>
      </c>
      <c r="R144" t="s">
        <v>71</v>
      </c>
      <c r="S144" t="s">
        <v>41</v>
      </c>
      <c r="T144">
        <v>1</v>
      </c>
      <c r="U144">
        <v>189.72</v>
      </c>
      <c r="V144">
        <v>241.89</v>
      </c>
      <c r="W144">
        <v>4</v>
      </c>
      <c r="X144" t="s">
        <v>45</v>
      </c>
      <c r="Y144">
        <v>2025</v>
      </c>
    </row>
    <row r="145" spans="1:25" x14ac:dyDescent="0.3">
      <c r="A145" t="s">
        <v>488</v>
      </c>
      <c r="B145" s="1">
        <v>45810</v>
      </c>
      <c r="C145" t="s">
        <v>489</v>
      </c>
      <c r="D145" t="s">
        <v>3586</v>
      </c>
      <c r="E145" s="1">
        <v>45815</v>
      </c>
      <c r="F145" t="s">
        <v>100</v>
      </c>
      <c r="G145" t="s">
        <v>98</v>
      </c>
      <c r="H145" t="s">
        <v>99</v>
      </c>
      <c r="I145" t="s">
        <v>2668</v>
      </c>
      <c r="J145" t="s">
        <v>2669</v>
      </c>
      <c r="K145" t="s">
        <v>52</v>
      </c>
      <c r="L145">
        <v>23</v>
      </c>
      <c r="M145">
        <v>4</v>
      </c>
      <c r="N145">
        <v>30</v>
      </c>
      <c r="O145" t="s">
        <v>490</v>
      </c>
      <c r="P145" t="s">
        <v>44</v>
      </c>
      <c r="Q145" t="s">
        <v>31</v>
      </c>
      <c r="R145" t="s">
        <v>32</v>
      </c>
      <c r="S145" t="s">
        <v>101</v>
      </c>
      <c r="T145">
        <v>3</v>
      </c>
      <c r="U145">
        <v>301.04000000000002</v>
      </c>
      <c r="V145">
        <v>469.83</v>
      </c>
      <c r="W145">
        <v>5</v>
      </c>
      <c r="X145" t="s">
        <v>49</v>
      </c>
      <c r="Y145">
        <v>2025</v>
      </c>
    </row>
    <row r="146" spans="1:25" x14ac:dyDescent="0.3">
      <c r="A146" t="s">
        <v>491</v>
      </c>
      <c r="B146" s="1">
        <v>45867</v>
      </c>
      <c r="C146" t="s">
        <v>492</v>
      </c>
      <c r="D146" t="s">
        <v>3585</v>
      </c>
      <c r="E146" s="1">
        <v>45871</v>
      </c>
      <c r="F146" t="s">
        <v>128</v>
      </c>
      <c r="G146" t="s">
        <v>98</v>
      </c>
      <c r="H146" t="s">
        <v>127</v>
      </c>
      <c r="I146" t="s">
        <v>2622</v>
      </c>
      <c r="J146" t="s">
        <v>2622</v>
      </c>
      <c r="K146" t="s">
        <v>52</v>
      </c>
      <c r="L146">
        <v>38</v>
      </c>
      <c r="M146">
        <v>3</v>
      </c>
      <c r="N146">
        <v>15</v>
      </c>
      <c r="O146" t="s">
        <v>493</v>
      </c>
      <c r="P146" t="s">
        <v>75</v>
      </c>
      <c r="Q146" t="s">
        <v>58</v>
      </c>
      <c r="R146" t="s">
        <v>43</v>
      </c>
      <c r="S146" t="s">
        <v>129</v>
      </c>
      <c r="T146">
        <v>1</v>
      </c>
      <c r="U146">
        <v>164.59</v>
      </c>
      <c r="V146">
        <v>305.98</v>
      </c>
      <c r="W146">
        <v>4</v>
      </c>
      <c r="X146" t="s">
        <v>45</v>
      </c>
      <c r="Y146">
        <v>2025</v>
      </c>
    </row>
    <row r="147" spans="1:25" x14ac:dyDescent="0.3">
      <c r="A147" t="s">
        <v>494</v>
      </c>
      <c r="B147" s="1">
        <v>46037</v>
      </c>
      <c r="C147" t="s">
        <v>495</v>
      </c>
      <c r="D147" t="s">
        <v>3584</v>
      </c>
      <c r="E147" s="1">
        <v>46038</v>
      </c>
      <c r="F147" t="s">
        <v>40</v>
      </c>
      <c r="G147" t="s">
        <v>38</v>
      </c>
      <c r="H147" t="s">
        <v>39</v>
      </c>
      <c r="I147" t="s">
        <v>2629</v>
      </c>
      <c r="J147" t="s">
        <v>2709</v>
      </c>
      <c r="K147" t="s">
        <v>52</v>
      </c>
      <c r="L147">
        <v>32</v>
      </c>
      <c r="M147">
        <v>3</v>
      </c>
      <c r="N147">
        <v>15</v>
      </c>
      <c r="O147" t="s">
        <v>496</v>
      </c>
      <c r="P147" t="s">
        <v>33</v>
      </c>
      <c r="Q147" t="s">
        <v>70</v>
      </c>
      <c r="R147" t="s">
        <v>62</v>
      </c>
      <c r="S147" t="s">
        <v>41</v>
      </c>
      <c r="T147">
        <v>3</v>
      </c>
      <c r="U147">
        <v>731.52</v>
      </c>
      <c r="V147">
        <v>1039.6099999999999</v>
      </c>
      <c r="W147">
        <v>1</v>
      </c>
      <c r="X147" t="s">
        <v>34</v>
      </c>
      <c r="Y147">
        <v>2026</v>
      </c>
    </row>
    <row r="148" spans="1:25" x14ac:dyDescent="0.3">
      <c r="A148" t="s">
        <v>497</v>
      </c>
      <c r="B148" s="1">
        <v>45838</v>
      </c>
      <c r="C148" t="s">
        <v>498</v>
      </c>
      <c r="D148" t="s">
        <v>3583</v>
      </c>
      <c r="E148" s="1">
        <v>45843</v>
      </c>
      <c r="F148" t="s">
        <v>140</v>
      </c>
      <c r="G148" t="s">
        <v>38</v>
      </c>
      <c r="H148" t="s">
        <v>139</v>
      </c>
      <c r="I148" t="s">
        <v>2679</v>
      </c>
      <c r="J148" t="s">
        <v>2685</v>
      </c>
      <c r="K148" t="s">
        <v>52</v>
      </c>
      <c r="L148">
        <v>63</v>
      </c>
      <c r="M148">
        <v>4</v>
      </c>
      <c r="N148">
        <v>0</v>
      </c>
      <c r="O148" t="s">
        <v>499</v>
      </c>
      <c r="P148" t="s">
        <v>44</v>
      </c>
      <c r="Q148" t="s">
        <v>58</v>
      </c>
      <c r="R148" t="s">
        <v>71</v>
      </c>
      <c r="S148" t="s">
        <v>141</v>
      </c>
      <c r="T148">
        <v>3</v>
      </c>
      <c r="U148">
        <v>630.26</v>
      </c>
      <c r="V148">
        <v>1574.12</v>
      </c>
      <c r="W148">
        <v>5</v>
      </c>
      <c r="X148" t="s">
        <v>49</v>
      </c>
      <c r="Y148">
        <v>2025</v>
      </c>
    </row>
    <row r="149" spans="1:25" x14ac:dyDescent="0.3">
      <c r="A149" t="s">
        <v>500</v>
      </c>
      <c r="B149" s="1">
        <v>46031</v>
      </c>
      <c r="C149" t="s">
        <v>501</v>
      </c>
      <c r="D149" t="s">
        <v>3582</v>
      </c>
      <c r="E149" s="1">
        <v>46036</v>
      </c>
      <c r="F149" t="s">
        <v>122</v>
      </c>
      <c r="G149" t="s">
        <v>120</v>
      </c>
      <c r="H149" t="s">
        <v>121</v>
      </c>
      <c r="I149" t="s">
        <v>2629</v>
      </c>
      <c r="J149" t="s">
        <v>2630</v>
      </c>
      <c r="K149" t="s">
        <v>25</v>
      </c>
      <c r="L149">
        <v>21</v>
      </c>
      <c r="M149">
        <v>3</v>
      </c>
      <c r="N149">
        <v>30</v>
      </c>
      <c r="O149" t="s">
        <v>226</v>
      </c>
      <c r="P149" t="s">
        <v>75</v>
      </c>
      <c r="Q149" t="s">
        <v>42</v>
      </c>
      <c r="R149" t="s">
        <v>43</v>
      </c>
      <c r="S149" t="s">
        <v>123</v>
      </c>
      <c r="T149">
        <v>1</v>
      </c>
      <c r="U149">
        <v>216.06</v>
      </c>
      <c r="V149">
        <v>228.23</v>
      </c>
      <c r="W149">
        <v>5</v>
      </c>
      <c r="X149" t="s">
        <v>34</v>
      </c>
      <c r="Y149">
        <v>2026</v>
      </c>
    </row>
    <row r="150" spans="1:25" x14ac:dyDescent="0.3">
      <c r="A150" t="s">
        <v>502</v>
      </c>
      <c r="B150" s="1">
        <v>46032</v>
      </c>
      <c r="C150" t="s">
        <v>503</v>
      </c>
      <c r="D150" t="s">
        <v>2789</v>
      </c>
      <c r="E150" s="1">
        <v>46038</v>
      </c>
      <c r="F150" t="s">
        <v>56</v>
      </c>
      <c r="G150" t="s">
        <v>54</v>
      </c>
      <c r="H150" t="s">
        <v>55</v>
      </c>
      <c r="I150" t="s">
        <v>2641</v>
      </c>
      <c r="J150" t="s">
        <v>2642</v>
      </c>
      <c r="K150" t="s">
        <v>25</v>
      </c>
      <c r="L150">
        <v>54</v>
      </c>
      <c r="M150">
        <v>3</v>
      </c>
      <c r="N150">
        <v>0</v>
      </c>
      <c r="O150" t="s">
        <v>223</v>
      </c>
      <c r="P150" t="s">
        <v>75</v>
      </c>
      <c r="Q150" t="s">
        <v>117</v>
      </c>
      <c r="R150" t="s">
        <v>62</v>
      </c>
      <c r="S150" t="s">
        <v>57</v>
      </c>
      <c r="T150">
        <v>5</v>
      </c>
      <c r="U150">
        <v>113.37</v>
      </c>
      <c r="V150">
        <v>202.51</v>
      </c>
      <c r="W150">
        <v>6</v>
      </c>
      <c r="X150" t="s">
        <v>34</v>
      </c>
      <c r="Y150">
        <v>2026</v>
      </c>
    </row>
    <row r="151" spans="1:25" x14ac:dyDescent="0.3">
      <c r="A151" t="s">
        <v>504</v>
      </c>
      <c r="B151" s="1">
        <v>45670</v>
      </c>
      <c r="C151" t="s">
        <v>505</v>
      </c>
      <c r="D151" t="s">
        <v>2788</v>
      </c>
      <c r="E151" s="1">
        <v>45675</v>
      </c>
      <c r="F151" t="s">
        <v>56</v>
      </c>
      <c r="G151" t="s">
        <v>54</v>
      </c>
      <c r="H151" t="s">
        <v>55</v>
      </c>
      <c r="I151" t="s">
        <v>2622</v>
      </c>
      <c r="J151" t="s">
        <v>2704</v>
      </c>
      <c r="K151" t="s">
        <v>25</v>
      </c>
      <c r="L151">
        <v>25</v>
      </c>
      <c r="M151">
        <v>1</v>
      </c>
      <c r="N151">
        <v>20</v>
      </c>
      <c r="O151" t="s">
        <v>506</v>
      </c>
      <c r="P151" t="s">
        <v>44</v>
      </c>
      <c r="Q151" t="s">
        <v>70</v>
      </c>
      <c r="R151" t="s">
        <v>71</v>
      </c>
      <c r="S151" t="s">
        <v>57</v>
      </c>
      <c r="T151">
        <v>2</v>
      </c>
      <c r="U151">
        <v>50.96</v>
      </c>
      <c r="V151">
        <v>28.02</v>
      </c>
      <c r="W151">
        <v>5</v>
      </c>
      <c r="X151" t="s">
        <v>34</v>
      </c>
      <c r="Y151">
        <v>2025</v>
      </c>
    </row>
    <row r="152" spans="1:25" x14ac:dyDescent="0.3">
      <c r="A152" t="s">
        <v>507</v>
      </c>
      <c r="B152" s="1">
        <v>45662</v>
      </c>
      <c r="C152" t="s">
        <v>508</v>
      </c>
      <c r="D152" t="s">
        <v>3581</v>
      </c>
      <c r="E152" s="1">
        <v>45668</v>
      </c>
      <c r="F152" t="s">
        <v>122</v>
      </c>
      <c r="G152" t="s">
        <v>120</v>
      </c>
      <c r="H152" t="s">
        <v>121</v>
      </c>
      <c r="I152" t="s">
        <v>2679</v>
      </c>
      <c r="J152" t="s">
        <v>2685</v>
      </c>
      <c r="K152" t="s">
        <v>52</v>
      </c>
      <c r="L152">
        <v>46</v>
      </c>
      <c r="M152">
        <v>2</v>
      </c>
      <c r="N152">
        <v>5</v>
      </c>
      <c r="O152" t="s">
        <v>509</v>
      </c>
      <c r="P152" t="s">
        <v>33</v>
      </c>
      <c r="Q152" t="s">
        <v>117</v>
      </c>
      <c r="R152" t="s">
        <v>62</v>
      </c>
      <c r="S152" t="s">
        <v>123</v>
      </c>
      <c r="T152">
        <v>1</v>
      </c>
      <c r="U152">
        <v>549.86</v>
      </c>
      <c r="V152">
        <v>643.83000000000004</v>
      </c>
      <c r="W152">
        <v>6</v>
      </c>
      <c r="X152" t="s">
        <v>34</v>
      </c>
      <c r="Y152">
        <v>2025</v>
      </c>
    </row>
    <row r="153" spans="1:25" x14ac:dyDescent="0.3">
      <c r="A153" t="s">
        <v>510</v>
      </c>
      <c r="B153" s="1">
        <v>45473</v>
      </c>
      <c r="C153" t="s">
        <v>511</v>
      </c>
      <c r="D153" t="s">
        <v>2787</v>
      </c>
      <c r="E153" s="1">
        <v>45474</v>
      </c>
      <c r="F153" t="s">
        <v>100</v>
      </c>
      <c r="G153" t="s">
        <v>98</v>
      </c>
      <c r="H153" t="s">
        <v>99</v>
      </c>
      <c r="I153" t="s">
        <v>2622</v>
      </c>
      <c r="J153" t="s">
        <v>2704</v>
      </c>
      <c r="K153" t="s">
        <v>25</v>
      </c>
      <c r="L153">
        <v>30</v>
      </c>
      <c r="M153">
        <v>1</v>
      </c>
      <c r="N153">
        <v>0</v>
      </c>
      <c r="O153" t="s">
        <v>512</v>
      </c>
      <c r="P153" t="s">
        <v>75</v>
      </c>
      <c r="Q153" t="s">
        <v>70</v>
      </c>
      <c r="R153" t="s">
        <v>43</v>
      </c>
      <c r="S153" t="s">
        <v>101</v>
      </c>
      <c r="T153">
        <v>4</v>
      </c>
      <c r="U153">
        <v>84.19</v>
      </c>
      <c r="V153">
        <v>50.98</v>
      </c>
      <c r="W153">
        <v>1</v>
      </c>
      <c r="X153" t="s">
        <v>49</v>
      </c>
      <c r="Y153">
        <v>2024</v>
      </c>
    </row>
    <row r="154" spans="1:25" x14ac:dyDescent="0.3">
      <c r="A154" t="s">
        <v>513</v>
      </c>
      <c r="B154" s="1">
        <v>45307</v>
      </c>
      <c r="C154" t="s">
        <v>514</v>
      </c>
      <c r="D154" t="s">
        <v>3580</v>
      </c>
      <c r="E154" s="1">
        <v>45309</v>
      </c>
      <c r="F154" t="s">
        <v>40</v>
      </c>
      <c r="G154" t="s">
        <v>38</v>
      </c>
      <c r="H154" t="s">
        <v>39</v>
      </c>
      <c r="I154" t="s">
        <v>2625</v>
      </c>
      <c r="J154" t="s">
        <v>2703</v>
      </c>
      <c r="K154" t="s">
        <v>25</v>
      </c>
      <c r="L154">
        <v>44</v>
      </c>
      <c r="M154">
        <v>4</v>
      </c>
      <c r="N154">
        <v>30</v>
      </c>
      <c r="O154" t="s">
        <v>515</v>
      </c>
      <c r="P154" t="s">
        <v>33</v>
      </c>
      <c r="Q154" t="s">
        <v>42</v>
      </c>
      <c r="R154" t="s">
        <v>32</v>
      </c>
      <c r="S154" t="s">
        <v>41</v>
      </c>
      <c r="T154">
        <v>5</v>
      </c>
      <c r="U154">
        <v>574.45000000000005</v>
      </c>
      <c r="V154">
        <v>1099.54</v>
      </c>
      <c r="W154">
        <v>2</v>
      </c>
      <c r="X154" t="s">
        <v>34</v>
      </c>
      <c r="Y154">
        <v>2024</v>
      </c>
    </row>
    <row r="155" spans="1:25" x14ac:dyDescent="0.3">
      <c r="A155" t="s">
        <v>516</v>
      </c>
      <c r="B155" s="1">
        <v>45753</v>
      </c>
      <c r="C155" t="s">
        <v>517</v>
      </c>
      <c r="D155" t="s">
        <v>3579</v>
      </c>
      <c r="E155" s="1">
        <v>45755</v>
      </c>
      <c r="F155" t="s">
        <v>56</v>
      </c>
      <c r="G155" t="s">
        <v>54</v>
      </c>
      <c r="H155" t="s">
        <v>55</v>
      </c>
      <c r="I155" t="s">
        <v>2625</v>
      </c>
      <c r="J155" t="s">
        <v>2626</v>
      </c>
      <c r="K155" t="s">
        <v>25</v>
      </c>
      <c r="L155">
        <v>55</v>
      </c>
      <c r="M155">
        <v>2</v>
      </c>
      <c r="N155">
        <v>25</v>
      </c>
      <c r="O155" t="s">
        <v>518</v>
      </c>
      <c r="P155" t="s">
        <v>44</v>
      </c>
      <c r="Q155" t="s">
        <v>42</v>
      </c>
      <c r="R155" t="s">
        <v>71</v>
      </c>
      <c r="S155" t="s">
        <v>57</v>
      </c>
      <c r="T155">
        <v>5</v>
      </c>
      <c r="U155">
        <v>736.56</v>
      </c>
      <c r="V155">
        <v>869.33</v>
      </c>
      <c r="W155">
        <v>2</v>
      </c>
      <c r="X155" t="s">
        <v>49</v>
      </c>
      <c r="Y155">
        <v>2025</v>
      </c>
    </row>
    <row r="156" spans="1:25" x14ac:dyDescent="0.3">
      <c r="A156" t="s">
        <v>519</v>
      </c>
      <c r="B156" s="1">
        <v>45360</v>
      </c>
      <c r="C156" t="s">
        <v>520</v>
      </c>
      <c r="D156" t="s">
        <v>3578</v>
      </c>
      <c r="E156" s="1">
        <v>45365</v>
      </c>
      <c r="F156" t="s">
        <v>2617</v>
      </c>
      <c r="G156" t="s">
        <v>27</v>
      </c>
      <c r="H156" t="s">
        <v>28</v>
      </c>
      <c r="I156" t="s">
        <v>2631</v>
      </c>
      <c r="J156" t="s">
        <v>2694</v>
      </c>
      <c r="K156" t="s">
        <v>52</v>
      </c>
      <c r="L156">
        <v>57</v>
      </c>
      <c r="M156">
        <v>2</v>
      </c>
      <c r="N156">
        <v>5</v>
      </c>
      <c r="O156" t="s">
        <v>521</v>
      </c>
      <c r="P156" t="s">
        <v>33</v>
      </c>
      <c r="Q156" t="s">
        <v>31</v>
      </c>
      <c r="R156" t="s">
        <v>32</v>
      </c>
      <c r="S156" t="s">
        <v>30</v>
      </c>
      <c r="T156">
        <v>3</v>
      </c>
      <c r="U156">
        <v>891.05</v>
      </c>
      <c r="V156">
        <v>964.18</v>
      </c>
      <c r="W156">
        <v>5</v>
      </c>
      <c r="X156" t="s">
        <v>34</v>
      </c>
      <c r="Y156">
        <v>2024</v>
      </c>
    </row>
    <row r="157" spans="1:25" x14ac:dyDescent="0.3">
      <c r="A157" t="s">
        <v>522</v>
      </c>
      <c r="B157" s="1">
        <v>45779</v>
      </c>
      <c r="C157" t="s">
        <v>523</v>
      </c>
      <c r="D157" t="s">
        <v>2786</v>
      </c>
      <c r="E157" s="1">
        <v>45785</v>
      </c>
      <c r="F157" t="s">
        <v>128</v>
      </c>
      <c r="G157" t="s">
        <v>98</v>
      </c>
      <c r="H157" t="s">
        <v>127</v>
      </c>
      <c r="I157" t="s">
        <v>2632</v>
      </c>
      <c r="J157" t="s">
        <v>2715</v>
      </c>
      <c r="K157" t="s">
        <v>25</v>
      </c>
      <c r="L157">
        <v>45</v>
      </c>
      <c r="M157">
        <v>2</v>
      </c>
      <c r="N157">
        <v>25</v>
      </c>
      <c r="O157" t="s">
        <v>267</v>
      </c>
      <c r="P157" t="s">
        <v>44</v>
      </c>
      <c r="Q157" t="s">
        <v>58</v>
      </c>
      <c r="R157" t="s">
        <v>71</v>
      </c>
      <c r="S157" t="s">
        <v>129</v>
      </c>
      <c r="T157">
        <v>2</v>
      </c>
      <c r="U157">
        <v>767.35</v>
      </c>
      <c r="V157">
        <v>878.65</v>
      </c>
      <c r="W157">
        <v>6</v>
      </c>
      <c r="X157" t="s">
        <v>49</v>
      </c>
      <c r="Y157">
        <v>2025</v>
      </c>
    </row>
    <row r="158" spans="1:25" x14ac:dyDescent="0.3">
      <c r="A158" t="s">
        <v>524</v>
      </c>
      <c r="B158" s="1">
        <v>46033</v>
      </c>
      <c r="C158" t="s">
        <v>525</v>
      </c>
      <c r="D158" t="s">
        <v>3577</v>
      </c>
      <c r="E158" s="1">
        <v>46035</v>
      </c>
      <c r="F158" t="s">
        <v>2617</v>
      </c>
      <c r="G158" t="s">
        <v>27</v>
      </c>
      <c r="H158" t="s">
        <v>28</v>
      </c>
      <c r="I158" t="s">
        <v>2637</v>
      </c>
      <c r="J158" t="s">
        <v>99</v>
      </c>
      <c r="K158" t="s">
        <v>52</v>
      </c>
      <c r="L158">
        <v>22</v>
      </c>
      <c r="M158">
        <v>4</v>
      </c>
      <c r="N158">
        <v>5</v>
      </c>
      <c r="O158" t="s">
        <v>526</v>
      </c>
      <c r="P158" t="s">
        <v>75</v>
      </c>
      <c r="Q158" t="s">
        <v>70</v>
      </c>
      <c r="R158" t="s">
        <v>43</v>
      </c>
      <c r="S158" t="s">
        <v>30</v>
      </c>
      <c r="T158">
        <v>5</v>
      </c>
      <c r="U158">
        <v>509.87</v>
      </c>
      <c r="V158">
        <v>986.21</v>
      </c>
      <c r="W158">
        <v>2</v>
      </c>
      <c r="X158" t="s">
        <v>34</v>
      </c>
      <c r="Y158">
        <v>2026</v>
      </c>
    </row>
    <row r="159" spans="1:25" x14ac:dyDescent="0.3">
      <c r="A159" t="s">
        <v>527</v>
      </c>
      <c r="B159" s="1">
        <v>45958</v>
      </c>
      <c r="C159" t="s">
        <v>528</v>
      </c>
      <c r="D159" t="s">
        <v>3576</v>
      </c>
      <c r="E159" s="1">
        <v>45961</v>
      </c>
      <c r="F159" t="s">
        <v>56</v>
      </c>
      <c r="G159" t="s">
        <v>54</v>
      </c>
      <c r="H159" t="s">
        <v>55</v>
      </c>
      <c r="I159" t="s">
        <v>2641</v>
      </c>
      <c r="J159" t="s">
        <v>2692</v>
      </c>
      <c r="K159" t="s">
        <v>25</v>
      </c>
      <c r="L159">
        <v>28</v>
      </c>
      <c r="M159">
        <v>1</v>
      </c>
      <c r="N159">
        <v>10</v>
      </c>
      <c r="O159" t="s">
        <v>529</v>
      </c>
      <c r="P159" t="s">
        <v>44</v>
      </c>
      <c r="Q159" t="s">
        <v>70</v>
      </c>
      <c r="R159" t="s">
        <v>71</v>
      </c>
      <c r="S159" t="s">
        <v>57</v>
      </c>
      <c r="T159">
        <v>3</v>
      </c>
      <c r="U159">
        <v>455.94</v>
      </c>
      <c r="V159">
        <v>265.67</v>
      </c>
      <c r="W159">
        <v>3</v>
      </c>
      <c r="X159" t="s">
        <v>94</v>
      </c>
      <c r="Y159">
        <v>2025</v>
      </c>
    </row>
    <row r="160" spans="1:25" x14ac:dyDescent="0.3">
      <c r="A160" t="s">
        <v>530</v>
      </c>
      <c r="B160" s="1">
        <v>45757</v>
      </c>
      <c r="C160" t="s">
        <v>531</v>
      </c>
      <c r="D160" t="s">
        <v>3575</v>
      </c>
      <c r="E160" s="1">
        <v>45760</v>
      </c>
      <c r="F160" t="s">
        <v>2617</v>
      </c>
      <c r="G160" t="s">
        <v>27</v>
      </c>
      <c r="H160" t="s">
        <v>28</v>
      </c>
      <c r="I160" t="s">
        <v>2625</v>
      </c>
      <c r="J160" t="s">
        <v>2667</v>
      </c>
      <c r="K160" t="s">
        <v>25</v>
      </c>
      <c r="L160">
        <v>37</v>
      </c>
      <c r="M160">
        <v>5</v>
      </c>
      <c r="N160">
        <v>20</v>
      </c>
      <c r="O160" t="s">
        <v>532</v>
      </c>
      <c r="P160" t="s">
        <v>44</v>
      </c>
      <c r="Q160" t="s">
        <v>31</v>
      </c>
      <c r="R160" t="s">
        <v>62</v>
      </c>
      <c r="S160" t="s">
        <v>30</v>
      </c>
      <c r="T160">
        <v>1</v>
      </c>
      <c r="U160">
        <v>889.39</v>
      </c>
      <c r="V160">
        <v>2565.1799999999998</v>
      </c>
      <c r="W160">
        <v>3</v>
      </c>
      <c r="X160" t="s">
        <v>49</v>
      </c>
      <c r="Y160">
        <v>2025</v>
      </c>
    </row>
    <row r="161" spans="1:25" x14ac:dyDescent="0.3">
      <c r="A161" t="s">
        <v>533</v>
      </c>
      <c r="B161" s="1">
        <v>46118</v>
      </c>
      <c r="C161" t="s">
        <v>534</v>
      </c>
      <c r="D161" t="s">
        <v>3574</v>
      </c>
      <c r="E161" s="1">
        <v>46119</v>
      </c>
      <c r="F161" t="s">
        <v>56</v>
      </c>
      <c r="G161" t="s">
        <v>54</v>
      </c>
      <c r="H161" t="s">
        <v>55</v>
      </c>
      <c r="I161" t="s">
        <v>2679</v>
      </c>
      <c r="J161" t="s">
        <v>2707</v>
      </c>
      <c r="K161" t="s">
        <v>25</v>
      </c>
      <c r="L161">
        <v>35</v>
      </c>
      <c r="M161">
        <v>4</v>
      </c>
      <c r="N161">
        <v>0</v>
      </c>
      <c r="O161" t="s">
        <v>273</v>
      </c>
      <c r="P161" t="s">
        <v>33</v>
      </c>
      <c r="Q161" t="s">
        <v>58</v>
      </c>
      <c r="R161" t="s">
        <v>71</v>
      </c>
      <c r="S161" t="s">
        <v>57</v>
      </c>
      <c r="T161">
        <v>4</v>
      </c>
      <c r="U161">
        <v>265.55</v>
      </c>
      <c r="V161">
        <v>824.04</v>
      </c>
      <c r="W161">
        <v>1</v>
      </c>
      <c r="X161" t="s">
        <v>49</v>
      </c>
      <c r="Y161">
        <v>2026</v>
      </c>
    </row>
    <row r="162" spans="1:25" x14ac:dyDescent="0.3">
      <c r="A162" t="s">
        <v>535</v>
      </c>
      <c r="B162" s="1">
        <v>45807</v>
      </c>
      <c r="C162" t="s">
        <v>536</v>
      </c>
      <c r="D162" t="s">
        <v>3573</v>
      </c>
      <c r="E162" s="1">
        <v>45811</v>
      </c>
      <c r="F162" t="s">
        <v>128</v>
      </c>
      <c r="G162" t="s">
        <v>98</v>
      </c>
      <c r="H162" t="s">
        <v>127</v>
      </c>
      <c r="I162" t="s">
        <v>2659</v>
      </c>
      <c r="J162" t="s">
        <v>2718</v>
      </c>
      <c r="K162" t="s">
        <v>25</v>
      </c>
      <c r="L162">
        <v>22</v>
      </c>
      <c r="M162">
        <v>2</v>
      </c>
      <c r="N162">
        <v>10</v>
      </c>
      <c r="O162" t="s">
        <v>537</v>
      </c>
      <c r="P162" t="s">
        <v>75</v>
      </c>
      <c r="Q162" t="s">
        <v>70</v>
      </c>
      <c r="R162" t="s">
        <v>71</v>
      </c>
      <c r="S162" t="s">
        <v>129</v>
      </c>
      <c r="T162">
        <v>5</v>
      </c>
      <c r="U162">
        <v>426.35</v>
      </c>
      <c r="V162">
        <v>629.63</v>
      </c>
      <c r="W162">
        <v>4</v>
      </c>
      <c r="X162" t="s">
        <v>49</v>
      </c>
      <c r="Y162">
        <v>2025</v>
      </c>
    </row>
    <row r="163" spans="1:25" x14ac:dyDescent="0.3">
      <c r="A163" t="s">
        <v>538</v>
      </c>
      <c r="B163" s="1">
        <v>45420</v>
      </c>
      <c r="C163" t="s">
        <v>539</v>
      </c>
      <c r="D163" t="s">
        <v>3572</v>
      </c>
      <c r="E163" s="1">
        <v>45422</v>
      </c>
      <c r="F163" t="s">
        <v>115</v>
      </c>
      <c r="G163" t="s">
        <v>66</v>
      </c>
      <c r="H163" t="s">
        <v>114</v>
      </c>
      <c r="I163" t="s">
        <v>2625</v>
      </c>
      <c r="J163" t="s">
        <v>2667</v>
      </c>
      <c r="K163" t="s">
        <v>52</v>
      </c>
      <c r="L163">
        <v>49</v>
      </c>
      <c r="M163">
        <v>5</v>
      </c>
      <c r="N163">
        <v>25</v>
      </c>
      <c r="O163" t="s">
        <v>540</v>
      </c>
      <c r="P163" t="s">
        <v>75</v>
      </c>
      <c r="Q163" t="s">
        <v>31</v>
      </c>
      <c r="R163" t="s">
        <v>32</v>
      </c>
      <c r="S163" t="s">
        <v>116</v>
      </c>
      <c r="T163">
        <v>4</v>
      </c>
      <c r="U163">
        <v>640.03</v>
      </c>
      <c r="V163">
        <v>1823.02</v>
      </c>
      <c r="W163">
        <v>2</v>
      </c>
      <c r="X163" t="s">
        <v>49</v>
      </c>
      <c r="Y163">
        <v>2024</v>
      </c>
    </row>
    <row r="164" spans="1:25" x14ac:dyDescent="0.3">
      <c r="A164" t="s">
        <v>541</v>
      </c>
      <c r="B164" s="1">
        <v>45538</v>
      </c>
      <c r="C164" t="s">
        <v>542</v>
      </c>
      <c r="D164" t="s">
        <v>3571</v>
      </c>
      <c r="E164" s="1">
        <v>45540</v>
      </c>
      <c r="F164" t="s">
        <v>2617</v>
      </c>
      <c r="G164" t="s">
        <v>27</v>
      </c>
      <c r="H164" t="s">
        <v>28</v>
      </c>
      <c r="I164" t="s">
        <v>2631</v>
      </c>
      <c r="J164" t="s">
        <v>2694</v>
      </c>
      <c r="K164" t="s">
        <v>52</v>
      </c>
      <c r="L164">
        <v>56</v>
      </c>
      <c r="M164">
        <v>1</v>
      </c>
      <c r="N164">
        <v>15</v>
      </c>
      <c r="O164" t="s">
        <v>543</v>
      </c>
      <c r="P164" t="s">
        <v>75</v>
      </c>
      <c r="Q164" t="s">
        <v>31</v>
      </c>
      <c r="R164" t="s">
        <v>71</v>
      </c>
      <c r="S164" t="s">
        <v>30</v>
      </c>
      <c r="T164">
        <v>4</v>
      </c>
      <c r="U164">
        <v>652.05999999999995</v>
      </c>
      <c r="V164">
        <v>416.7</v>
      </c>
      <c r="W164">
        <v>2</v>
      </c>
      <c r="X164" t="s">
        <v>45</v>
      </c>
      <c r="Y164">
        <v>2024</v>
      </c>
    </row>
    <row r="165" spans="1:25" x14ac:dyDescent="0.3">
      <c r="A165" t="s">
        <v>544</v>
      </c>
      <c r="B165" s="1">
        <v>46110</v>
      </c>
      <c r="C165" t="s">
        <v>545</v>
      </c>
      <c r="D165" t="s">
        <v>3570</v>
      </c>
      <c r="E165" s="1">
        <v>46111</v>
      </c>
      <c r="F165" t="s">
        <v>115</v>
      </c>
      <c r="G165" t="s">
        <v>66</v>
      </c>
      <c r="H165" t="s">
        <v>114</v>
      </c>
      <c r="I165" t="s">
        <v>2665</v>
      </c>
      <c r="J165" t="s">
        <v>2719</v>
      </c>
      <c r="K165" t="s">
        <v>52</v>
      </c>
      <c r="L165">
        <v>46</v>
      </c>
      <c r="M165">
        <v>2</v>
      </c>
      <c r="N165">
        <v>20</v>
      </c>
      <c r="O165" t="s">
        <v>546</v>
      </c>
      <c r="P165" t="s">
        <v>33</v>
      </c>
      <c r="Q165" t="s">
        <v>58</v>
      </c>
      <c r="R165" t="s">
        <v>32</v>
      </c>
      <c r="S165" t="s">
        <v>116</v>
      </c>
      <c r="T165">
        <v>3</v>
      </c>
      <c r="U165">
        <v>592.5</v>
      </c>
      <c r="V165">
        <v>762.45</v>
      </c>
      <c r="W165">
        <v>1</v>
      </c>
      <c r="X165" t="s">
        <v>34</v>
      </c>
      <c r="Y165">
        <v>2026</v>
      </c>
    </row>
    <row r="166" spans="1:25" x14ac:dyDescent="0.3">
      <c r="A166" t="s">
        <v>547</v>
      </c>
      <c r="B166" s="1">
        <v>46169</v>
      </c>
      <c r="C166" t="s">
        <v>548</v>
      </c>
      <c r="D166" t="s">
        <v>3569</v>
      </c>
      <c r="E166" s="1">
        <v>46172</v>
      </c>
      <c r="F166" t="s">
        <v>2617</v>
      </c>
      <c r="G166" t="s">
        <v>27</v>
      </c>
      <c r="H166" t="s">
        <v>28</v>
      </c>
      <c r="I166" t="s">
        <v>2631</v>
      </c>
      <c r="J166" t="s">
        <v>2711</v>
      </c>
      <c r="K166" t="s">
        <v>25</v>
      </c>
      <c r="L166">
        <v>32</v>
      </c>
      <c r="M166">
        <v>3</v>
      </c>
      <c r="N166">
        <v>20</v>
      </c>
      <c r="O166" t="s">
        <v>549</v>
      </c>
      <c r="P166" t="s">
        <v>33</v>
      </c>
      <c r="Q166" t="s">
        <v>42</v>
      </c>
      <c r="R166" t="s">
        <v>32</v>
      </c>
      <c r="S166" t="s">
        <v>30</v>
      </c>
      <c r="T166">
        <v>5</v>
      </c>
      <c r="U166">
        <v>244.07</v>
      </c>
      <c r="V166">
        <v>486.7</v>
      </c>
      <c r="W166">
        <v>3</v>
      </c>
      <c r="X166" t="s">
        <v>49</v>
      </c>
      <c r="Y166">
        <v>2026</v>
      </c>
    </row>
    <row r="167" spans="1:25" x14ac:dyDescent="0.3">
      <c r="A167" t="s">
        <v>550</v>
      </c>
      <c r="B167" s="1">
        <v>45654</v>
      </c>
      <c r="C167" t="s">
        <v>551</v>
      </c>
      <c r="D167" t="s">
        <v>3568</v>
      </c>
      <c r="E167" s="1">
        <v>45655</v>
      </c>
      <c r="F167" t="s">
        <v>115</v>
      </c>
      <c r="G167" t="s">
        <v>66</v>
      </c>
      <c r="H167" t="s">
        <v>114</v>
      </c>
      <c r="I167" t="s">
        <v>2625</v>
      </c>
      <c r="J167" t="s">
        <v>2651</v>
      </c>
      <c r="K167" t="s">
        <v>52</v>
      </c>
      <c r="L167">
        <v>51</v>
      </c>
      <c r="M167">
        <v>5</v>
      </c>
      <c r="N167">
        <v>5</v>
      </c>
      <c r="O167" t="s">
        <v>552</v>
      </c>
      <c r="P167" t="s">
        <v>44</v>
      </c>
      <c r="Q167" t="s">
        <v>70</v>
      </c>
      <c r="R167" t="s">
        <v>71</v>
      </c>
      <c r="S167" t="s">
        <v>116</v>
      </c>
      <c r="T167">
        <v>5</v>
      </c>
      <c r="U167">
        <v>883.27</v>
      </c>
      <c r="V167">
        <v>3389.23</v>
      </c>
      <c r="W167">
        <v>1</v>
      </c>
      <c r="X167" t="s">
        <v>94</v>
      </c>
      <c r="Y167">
        <v>2024</v>
      </c>
    </row>
    <row r="168" spans="1:25" x14ac:dyDescent="0.3">
      <c r="A168" t="s">
        <v>553</v>
      </c>
      <c r="B168" s="1">
        <v>46187</v>
      </c>
      <c r="C168" t="s">
        <v>554</v>
      </c>
      <c r="D168" t="s">
        <v>3567</v>
      </c>
      <c r="E168" s="1">
        <v>46191</v>
      </c>
      <c r="F168" t="s">
        <v>68</v>
      </c>
      <c r="G168" t="s">
        <v>66</v>
      </c>
      <c r="H168" t="s">
        <v>67</v>
      </c>
      <c r="I168" t="s">
        <v>2668</v>
      </c>
      <c r="J168" t="s">
        <v>2708</v>
      </c>
      <c r="K168" t="s">
        <v>52</v>
      </c>
      <c r="L168">
        <v>44</v>
      </c>
      <c r="M168">
        <v>5</v>
      </c>
      <c r="N168">
        <v>20</v>
      </c>
      <c r="O168" t="s">
        <v>555</v>
      </c>
      <c r="P168" t="s">
        <v>44</v>
      </c>
      <c r="Q168" t="s">
        <v>117</v>
      </c>
      <c r="R168" t="s">
        <v>71</v>
      </c>
      <c r="S168" t="s">
        <v>69</v>
      </c>
      <c r="T168">
        <v>3</v>
      </c>
      <c r="U168">
        <v>162.4</v>
      </c>
      <c r="V168">
        <v>451.27</v>
      </c>
      <c r="W168">
        <v>4</v>
      </c>
      <c r="X168" t="s">
        <v>49</v>
      </c>
      <c r="Y168">
        <v>2026</v>
      </c>
    </row>
    <row r="169" spans="1:25" x14ac:dyDescent="0.3">
      <c r="A169" t="s">
        <v>556</v>
      </c>
      <c r="B169" s="1">
        <v>45680</v>
      </c>
      <c r="C169" t="s">
        <v>557</v>
      </c>
      <c r="D169" t="s">
        <v>3566</v>
      </c>
      <c r="E169" s="1">
        <v>45686</v>
      </c>
      <c r="F169" t="s">
        <v>68</v>
      </c>
      <c r="G169" t="s">
        <v>66</v>
      </c>
      <c r="H169" t="s">
        <v>67</v>
      </c>
      <c r="I169" t="s">
        <v>2668</v>
      </c>
      <c r="J169" t="s">
        <v>2708</v>
      </c>
      <c r="K169" t="s">
        <v>25</v>
      </c>
      <c r="L169">
        <v>34</v>
      </c>
      <c r="M169">
        <v>5</v>
      </c>
      <c r="N169">
        <v>30</v>
      </c>
      <c r="O169" t="s">
        <v>558</v>
      </c>
      <c r="P169" t="s">
        <v>44</v>
      </c>
      <c r="Q169" t="s">
        <v>58</v>
      </c>
      <c r="R169" t="s">
        <v>71</v>
      </c>
      <c r="S169" t="s">
        <v>69</v>
      </c>
      <c r="T169">
        <v>2</v>
      </c>
      <c r="U169">
        <v>462</v>
      </c>
      <c r="V169">
        <v>1358.19</v>
      </c>
      <c r="W169">
        <v>6</v>
      </c>
      <c r="X169" t="s">
        <v>34</v>
      </c>
      <c r="Y169">
        <v>2025</v>
      </c>
    </row>
    <row r="170" spans="1:25" x14ac:dyDescent="0.3">
      <c r="A170" t="s">
        <v>559</v>
      </c>
      <c r="B170" s="1">
        <v>46172</v>
      </c>
      <c r="C170" t="s">
        <v>560</v>
      </c>
      <c r="D170" t="s">
        <v>3565</v>
      </c>
      <c r="E170" s="1">
        <v>46178</v>
      </c>
      <c r="F170" t="s">
        <v>68</v>
      </c>
      <c r="G170" t="s">
        <v>66</v>
      </c>
      <c r="H170" t="s">
        <v>67</v>
      </c>
      <c r="I170" t="s">
        <v>2639</v>
      </c>
      <c r="J170" t="s">
        <v>2640</v>
      </c>
      <c r="K170" t="s">
        <v>52</v>
      </c>
      <c r="L170">
        <v>20</v>
      </c>
      <c r="M170">
        <v>2</v>
      </c>
      <c r="N170">
        <v>25</v>
      </c>
      <c r="O170" t="s">
        <v>223</v>
      </c>
      <c r="P170" t="s">
        <v>75</v>
      </c>
      <c r="Q170" t="s">
        <v>117</v>
      </c>
      <c r="R170" t="s">
        <v>43</v>
      </c>
      <c r="S170" t="s">
        <v>69</v>
      </c>
      <c r="T170">
        <v>3</v>
      </c>
      <c r="U170">
        <v>698.61</v>
      </c>
      <c r="V170">
        <v>649.41</v>
      </c>
      <c r="W170">
        <v>6</v>
      </c>
      <c r="X170" t="s">
        <v>49</v>
      </c>
      <c r="Y170">
        <v>2026</v>
      </c>
    </row>
    <row r="171" spans="1:25" x14ac:dyDescent="0.3">
      <c r="A171" t="s">
        <v>561</v>
      </c>
      <c r="B171" s="1">
        <v>45466</v>
      </c>
      <c r="C171" t="s">
        <v>562</v>
      </c>
      <c r="D171" t="s">
        <v>3564</v>
      </c>
      <c r="E171" s="1">
        <v>45467</v>
      </c>
      <c r="F171" t="s">
        <v>56</v>
      </c>
      <c r="G171" t="s">
        <v>54</v>
      </c>
      <c r="H171" t="s">
        <v>55</v>
      </c>
      <c r="I171" t="s">
        <v>2652</v>
      </c>
      <c r="J171" t="s">
        <v>2688</v>
      </c>
      <c r="K171" t="s">
        <v>25</v>
      </c>
      <c r="L171">
        <v>64</v>
      </c>
      <c r="M171">
        <v>2</v>
      </c>
      <c r="N171">
        <v>5</v>
      </c>
      <c r="O171" t="s">
        <v>563</v>
      </c>
      <c r="P171" t="s">
        <v>44</v>
      </c>
      <c r="Q171" t="s">
        <v>70</v>
      </c>
      <c r="R171" t="s">
        <v>71</v>
      </c>
      <c r="S171" t="s">
        <v>57</v>
      </c>
      <c r="T171">
        <v>2</v>
      </c>
      <c r="U171">
        <v>210.75</v>
      </c>
      <c r="V171">
        <v>255.69</v>
      </c>
      <c r="W171">
        <v>1</v>
      </c>
      <c r="X171" t="s">
        <v>49</v>
      </c>
      <c r="Y171">
        <v>2024</v>
      </c>
    </row>
    <row r="172" spans="1:25" x14ac:dyDescent="0.3">
      <c r="A172" t="s">
        <v>564</v>
      </c>
      <c r="B172" s="1">
        <v>45641</v>
      </c>
      <c r="C172" t="s">
        <v>565</v>
      </c>
      <c r="D172" t="s">
        <v>3563</v>
      </c>
      <c r="E172" s="1">
        <v>45645</v>
      </c>
      <c r="F172" t="s">
        <v>56</v>
      </c>
      <c r="G172" t="s">
        <v>54</v>
      </c>
      <c r="H172" t="s">
        <v>55</v>
      </c>
      <c r="I172" t="s">
        <v>2625</v>
      </c>
      <c r="J172" t="s">
        <v>2626</v>
      </c>
      <c r="K172" t="s">
        <v>25</v>
      </c>
      <c r="L172">
        <v>39</v>
      </c>
      <c r="M172">
        <v>1</v>
      </c>
      <c r="N172">
        <v>25</v>
      </c>
      <c r="O172" t="s">
        <v>566</v>
      </c>
      <c r="P172" t="s">
        <v>44</v>
      </c>
      <c r="Q172" t="s">
        <v>58</v>
      </c>
      <c r="R172" t="s">
        <v>71</v>
      </c>
      <c r="S172" t="s">
        <v>57</v>
      </c>
      <c r="T172">
        <v>3</v>
      </c>
      <c r="U172">
        <v>477.02</v>
      </c>
      <c r="V172">
        <v>268.83</v>
      </c>
      <c r="W172">
        <v>4</v>
      </c>
      <c r="X172" t="s">
        <v>94</v>
      </c>
      <c r="Y172">
        <v>2024</v>
      </c>
    </row>
    <row r="173" spans="1:25" x14ac:dyDescent="0.3">
      <c r="A173" t="s">
        <v>567</v>
      </c>
      <c r="B173" s="1">
        <v>45664</v>
      </c>
      <c r="C173" t="s">
        <v>568</v>
      </c>
      <c r="D173" t="s">
        <v>3562</v>
      </c>
      <c r="E173" s="1">
        <v>45667</v>
      </c>
      <c r="F173" t="s">
        <v>2617</v>
      </c>
      <c r="G173" t="s">
        <v>27</v>
      </c>
      <c r="H173" t="s">
        <v>28</v>
      </c>
      <c r="I173" t="s">
        <v>2675</v>
      </c>
      <c r="J173" t="s">
        <v>2710</v>
      </c>
      <c r="K173" t="s">
        <v>25</v>
      </c>
      <c r="L173">
        <v>50</v>
      </c>
      <c r="M173">
        <v>2</v>
      </c>
      <c r="N173">
        <v>10</v>
      </c>
      <c r="O173" t="s">
        <v>569</v>
      </c>
      <c r="P173" t="s">
        <v>44</v>
      </c>
      <c r="Q173" t="s">
        <v>117</v>
      </c>
      <c r="R173" t="s">
        <v>62</v>
      </c>
      <c r="S173" t="s">
        <v>30</v>
      </c>
      <c r="T173">
        <v>5</v>
      </c>
      <c r="U173">
        <v>26.27</v>
      </c>
      <c r="V173">
        <v>27.59</v>
      </c>
      <c r="W173">
        <v>3</v>
      </c>
      <c r="X173" t="s">
        <v>34</v>
      </c>
      <c r="Y173">
        <v>2025</v>
      </c>
    </row>
    <row r="174" spans="1:25" x14ac:dyDescent="0.3">
      <c r="A174" t="s">
        <v>570</v>
      </c>
      <c r="B174" s="1">
        <v>45530</v>
      </c>
      <c r="C174" t="s">
        <v>571</v>
      </c>
      <c r="D174" t="s">
        <v>3561</v>
      </c>
      <c r="E174" s="1">
        <v>45534</v>
      </c>
      <c r="F174" t="s">
        <v>56</v>
      </c>
      <c r="G174" t="s">
        <v>54</v>
      </c>
      <c r="H174" t="s">
        <v>55</v>
      </c>
      <c r="I174" t="s">
        <v>2659</v>
      </c>
      <c r="J174" t="s">
        <v>2660</v>
      </c>
      <c r="K174" t="s">
        <v>25</v>
      </c>
      <c r="L174">
        <v>18</v>
      </c>
      <c r="M174">
        <v>5</v>
      </c>
      <c r="N174">
        <v>5</v>
      </c>
      <c r="O174" t="s">
        <v>572</v>
      </c>
      <c r="P174" t="s">
        <v>75</v>
      </c>
      <c r="Q174" t="s">
        <v>117</v>
      </c>
      <c r="R174" t="s">
        <v>43</v>
      </c>
      <c r="S174" t="s">
        <v>57</v>
      </c>
      <c r="T174">
        <v>5</v>
      </c>
      <c r="U174">
        <v>808.15</v>
      </c>
      <c r="V174">
        <v>2312.4899999999998</v>
      </c>
      <c r="W174">
        <v>4</v>
      </c>
      <c r="X174" t="s">
        <v>45</v>
      </c>
      <c r="Y174">
        <v>2024</v>
      </c>
    </row>
    <row r="175" spans="1:25" x14ac:dyDescent="0.3">
      <c r="A175" t="s">
        <v>573</v>
      </c>
      <c r="B175" s="1">
        <v>46179</v>
      </c>
      <c r="C175" t="s">
        <v>574</v>
      </c>
      <c r="D175" t="s">
        <v>3560</v>
      </c>
      <c r="E175" s="1">
        <v>46182</v>
      </c>
      <c r="F175" t="s">
        <v>128</v>
      </c>
      <c r="G175" t="s">
        <v>98</v>
      </c>
      <c r="H175" t="s">
        <v>127</v>
      </c>
      <c r="I175" t="s">
        <v>2647</v>
      </c>
      <c r="J175" t="s">
        <v>2648</v>
      </c>
      <c r="K175" t="s">
        <v>52</v>
      </c>
      <c r="L175">
        <v>44</v>
      </c>
      <c r="M175">
        <v>1</v>
      </c>
      <c r="N175">
        <v>25</v>
      </c>
      <c r="O175" t="s">
        <v>443</v>
      </c>
      <c r="P175" t="s">
        <v>75</v>
      </c>
      <c r="Q175" t="s">
        <v>31</v>
      </c>
      <c r="R175" t="s">
        <v>43</v>
      </c>
      <c r="S175" t="s">
        <v>129</v>
      </c>
      <c r="T175">
        <v>4</v>
      </c>
      <c r="U175">
        <v>524.5</v>
      </c>
      <c r="V175">
        <v>199.37</v>
      </c>
      <c r="W175">
        <v>3</v>
      </c>
      <c r="X175" t="s">
        <v>49</v>
      </c>
      <c r="Y175">
        <v>2026</v>
      </c>
    </row>
    <row r="176" spans="1:25" x14ac:dyDescent="0.3">
      <c r="A176" t="s">
        <v>575</v>
      </c>
      <c r="B176" s="1">
        <v>45874</v>
      </c>
      <c r="C176" t="s">
        <v>576</v>
      </c>
      <c r="D176" t="s">
        <v>3559</v>
      </c>
      <c r="E176" s="1">
        <v>45875</v>
      </c>
      <c r="F176" t="s">
        <v>2617</v>
      </c>
      <c r="G176" t="s">
        <v>27</v>
      </c>
      <c r="H176" t="s">
        <v>28</v>
      </c>
      <c r="I176" t="s">
        <v>2629</v>
      </c>
      <c r="J176" t="s">
        <v>2709</v>
      </c>
      <c r="K176" t="s">
        <v>52</v>
      </c>
      <c r="L176">
        <v>57</v>
      </c>
      <c r="M176">
        <v>1</v>
      </c>
      <c r="N176">
        <v>5</v>
      </c>
      <c r="O176" t="s">
        <v>577</v>
      </c>
      <c r="P176" t="s">
        <v>44</v>
      </c>
      <c r="Q176" t="s">
        <v>31</v>
      </c>
      <c r="R176" t="s">
        <v>71</v>
      </c>
      <c r="S176" t="s">
        <v>30</v>
      </c>
      <c r="T176">
        <v>3</v>
      </c>
      <c r="U176">
        <v>332.27</v>
      </c>
      <c r="V176">
        <v>266.27999999999997</v>
      </c>
      <c r="W176">
        <v>1</v>
      </c>
      <c r="X176" t="s">
        <v>45</v>
      </c>
      <c r="Y176">
        <v>2025</v>
      </c>
    </row>
    <row r="177" spans="1:25" x14ac:dyDescent="0.3">
      <c r="A177" t="s">
        <v>578</v>
      </c>
      <c r="B177" s="1">
        <v>46121</v>
      </c>
      <c r="C177" t="s">
        <v>579</v>
      </c>
      <c r="D177" t="s">
        <v>3558</v>
      </c>
      <c r="E177" s="1">
        <v>46126</v>
      </c>
      <c r="F177" t="s">
        <v>115</v>
      </c>
      <c r="G177" t="s">
        <v>66</v>
      </c>
      <c r="H177" t="s">
        <v>114</v>
      </c>
      <c r="I177" t="s">
        <v>2634</v>
      </c>
      <c r="J177" t="s">
        <v>2650</v>
      </c>
      <c r="K177" t="s">
        <v>25</v>
      </c>
      <c r="L177">
        <v>64</v>
      </c>
      <c r="M177">
        <v>3</v>
      </c>
      <c r="N177">
        <v>5</v>
      </c>
      <c r="O177" t="s">
        <v>580</v>
      </c>
      <c r="P177" t="s">
        <v>44</v>
      </c>
      <c r="Q177" t="s">
        <v>58</v>
      </c>
      <c r="R177" t="s">
        <v>43</v>
      </c>
      <c r="S177" t="s">
        <v>116</v>
      </c>
      <c r="T177">
        <v>3</v>
      </c>
      <c r="U177">
        <v>706.53</v>
      </c>
      <c r="V177">
        <v>1164.83</v>
      </c>
      <c r="W177">
        <v>5</v>
      </c>
      <c r="X177" t="s">
        <v>49</v>
      </c>
      <c r="Y177">
        <v>2026</v>
      </c>
    </row>
    <row r="178" spans="1:25" x14ac:dyDescent="0.3">
      <c r="A178" t="s">
        <v>581</v>
      </c>
      <c r="B178" s="1">
        <v>45713</v>
      </c>
      <c r="C178" t="s">
        <v>582</v>
      </c>
      <c r="D178" t="s">
        <v>3557</v>
      </c>
      <c r="E178" s="1">
        <v>45719</v>
      </c>
      <c r="F178" t="s">
        <v>40</v>
      </c>
      <c r="G178" t="s">
        <v>38</v>
      </c>
      <c r="H178" t="s">
        <v>39</v>
      </c>
      <c r="I178" t="s">
        <v>2654</v>
      </c>
      <c r="J178" t="s">
        <v>2702</v>
      </c>
      <c r="K178" t="s">
        <v>25</v>
      </c>
      <c r="L178">
        <v>38</v>
      </c>
      <c r="M178">
        <v>5</v>
      </c>
      <c r="N178">
        <v>5</v>
      </c>
      <c r="O178" t="s">
        <v>583</v>
      </c>
      <c r="P178" t="s">
        <v>33</v>
      </c>
      <c r="Q178" t="s">
        <v>31</v>
      </c>
      <c r="R178" t="s">
        <v>71</v>
      </c>
      <c r="S178" t="s">
        <v>41</v>
      </c>
      <c r="T178">
        <v>4</v>
      </c>
      <c r="U178">
        <v>629.22</v>
      </c>
      <c r="V178">
        <v>2432.9899999999998</v>
      </c>
      <c r="W178">
        <v>6</v>
      </c>
      <c r="X178" t="s">
        <v>34</v>
      </c>
      <c r="Y178">
        <v>2025</v>
      </c>
    </row>
    <row r="179" spans="1:25" x14ac:dyDescent="0.3">
      <c r="A179" t="s">
        <v>584</v>
      </c>
      <c r="B179" s="1">
        <v>45810</v>
      </c>
      <c r="C179" t="s">
        <v>585</v>
      </c>
      <c r="D179" t="s">
        <v>3556</v>
      </c>
      <c r="E179" s="1">
        <v>45816</v>
      </c>
      <c r="F179" t="s">
        <v>100</v>
      </c>
      <c r="G179" t="s">
        <v>98</v>
      </c>
      <c r="H179" t="s">
        <v>99</v>
      </c>
      <c r="I179" t="s">
        <v>2633</v>
      </c>
      <c r="J179" t="s">
        <v>2636</v>
      </c>
      <c r="K179" t="s">
        <v>52</v>
      </c>
      <c r="L179">
        <v>46</v>
      </c>
      <c r="M179">
        <v>2</v>
      </c>
      <c r="N179">
        <v>30</v>
      </c>
      <c r="O179" t="s">
        <v>586</v>
      </c>
      <c r="P179" t="s">
        <v>44</v>
      </c>
      <c r="Q179" t="s">
        <v>117</v>
      </c>
      <c r="R179" t="s">
        <v>43</v>
      </c>
      <c r="S179" t="s">
        <v>101</v>
      </c>
      <c r="T179">
        <v>5</v>
      </c>
      <c r="U179">
        <v>103.74</v>
      </c>
      <c r="V179">
        <v>114.32</v>
      </c>
      <c r="W179">
        <v>6</v>
      </c>
      <c r="X179" t="s">
        <v>49</v>
      </c>
      <c r="Y179">
        <v>2025</v>
      </c>
    </row>
    <row r="180" spans="1:25" x14ac:dyDescent="0.3">
      <c r="A180" t="s">
        <v>587</v>
      </c>
      <c r="B180" s="1">
        <v>46137</v>
      </c>
      <c r="C180" t="s">
        <v>588</v>
      </c>
      <c r="D180" t="s">
        <v>3555</v>
      </c>
      <c r="E180" s="1">
        <v>46143</v>
      </c>
      <c r="F180" t="s">
        <v>122</v>
      </c>
      <c r="G180" t="s">
        <v>120</v>
      </c>
      <c r="H180" t="s">
        <v>121</v>
      </c>
      <c r="I180" t="s">
        <v>2625</v>
      </c>
      <c r="J180" t="s">
        <v>2626</v>
      </c>
      <c r="K180" t="s">
        <v>25</v>
      </c>
      <c r="L180">
        <v>34</v>
      </c>
      <c r="M180">
        <v>2</v>
      </c>
      <c r="N180">
        <v>30</v>
      </c>
      <c r="O180" t="s">
        <v>589</v>
      </c>
      <c r="P180" t="s">
        <v>33</v>
      </c>
      <c r="Q180" t="s">
        <v>42</v>
      </c>
      <c r="R180" t="s">
        <v>32</v>
      </c>
      <c r="S180" t="s">
        <v>123</v>
      </c>
      <c r="T180">
        <v>1</v>
      </c>
      <c r="U180">
        <v>564.77</v>
      </c>
      <c r="V180">
        <v>566.70000000000005</v>
      </c>
      <c r="W180">
        <v>6</v>
      </c>
      <c r="X180" t="s">
        <v>49</v>
      </c>
      <c r="Y180">
        <v>2026</v>
      </c>
    </row>
    <row r="181" spans="1:25" x14ac:dyDescent="0.3">
      <c r="A181" t="s">
        <v>590</v>
      </c>
      <c r="B181" s="1">
        <v>45318</v>
      </c>
      <c r="C181" t="s">
        <v>591</v>
      </c>
      <c r="D181" t="s">
        <v>3554</v>
      </c>
      <c r="E181" s="1">
        <v>45320</v>
      </c>
      <c r="F181" t="s">
        <v>2617</v>
      </c>
      <c r="G181" t="s">
        <v>27</v>
      </c>
      <c r="H181" t="s">
        <v>28</v>
      </c>
      <c r="I181" t="s">
        <v>2631</v>
      </c>
      <c r="J181" t="s">
        <v>2694</v>
      </c>
      <c r="K181" t="s">
        <v>52</v>
      </c>
      <c r="L181">
        <v>19</v>
      </c>
      <c r="M181">
        <v>1</v>
      </c>
      <c r="N181">
        <v>0</v>
      </c>
      <c r="O181" t="s">
        <v>592</v>
      </c>
      <c r="P181" t="s">
        <v>33</v>
      </c>
      <c r="Q181" t="s">
        <v>58</v>
      </c>
      <c r="R181" t="s">
        <v>32</v>
      </c>
      <c r="S181" t="s">
        <v>30</v>
      </c>
      <c r="T181">
        <v>1</v>
      </c>
      <c r="U181">
        <v>458.46</v>
      </c>
      <c r="V181">
        <v>355.28</v>
      </c>
      <c r="W181">
        <v>2</v>
      </c>
      <c r="X181" t="s">
        <v>34</v>
      </c>
      <c r="Y181">
        <v>2024</v>
      </c>
    </row>
    <row r="182" spans="1:25" x14ac:dyDescent="0.3">
      <c r="A182" t="s">
        <v>593</v>
      </c>
      <c r="B182" s="1">
        <v>45465</v>
      </c>
      <c r="C182" t="s">
        <v>594</v>
      </c>
      <c r="D182" t="s">
        <v>3553</v>
      </c>
      <c r="E182" s="1">
        <v>45468</v>
      </c>
      <c r="F182" t="s">
        <v>2617</v>
      </c>
      <c r="G182" t="s">
        <v>27</v>
      </c>
      <c r="H182" t="s">
        <v>28</v>
      </c>
      <c r="I182" t="s">
        <v>2672</v>
      </c>
      <c r="J182" t="s">
        <v>2690</v>
      </c>
      <c r="K182" t="s">
        <v>52</v>
      </c>
      <c r="L182">
        <v>55</v>
      </c>
      <c r="M182">
        <v>2</v>
      </c>
      <c r="N182">
        <v>20</v>
      </c>
      <c r="O182" t="s">
        <v>595</v>
      </c>
      <c r="P182" t="s">
        <v>44</v>
      </c>
      <c r="Q182" t="s">
        <v>70</v>
      </c>
      <c r="R182" t="s">
        <v>43</v>
      </c>
      <c r="S182" t="s">
        <v>30</v>
      </c>
      <c r="T182">
        <v>5</v>
      </c>
      <c r="U182">
        <v>62.56</v>
      </c>
      <c r="V182">
        <v>50.41</v>
      </c>
      <c r="W182">
        <v>3</v>
      </c>
      <c r="X182" t="s">
        <v>49</v>
      </c>
      <c r="Y182">
        <v>2024</v>
      </c>
    </row>
    <row r="183" spans="1:25" x14ac:dyDescent="0.3">
      <c r="A183" t="s">
        <v>596</v>
      </c>
      <c r="B183" s="1">
        <v>46085</v>
      </c>
      <c r="C183" t="s">
        <v>597</v>
      </c>
      <c r="D183" t="s">
        <v>3552</v>
      </c>
      <c r="E183" s="1">
        <v>46087</v>
      </c>
      <c r="F183" t="s">
        <v>122</v>
      </c>
      <c r="G183" t="s">
        <v>120</v>
      </c>
      <c r="H183" t="s">
        <v>121</v>
      </c>
      <c r="I183" t="s">
        <v>2639</v>
      </c>
      <c r="J183" t="s">
        <v>2704</v>
      </c>
      <c r="K183" t="s">
        <v>52</v>
      </c>
      <c r="L183">
        <v>59</v>
      </c>
      <c r="M183">
        <v>5</v>
      </c>
      <c r="N183">
        <v>25</v>
      </c>
      <c r="O183" t="s">
        <v>156</v>
      </c>
      <c r="P183" t="s">
        <v>33</v>
      </c>
      <c r="Q183" t="s">
        <v>58</v>
      </c>
      <c r="R183" t="s">
        <v>62</v>
      </c>
      <c r="S183" t="s">
        <v>123</v>
      </c>
      <c r="T183">
        <v>4</v>
      </c>
      <c r="U183">
        <v>950.02</v>
      </c>
      <c r="V183">
        <v>2639.37</v>
      </c>
      <c r="W183">
        <v>2</v>
      </c>
      <c r="X183" t="s">
        <v>34</v>
      </c>
      <c r="Y183">
        <v>2026</v>
      </c>
    </row>
    <row r="184" spans="1:25" x14ac:dyDescent="0.3">
      <c r="A184" t="s">
        <v>598</v>
      </c>
      <c r="B184" s="1">
        <v>45706</v>
      </c>
      <c r="C184" t="s">
        <v>599</v>
      </c>
      <c r="D184" t="s">
        <v>3551</v>
      </c>
      <c r="E184" s="1">
        <v>45712</v>
      </c>
      <c r="F184" t="s">
        <v>122</v>
      </c>
      <c r="G184" t="s">
        <v>120</v>
      </c>
      <c r="H184" t="s">
        <v>121</v>
      </c>
      <c r="I184" t="s">
        <v>2623</v>
      </c>
      <c r="J184" t="s">
        <v>2624</v>
      </c>
      <c r="K184" t="s">
        <v>52</v>
      </c>
      <c r="L184">
        <v>28</v>
      </c>
      <c r="M184">
        <v>4</v>
      </c>
      <c r="N184">
        <v>5</v>
      </c>
      <c r="O184" t="s">
        <v>600</v>
      </c>
      <c r="P184" t="s">
        <v>33</v>
      </c>
      <c r="Q184" t="s">
        <v>117</v>
      </c>
      <c r="R184" t="s">
        <v>62</v>
      </c>
      <c r="S184" t="s">
        <v>123</v>
      </c>
      <c r="T184">
        <v>5</v>
      </c>
      <c r="U184">
        <v>971.62</v>
      </c>
      <c r="V184">
        <v>2710.17</v>
      </c>
      <c r="W184">
        <v>6</v>
      </c>
      <c r="X184" t="s">
        <v>34</v>
      </c>
      <c r="Y184">
        <v>2025</v>
      </c>
    </row>
    <row r="185" spans="1:25" x14ac:dyDescent="0.3">
      <c r="A185" t="s">
        <v>601</v>
      </c>
      <c r="B185" s="1">
        <v>45877</v>
      </c>
      <c r="C185" t="s">
        <v>602</v>
      </c>
      <c r="D185" t="s">
        <v>3550</v>
      </c>
      <c r="E185" s="1">
        <v>45883</v>
      </c>
      <c r="F185" t="s">
        <v>56</v>
      </c>
      <c r="G185" t="s">
        <v>54</v>
      </c>
      <c r="H185" t="s">
        <v>55</v>
      </c>
      <c r="I185" t="s">
        <v>2627</v>
      </c>
      <c r="J185" t="s">
        <v>2717</v>
      </c>
      <c r="K185" t="s">
        <v>25</v>
      </c>
      <c r="L185">
        <v>50</v>
      </c>
      <c r="M185">
        <v>3</v>
      </c>
      <c r="N185">
        <v>5</v>
      </c>
      <c r="O185" t="s">
        <v>603</v>
      </c>
      <c r="P185" t="s">
        <v>33</v>
      </c>
      <c r="Q185" t="s">
        <v>31</v>
      </c>
      <c r="R185" t="s">
        <v>32</v>
      </c>
      <c r="S185" t="s">
        <v>57</v>
      </c>
      <c r="T185">
        <v>3</v>
      </c>
      <c r="U185">
        <v>392.23</v>
      </c>
      <c r="V185">
        <v>887.96</v>
      </c>
      <c r="W185">
        <v>6</v>
      </c>
      <c r="X185" t="s">
        <v>45</v>
      </c>
      <c r="Y185">
        <v>2025</v>
      </c>
    </row>
    <row r="186" spans="1:25" x14ac:dyDescent="0.3">
      <c r="A186" t="s">
        <v>604</v>
      </c>
      <c r="B186" s="1">
        <v>45318</v>
      </c>
      <c r="C186" t="s">
        <v>605</v>
      </c>
      <c r="D186" t="s">
        <v>3549</v>
      </c>
      <c r="E186" s="1">
        <v>45325</v>
      </c>
      <c r="F186" t="s">
        <v>68</v>
      </c>
      <c r="G186" t="s">
        <v>66</v>
      </c>
      <c r="H186" t="s">
        <v>67</v>
      </c>
      <c r="I186" t="s">
        <v>2672</v>
      </c>
      <c r="J186" t="s">
        <v>2716</v>
      </c>
      <c r="K186" t="s">
        <v>52</v>
      </c>
      <c r="L186">
        <v>30</v>
      </c>
      <c r="M186">
        <v>4</v>
      </c>
      <c r="N186">
        <v>0</v>
      </c>
      <c r="O186" t="s">
        <v>156</v>
      </c>
      <c r="P186" t="s">
        <v>75</v>
      </c>
      <c r="Q186" t="s">
        <v>70</v>
      </c>
      <c r="R186" t="s">
        <v>32</v>
      </c>
      <c r="S186" t="s">
        <v>69</v>
      </c>
      <c r="T186">
        <v>5</v>
      </c>
      <c r="U186">
        <v>636.87</v>
      </c>
      <c r="V186">
        <v>1543.83</v>
      </c>
      <c r="W186">
        <v>7</v>
      </c>
      <c r="X186" t="s">
        <v>34</v>
      </c>
      <c r="Y186">
        <v>2024</v>
      </c>
    </row>
    <row r="187" spans="1:25" x14ac:dyDescent="0.3">
      <c r="A187" t="s">
        <v>606</v>
      </c>
      <c r="B187" s="1">
        <v>46069</v>
      </c>
      <c r="C187" t="s">
        <v>607</v>
      </c>
      <c r="D187" t="s">
        <v>3548</v>
      </c>
      <c r="E187" s="1">
        <v>46072</v>
      </c>
      <c r="F187" t="s">
        <v>128</v>
      </c>
      <c r="G187" t="s">
        <v>98</v>
      </c>
      <c r="H187" t="s">
        <v>127</v>
      </c>
      <c r="I187" t="s">
        <v>2627</v>
      </c>
      <c r="J187" t="s">
        <v>2698</v>
      </c>
      <c r="K187" t="s">
        <v>25</v>
      </c>
      <c r="L187">
        <v>30</v>
      </c>
      <c r="M187">
        <v>5</v>
      </c>
      <c r="N187">
        <v>20</v>
      </c>
      <c r="O187" t="s">
        <v>608</v>
      </c>
      <c r="P187" t="s">
        <v>44</v>
      </c>
      <c r="Q187" t="s">
        <v>31</v>
      </c>
      <c r="R187" t="s">
        <v>43</v>
      </c>
      <c r="S187" t="s">
        <v>129</v>
      </c>
      <c r="T187">
        <v>5</v>
      </c>
      <c r="U187">
        <v>140.29</v>
      </c>
      <c r="V187">
        <v>332.32</v>
      </c>
      <c r="W187">
        <v>3</v>
      </c>
      <c r="X187" t="s">
        <v>34</v>
      </c>
      <c r="Y187">
        <v>2026</v>
      </c>
    </row>
    <row r="188" spans="1:25" x14ac:dyDescent="0.3">
      <c r="A188" t="s">
        <v>609</v>
      </c>
      <c r="B188" s="1">
        <v>45302</v>
      </c>
      <c r="C188" t="s">
        <v>610</v>
      </c>
      <c r="D188" t="s">
        <v>3547</v>
      </c>
      <c r="E188" s="1">
        <v>45306</v>
      </c>
      <c r="F188" t="s">
        <v>68</v>
      </c>
      <c r="G188" t="s">
        <v>66</v>
      </c>
      <c r="H188" t="s">
        <v>67</v>
      </c>
      <c r="I188" t="s">
        <v>2652</v>
      </c>
      <c r="J188" t="s">
        <v>2706</v>
      </c>
      <c r="K188" t="s">
        <v>25</v>
      </c>
      <c r="L188">
        <v>21</v>
      </c>
      <c r="M188">
        <v>5</v>
      </c>
      <c r="N188">
        <v>0</v>
      </c>
      <c r="O188" t="s">
        <v>371</v>
      </c>
      <c r="P188" t="s">
        <v>75</v>
      </c>
      <c r="Q188" t="s">
        <v>70</v>
      </c>
      <c r="R188" t="s">
        <v>71</v>
      </c>
      <c r="S188" t="s">
        <v>69</v>
      </c>
      <c r="T188">
        <v>2</v>
      </c>
      <c r="U188">
        <v>589.05999999999995</v>
      </c>
      <c r="V188">
        <v>1891.44</v>
      </c>
      <c r="W188">
        <v>4</v>
      </c>
      <c r="X188" t="s">
        <v>34</v>
      </c>
      <c r="Y188">
        <v>2024</v>
      </c>
    </row>
    <row r="189" spans="1:25" x14ac:dyDescent="0.3">
      <c r="A189" t="s">
        <v>611</v>
      </c>
      <c r="B189" s="1">
        <v>45369</v>
      </c>
      <c r="C189" t="s">
        <v>612</v>
      </c>
      <c r="D189" t="s">
        <v>3546</v>
      </c>
      <c r="E189" s="1">
        <v>45372</v>
      </c>
      <c r="F189" t="s">
        <v>128</v>
      </c>
      <c r="G189" t="s">
        <v>98</v>
      </c>
      <c r="H189" t="s">
        <v>127</v>
      </c>
      <c r="I189" t="s">
        <v>2622</v>
      </c>
      <c r="J189" t="s">
        <v>2704</v>
      </c>
      <c r="K189" t="s">
        <v>25</v>
      </c>
      <c r="L189">
        <v>57</v>
      </c>
      <c r="M189">
        <v>3</v>
      </c>
      <c r="N189">
        <v>0</v>
      </c>
      <c r="O189" t="s">
        <v>613</v>
      </c>
      <c r="P189" t="s">
        <v>44</v>
      </c>
      <c r="Q189" t="s">
        <v>42</v>
      </c>
      <c r="R189" t="s">
        <v>62</v>
      </c>
      <c r="S189" t="s">
        <v>129</v>
      </c>
      <c r="T189">
        <v>1</v>
      </c>
      <c r="U189">
        <v>764.86</v>
      </c>
      <c r="V189">
        <v>1623.84</v>
      </c>
      <c r="W189">
        <v>3</v>
      </c>
      <c r="X189" t="s">
        <v>34</v>
      </c>
      <c r="Y189">
        <v>2024</v>
      </c>
    </row>
    <row r="190" spans="1:25" x14ac:dyDescent="0.3">
      <c r="A190" t="s">
        <v>614</v>
      </c>
      <c r="B190" s="1">
        <v>45974</v>
      </c>
      <c r="C190" t="s">
        <v>615</v>
      </c>
      <c r="D190" t="s">
        <v>3545</v>
      </c>
      <c r="E190" s="1">
        <v>45980</v>
      </c>
      <c r="F190" t="s">
        <v>128</v>
      </c>
      <c r="G190" t="s">
        <v>98</v>
      </c>
      <c r="H190" t="s">
        <v>127</v>
      </c>
      <c r="I190" t="s">
        <v>2623</v>
      </c>
      <c r="J190" t="s">
        <v>2701</v>
      </c>
      <c r="K190" t="s">
        <v>52</v>
      </c>
      <c r="L190">
        <v>24</v>
      </c>
      <c r="M190">
        <v>4</v>
      </c>
      <c r="N190">
        <v>20</v>
      </c>
      <c r="O190" t="s">
        <v>616</v>
      </c>
      <c r="P190" t="s">
        <v>44</v>
      </c>
      <c r="Q190" t="s">
        <v>42</v>
      </c>
      <c r="R190" t="s">
        <v>71</v>
      </c>
      <c r="S190" t="s">
        <v>129</v>
      </c>
      <c r="T190">
        <v>2</v>
      </c>
      <c r="U190">
        <v>346.58</v>
      </c>
      <c r="V190">
        <v>940.76</v>
      </c>
      <c r="W190">
        <v>6</v>
      </c>
      <c r="X190" t="s">
        <v>94</v>
      </c>
      <c r="Y190">
        <v>2025</v>
      </c>
    </row>
    <row r="191" spans="1:25" x14ac:dyDescent="0.3">
      <c r="A191" t="s">
        <v>617</v>
      </c>
      <c r="B191" s="1">
        <v>45923</v>
      </c>
      <c r="C191" t="s">
        <v>618</v>
      </c>
      <c r="D191" t="s">
        <v>3544</v>
      </c>
      <c r="E191" s="1">
        <v>45925</v>
      </c>
      <c r="F191" t="s">
        <v>122</v>
      </c>
      <c r="G191" t="s">
        <v>120</v>
      </c>
      <c r="H191" t="s">
        <v>121</v>
      </c>
      <c r="I191" t="s">
        <v>2631</v>
      </c>
      <c r="J191" t="s">
        <v>2711</v>
      </c>
      <c r="K191" t="s">
        <v>52</v>
      </c>
      <c r="L191">
        <v>42</v>
      </c>
      <c r="M191">
        <v>1</v>
      </c>
      <c r="N191">
        <v>0</v>
      </c>
      <c r="O191" t="s">
        <v>619</v>
      </c>
      <c r="P191" t="s">
        <v>75</v>
      </c>
      <c r="Q191" t="s">
        <v>58</v>
      </c>
      <c r="R191" t="s">
        <v>62</v>
      </c>
      <c r="S191" t="s">
        <v>123</v>
      </c>
      <c r="T191">
        <v>5</v>
      </c>
      <c r="U191">
        <v>992.73</v>
      </c>
      <c r="V191">
        <v>835.49</v>
      </c>
      <c r="W191">
        <v>2</v>
      </c>
      <c r="X191" t="s">
        <v>45</v>
      </c>
      <c r="Y191">
        <v>2025</v>
      </c>
    </row>
    <row r="192" spans="1:25" x14ac:dyDescent="0.3">
      <c r="A192" t="s">
        <v>620</v>
      </c>
      <c r="B192" s="1">
        <v>45540</v>
      </c>
      <c r="C192" t="s">
        <v>621</v>
      </c>
      <c r="D192" t="s">
        <v>3543</v>
      </c>
      <c r="E192" s="1">
        <v>45541</v>
      </c>
      <c r="F192" t="s">
        <v>122</v>
      </c>
      <c r="G192" t="s">
        <v>120</v>
      </c>
      <c r="H192" t="s">
        <v>121</v>
      </c>
      <c r="I192" t="s">
        <v>2634</v>
      </c>
      <c r="J192" t="s">
        <v>2714</v>
      </c>
      <c r="K192" t="s">
        <v>52</v>
      </c>
      <c r="L192">
        <v>26</v>
      </c>
      <c r="M192">
        <v>5</v>
      </c>
      <c r="N192">
        <v>15</v>
      </c>
      <c r="O192" t="s">
        <v>622</v>
      </c>
      <c r="P192" t="s">
        <v>75</v>
      </c>
      <c r="Q192" t="s">
        <v>58</v>
      </c>
      <c r="R192" t="s">
        <v>62</v>
      </c>
      <c r="S192" t="s">
        <v>123</v>
      </c>
      <c r="T192">
        <v>4</v>
      </c>
      <c r="U192">
        <v>239.36</v>
      </c>
      <c r="V192">
        <v>725.35</v>
      </c>
      <c r="W192">
        <v>1</v>
      </c>
      <c r="X192" t="s">
        <v>45</v>
      </c>
      <c r="Y192">
        <v>2024</v>
      </c>
    </row>
    <row r="193" spans="1:25" x14ac:dyDescent="0.3">
      <c r="A193" t="s">
        <v>623</v>
      </c>
      <c r="B193" s="1">
        <v>46185</v>
      </c>
      <c r="C193" t="s">
        <v>624</v>
      </c>
      <c r="D193" t="s">
        <v>3542</v>
      </c>
      <c r="E193" s="1">
        <v>46190</v>
      </c>
      <c r="F193" t="s">
        <v>140</v>
      </c>
      <c r="G193" t="s">
        <v>38</v>
      </c>
      <c r="H193" t="s">
        <v>139</v>
      </c>
      <c r="I193" t="s">
        <v>2629</v>
      </c>
      <c r="J193" t="s">
        <v>2697</v>
      </c>
      <c r="K193" t="s">
        <v>52</v>
      </c>
      <c r="L193">
        <v>62</v>
      </c>
      <c r="M193">
        <v>2</v>
      </c>
      <c r="N193">
        <v>5</v>
      </c>
      <c r="O193" t="s">
        <v>625</v>
      </c>
      <c r="P193" t="s">
        <v>44</v>
      </c>
      <c r="Q193" t="s">
        <v>70</v>
      </c>
      <c r="R193" t="s">
        <v>32</v>
      </c>
      <c r="S193" t="s">
        <v>141</v>
      </c>
      <c r="T193">
        <v>3</v>
      </c>
      <c r="U193">
        <v>193.23</v>
      </c>
      <c r="V193">
        <v>209.06</v>
      </c>
      <c r="W193">
        <v>5</v>
      </c>
      <c r="X193" t="s">
        <v>49</v>
      </c>
      <c r="Y193">
        <v>2026</v>
      </c>
    </row>
    <row r="194" spans="1:25" x14ac:dyDescent="0.3">
      <c r="A194" t="s">
        <v>626</v>
      </c>
      <c r="B194" s="1">
        <v>45788</v>
      </c>
      <c r="C194" t="s">
        <v>627</v>
      </c>
      <c r="D194" t="s">
        <v>3541</v>
      </c>
      <c r="E194" s="1">
        <v>45793</v>
      </c>
      <c r="F194" t="s">
        <v>2617</v>
      </c>
      <c r="G194" t="s">
        <v>27</v>
      </c>
      <c r="H194" t="s">
        <v>28</v>
      </c>
      <c r="I194" t="s">
        <v>2635</v>
      </c>
      <c r="J194" t="s">
        <v>2720</v>
      </c>
      <c r="K194" t="s">
        <v>25</v>
      </c>
      <c r="L194">
        <v>30</v>
      </c>
      <c r="M194">
        <v>5</v>
      </c>
      <c r="N194">
        <v>25</v>
      </c>
      <c r="O194" t="s">
        <v>628</v>
      </c>
      <c r="P194" t="s">
        <v>33</v>
      </c>
      <c r="Q194" t="s">
        <v>117</v>
      </c>
      <c r="R194" t="s">
        <v>43</v>
      </c>
      <c r="S194" t="s">
        <v>30</v>
      </c>
      <c r="T194">
        <v>2</v>
      </c>
      <c r="U194">
        <v>457.4</v>
      </c>
      <c r="V194">
        <v>1387.55</v>
      </c>
      <c r="W194">
        <v>5</v>
      </c>
      <c r="X194" t="s">
        <v>49</v>
      </c>
      <c r="Y194">
        <v>2025</v>
      </c>
    </row>
    <row r="195" spans="1:25" x14ac:dyDescent="0.3">
      <c r="A195" t="s">
        <v>629</v>
      </c>
      <c r="B195" s="1">
        <v>45685</v>
      </c>
      <c r="C195" t="s">
        <v>630</v>
      </c>
      <c r="D195" t="s">
        <v>3540</v>
      </c>
      <c r="E195" s="1">
        <v>45688</v>
      </c>
      <c r="F195" t="s">
        <v>2617</v>
      </c>
      <c r="G195" t="s">
        <v>27</v>
      </c>
      <c r="H195" t="s">
        <v>28</v>
      </c>
      <c r="I195" t="s">
        <v>2623</v>
      </c>
      <c r="J195" t="s">
        <v>2701</v>
      </c>
      <c r="K195" t="s">
        <v>52</v>
      </c>
      <c r="L195">
        <v>42</v>
      </c>
      <c r="M195">
        <v>2</v>
      </c>
      <c r="N195">
        <v>25</v>
      </c>
      <c r="O195" t="s">
        <v>631</v>
      </c>
      <c r="P195" t="s">
        <v>75</v>
      </c>
      <c r="Q195" t="s">
        <v>31</v>
      </c>
      <c r="R195" t="s">
        <v>71</v>
      </c>
      <c r="S195" t="s">
        <v>30</v>
      </c>
      <c r="T195">
        <v>2</v>
      </c>
      <c r="U195">
        <v>138.41</v>
      </c>
      <c r="V195">
        <v>169.14</v>
      </c>
      <c r="W195">
        <v>3</v>
      </c>
      <c r="X195" t="s">
        <v>34</v>
      </c>
      <c r="Y195">
        <v>2025</v>
      </c>
    </row>
    <row r="196" spans="1:25" x14ac:dyDescent="0.3">
      <c r="A196" t="s">
        <v>632</v>
      </c>
      <c r="B196" s="1">
        <v>45694</v>
      </c>
      <c r="C196" t="s">
        <v>633</v>
      </c>
      <c r="D196" t="s">
        <v>3539</v>
      </c>
      <c r="E196" s="1">
        <v>45701</v>
      </c>
      <c r="F196" t="s">
        <v>100</v>
      </c>
      <c r="G196" t="s">
        <v>98</v>
      </c>
      <c r="H196" t="s">
        <v>99</v>
      </c>
      <c r="I196" t="s">
        <v>2625</v>
      </c>
      <c r="J196" t="s">
        <v>2703</v>
      </c>
      <c r="K196" t="s">
        <v>25</v>
      </c>
      <c r="L196">
        <v>45</v>
      </c>
      <c r="M196">
        <v>1</v>
      </c>
      <c r="N196">
        <v>0</v>
      </c>
      <c r="O196" t="s">
        <v>634</v>
      </c>
      <c r="P196" t="s">
        <v>44</v>
      </c>
      <c r="Q196" t="s">
        <v>58</v>
      </c>
      <c r="R196" t="s">
        <v>32</v>
      </c>
      <c r="S196" t="s">
        <v>101</v>
      </c>
      <c r="T196">
        <v>4</v>
      </c>
      <c r="U196">
        <v>393.64</v>
      </c>
      <c r="V196">
        <v>225.7</v>
      </c>
      <c r="W196">
        <v>7</v>
      </c>
      <c r="X196" t="s">
        <v>34</v>
      </c>
      <c r="Y196">
        <v>2025</v>
      </c>
    </row>
    <row r="197" spans="1:25" x14ac:dyDescent="0.3">
      <c r="A197" t="s">
        <v>635</v>
      </c>
      <c r="B197" s="1">
        <v>45962</v>
      </c>
      <c r="C197" t="s">
        <v>636</v>
      </c>
      <c r="D197" t="s">
        <v>3538</v>
      </c>
      <c r="E197" s="1">
        <v>45967</v>
      </c>
      <c r="F197" t="s">
        <v>2617</v>
      </c>
      <c r="G197" t="s">
        <v>27</v>
      </c>
      <c r="H197" t="s">
        <v>28</v>
      </c>
      <c r="I197" t="s">
        <v>2633</v>
      </c>
      <c r="J197" t="s">
        <v>2678</v>
      </c>
      <c r="K197" t="s">
        <v>25</v>
      </c>
      <c r="L197">
        <v>45</v>
      </c>
      <c r="M197">
        <v>2</v>
      </c>
      <c r="N197">
        <v>15</v>
      </c>
      <c r="O197" t="s">
        <v>637</v>
      </c>
      <c r="P197" t="s">
        <v>33</v>
      </c>
      <c r="Q197" t="s">
        <v>31</v>
      </c>
      <c r="R197" t="s">
        <v>32</v>
      </c>
      <c r="S197" t="s">
        <v>30</v>
      </c>
      <c r="T197">
        <v>1</v>
      </c>
      <c r="U197">
        <v>773.2</v>
      </c>
      <c r="V197">
        <v>662.65</v>
      </c>
      <c r="W197">
        <v>5</v>
      </c>
      <c r="X197" t="s">
        <v>94</v>
      </c>
      <c r="Y197">
        <v>2025</v>
      </c>
    </row>
    <row r="198" spans="1:25" x14ac:dyDescent="0.3">
      <c r="A198" t="s">
        <v>638</v>
      </c>
      <c r="B198" s="1">
        <v>45304</v>
      </c>
      <c r="C198" t="s">
        <v>639</v>
      </c>
      <c r="D198" t="s">
        <v>3537</v>
      </c>
      <c r="E198" s="1">
        <v>45310</v>
      </c>
      <c r="F198" t="s">
        <v>68</v>
      </c>
      <c r="G198" t="s">
        <v>66</v>
      </c>
      <c r="H198" t="s">
        <v>67</v>
      </c>
      <c r="I198" t="s">
        <v>2629</v>
      </c>
      <c r="J198" t="s">
        <v>2689</v>
      </c>
      <c r="K198" t="s">
        <v>25</v>
      </c>
      <c r="L198">
        <v>65</v>
      </c>
      <c r="M198">
        <v>1</v>
      </c>
      <c r="N198">
        <v>15</v>
      </c>
      <c r="O198" t="s">
        <v>640</v>
      </c>
      <c r="P198" t="s">
        <v>75</v>
      </c>
      <c r="Q198" t="s">
        <v>117</v>
      </c>
      <c r="R198" t="s">
        <v>43</v>
      </c>
      <c r="S198" t="s">
        <v>69</v>
      </c>
      <c r="T198">
        <v>4</v>
      </c>
      <c r="U198">
        <v>537.58000000000004</v>
      </c>
      <c r="V198">
        <v>245.76</v>
      </c>
      <c r="W198">
        <v>6</v>
      </c>
      <c r="X198" t="s">
        <v>34</v>
      </c>
      <c r="Y198">
        <v>2024</v>
      </c>
    </row>
    <row r="199" spans="1:25" x14ac:dyDescent="0.3">
      <c r="A199" t="s">
        <v>641</v>
      </c>
      <c r="B199" s="1">
        <v>45504</v>
      </c>
      <c r="C199" t="s">
        <v>642</v>
      </c>
      <c r="D199" t="s">
        <v>3536</v>
      </c>
      <c r="E199" s="1">
        <v>45509</v>
      </c>
      <c r="F199" t="s">
        <v>68</v>
      </c>
      <c r="G199" t="s">
        <v>66</v>
      </c>
      <c r="H199" t="s">
        <v>67</v>
      </c>
      <c r="I199" t="s">
        <v>2654</v>
      </c>
      <c r="J199" t="s">
        <v>2684</v>
      </c>
      <c r="K199" t="s">
        <v>52</v>
      </c>
      <c r="L199">
        <v>56</v>
      </c>
      <c r="M199">
        <v>4</v>
      </c>
      <c r="N199">
        <v>10</v>
      </c>
      <c r="O199" t="s">
        <v>643</v>
      </c>
      <c r="P199" t="s">
        <v>33</v>
      </c>
      <c r="Q199" t="s">
        <v>117</v>
      </c>
      <c r="R199" t="s">
        <v>71</v>
      </c>
      <c r="S199" t="s">
        <v>69</v>
      </c>
      <c r="T199">
        <v>5</v>
      </c>
      <c r="U199">
        <v>283.67</v>
      </c>
      <c r="V199">
        <v>656.08</v>
      </c>
      <c r="W199">
        <v>5</v>
      </c>
      <c r="X199" t="s">
        <v>45</v>
      </c>
      <c r="Y199">
        <v>2024</v>
      </c>
    </row>
    <row r="200" spans="1:25" x14ac:dyDescent="0.3">
      <c r="A200" t="s">
        <v>644</v>
      </c>
      <c r="B200" s="1">
        <v>46047</v>
      </c>
      <c r="C200" t="s">
        <v>645</v>
      </c>
      <c r="D200" t="s">
        <v>3535</v>
      </c>
      <c r="E200" s="1">
        <v>46050</v>
      </c>
      <c r="F200" t="s">
        <v>128</v>
      </c>
      <c r="G200" t="s">
        <v>98</v>
      </c>
      <c r="H200" t="s">
        <v>127</v>
      </c>
      <c r="I200" t="s">
        <v>2627</v>
      </c>
      <c r="J200" t="s">
        <v>2628</v>
      </c>
      <c r="K200" t="s">
        <v>52</v>
      </c>
      <c r="L200">
        <v>64</v>
      </c>
      <c r="M200">
        <v>2</v>
      </c>
      <c r="N200">
        <v>30</v>
      </c>
      <c r="O200" t="s">
        <v>646</v>
      </c>
      <c r="P200" t="s">
        <v>75</v>
      </c>
      <c r="Q200" t="s">
        <v>31</v>
      </c>
      <c r="R200" t="s">
        <v>43</v>
      </c>
      <c r="S200" t="s">
        <v>129</v>
      </c>
      <c r="T200">
        <v>4</v>
      </c>
      <c r="U200">
        <v>902.22</v>
      </c>
      <c r="V200">
        <v>853.55</v>
      </c>
      <c r="W200">
        <v>3</v>
      </c>
      <c r="X200" t="s">
        <v>34</v>
      </c>
      <c r="Y200">
        <v>2026</v>
      </c>
    </row>
    <row r="201" spans="1:25" x14ac:dyDescent="0.3">
      <c r="A201" t="s">
        <v>647</v>
      </c>
      <c r="B201" s="1">
        <v>45870</v>
      </c>
      <c r="C201" t="s">
        <v>648</v>
      </c>
      <c r="D201" t="s">
        <v>3534</v>
      </c>
      <c r="E201" s="1">
        <v>45877</v>
      </c>
      <c r="F201" t="s">
        <v>68</v>
      </c>
      <c r="G201" t="s">
        <v>66</v>
      </c>
      <c r="H201" t="s">
        <v>67</v>
      </c>
      <c r="I201" t="s">
        <v>2631</v>
      </c>
      <c r="J201" t="s">
        <v>2711</v>
      </c>
      <c r="K201" t="s">
        <v>52</v>
      </c>
      <c r="L201">
        <v>42</v>
      </c>
      <c r="M201">
        <v>2</v>
      </c>
      <c r="N201">
        <v>25</v>
      </c>
      <c r="O201" t="s">
        <v>649</v>
      </c>
      <c r="P201" t="s">
        <v>44</v>
      </c>
      <c r="Q201" t="s">
        <v>58</v>
      </c>
      <c r="R201" t="s">
        <v>43</v>
      </c>
      <c r="S201" t="s">
        <v>69</v>
      </c>
      <c r="T201">
        <v>1</v>
      </c>
      <c r="U201">
        <v>632.14</v>
      </c>
      <c r="V201">
        <v>789.49</v>
      </c>
      <c r="W201">
        <v>7</v>
      </c>
      <c r="X201" t="s">
        <v>45</v>
      </c>
      <c r="Y201">
        <v>2025</v>
      </c>
    </row>
    <row r="202" spans="1:25" x14ac:dyDescent="0.3">
      <c r="A202" t="s">
        <v>650</v>
      </c>
      <c r="B202" s="1">
        <v>45657</v>
      </c>
      <c r="C202" t="s">
        <v>651</v>
      </c>
      <c r="D202" t="s">
        <v>3533</v>
      </c>
      <c r="E202" s="1">
        <v>45660</v>
      </c>
      <c r="F202" t="s">
        <v>2617</v>
      </c>
      <c r="G202" t="s">
        <v>27</v>
      </c>
      <c r="H202" t="s">
        <v>28</v>
      </c>
      <c r="I202" t="s">
        <v>2629</v>
      </c>
      <c r="J202" t="s">
        <v>2709</v>
      </c>
      <c r="K202" t="s">
        <v>52</v>
      </c>
      <c r="L202">
        <v>18</v>
      </c>
      <c r="M202">
        <v>1</v>
      </c>
      <c r="N202">
        <v>15</v>
      </c>
      <c r="O202" t="s">
        <v>652</v>
      </c>
      <c r="P202" t="s">
        <v>44</v>
      </c>
      <c r="Q202" t="s">
        <v>58</v>
      </c>
      <c r="R202" t="s">
        <v>71</v>
      </c>
      <c r="S202" t="s">
        <v>30</v>
      </c>
      <c r="T202">
        <v>4</v>
      </c>
      <c r="U202">
        <v>810.04</v>
      </c>
      <c r="V202">
        <v>583.44000000000005</v>
      </c>
      <c r="W202">
        <v>3</v>
      </c>
      <c r="X202" t="s">
        <v>94</v>
      </c>
      <c r="Y202">
        <v>2024</v>
      </c>
    </row>
    <row r="203" spans="1:25" x14ac:dyDescent="0.3">
      <c r="A203" t="s">
        <v>653</v>
      </c>
      <c r="B203" s="1">
        <v>46109</v>
      </c>
      <c r="C203" t="s">
        <v>654</v>
      </c>
      <c r="D203" t="s">
        <v>3532</v>
      </c>
      <c r="E203" s="1">
        <v>46110</v>
      </c>
      <c r="F203" t="s">
        <v>56</v>
      </c>
      <c r="G203" t="s">
        <v>54</v>
      </c>
      <c r="H203" t="s">
        <v>55</v>
      </c>
      <c r="I203" t="s">
        <v>2634</v>
      </c>
      <c r="J203" t="s">
        <v>2714</v>
      </c>
      <c r="K203" t="s">
        <v>25</v>
      </c>
      <c r="L203">
        <v>62</v>
      </c>
      <c r="M203">
        <v>5</v>
      </c>
      <c r="N203">
        <v>20</v>
      </c>
      <c r="O203" t="s">
        <v>655</v>
      </c>
      <c r="P203" t="s">
        <v>75</v>
      </c>
      <c r="Q203" t="s">
        <v>117</v>
      </c>
      <c r="R203" t="s">
        <v>71</v>
      </c>
      <c r="S203" t="s">
        <v>57</v>
      </c>
      <c r="T203">
        <v>4</v>
      </c>
      <c r="U203">
        <v>341.26</v>
      </c>
      <c r="V203">
        <v>886.45</v>
      </c>
      <c r="W203">
        <v>1</v>
      </c>
      <c r="X203" t="s">
        <v>34</v>
      </c>
      <c r="Y203">
        <v>2026</v>
      </c>
    </row>
    <row r="204" spans="1:25" x14ac:dyDescent="0.3">
      <c r="A204" t="s">
        <v>656</v>
      </c>
      <c r="B204" s="1">
        <v>45711</v>
      </c>
      <c r="C204" t="s">
        <v>657</v>
      </c>
      <c r="D204" t="s">
        <v>3531</v>
      </c>
      <c r="E204" s="1">
        <v>45713</v>
      </c>
      <c r="F204" t="s">
        <v>140</v>
      </c>
      <c r="G204" t="s">
        <v>38</v>
      </c>
      <c r="H204" t="s">
        <v>139</v>
      </c>
      <c r="I204" t="s">
        <v>2633</v>
      </c>
      <c r="J204" t="s">
        <v>2695</v>
      </c>
      <c r="K204" t="s">
        <v>25</v>
      </c>
      <c r="L204">
        <v>38</v>
      </c>
      <c r="M204">
        <v>4</v>
      </c>
      <c r="N204">
        <v>20</v>
      </c>
      <c r="O204" t="s">
        <v>658</v>
      </c>
      <c r="P204" t="s">
        <v>75</v>
      </c>
      <c r="Q204" t="s">
        <v>42</v>
      </c>
      <c r="R204" t="s">
        <v>71</v>
      </c>
      <c r="S204" t="s">
        <v>141</v>
      </c>
      <c r="T204">
        <v>2</v>
      </c>
      <c r="U204">
        <v>453.11</v>
      </c>
      <c r="V204">
        <v>763.3</v>
      </c>
      <c r="W204">
        <v>2</v>
      </c>
      <c r="X204" t="s">
        <v>34</v>
      </c>
      <c r="Y204">
        <v>2025</v>
      </c>
    </row>
    <row r="205" spans="1:25" x14ac:dyDescent="0.3">
      <c r="A205" t="s">
        <v>659</v>
      </c>
      <c r="B205" s="1">
        <v>45876</v>
      </c>
      <c r="C205" t="s">
        <v>660</v>
      </c>
      <c r="D205" t="s">
        <v>3530</v>
      </c>
      <c r="E205" s="1">
        <v>45877</v>
      </c>
      <c r="F205" t="s">
        <v>2617</v>
      </c>
      <c r="G205" t="s">
        <v>27</v>
      </c>
      <c r="H205" t="s">
        <v>28</v>
      </c>
      <c r="I205" t="s">
        <v>2629</v>
      </c>
      <c r="J205" t="s">
        <v>2709</v>
      </c>
      <c r="K205" t="s">
        <v>25</v>
      </c>
      <c r="L205">
        <v>64</v>
      </c>
      <c r="M205">
        <v>1</v>
      </c>
      <c r="N205">
        <v>0</v>
      </c>
      <c r="O205" t="s">
        <v>586</v>
      </c>
      <c r="P205" t="s">
        <v>44</v>
      </c>
      <c r="Q205" t="s">
        <v>31</v>
      </c>
      <c r="R205" t="s">
        <v>71</v>
      </c>
      <c r="S205" t="s">
        <v>30</v>
      </c>
      <c r="T205">
        <v>1</v>
      </c>
      <c r="U205">
        <v>383.92</v>
      </c>
      <c r="V205">
        <v>279.76</v>
      </c>
      <c r="W205">
        <v>1</v>
      </c>
      <c r="X205" t="s">
        <v>45</v>
      </c>
      <c r="Y205">
        <v>2025</v>
      </c>
    </row>
    <row r="206" spans="1:25" x14ac:dyDescent="0.3">
      <c r="A206" t="s">
        <v>661</v>
      </c>
      <c r="B206" s="1">
        <v>46178</v>
      </c>
      <c r="C206" t="s">
        <v>662</v>
      </c>
      <c r="D206" t="s">
        <v>3529</v>
      </c>
      <c r="E206" s="1">
        <v>46184</v>
      </c>
      <c r="F206" t="s">
        <v>122</v>
      </c>
      <c r="G206" t="s">
        <v>120</v>
      </c>
      <c r="H206" t="s">
        <v>121</v>
      </c>
      <c r="I206" t="s">
        <v>2634</v>
      </c>
      <c r="J206" t="s">
        <v>2650</v>
      </c>
      <c r="K206" t="s">
        <v>52</v>
      </c>
      <c r="L206">
        <v>46</v>
      </c>
      <c r="M206">
        <v>4</v>
      </c>
      <c r="N206">
        <v>15</v>
      </c>
      <c r="O206" t="s">
        <v>663</v>
      </c>
      <c r="P206" t="s">
        <v>44</v>
      </c>
      <c r="Q206" t="s">
        <v>70</v>
      </c>
      <c r="R206" t="s">
        <v>71</v>
      </c>
      <c r="S206" t="s">
        <v>123</v>
      </c>
      <c r="T206">
        <v>4</v>
      </c>
      <c r="U206">
        <v>214.65</v>
      </c>
      <c r="V206">
        <v>410.64</v>
      </c>
      <c r="W206">
        <v>6</v>
      </c>
      <c r="X206" t="s">
        <v>49</v>
      </c>
      <c r="Y206">
        <v>2026</v>
      </c>
    </row>
    <row r="207" spans="1:25" x14ac:dyDescent="0.3">
      <c r="A207" t="s">
        <v>664</v>
      </c>
      <c r="B207" s="1">
        <v>45926</v>
      </c>
      <c r="C207" t="s">
        <v>665</v>
      </c>
      <c r="D207" t="s">
        <v>3528</v>
      </c>
      <c r="E207" s="1">
        <v>45930</v>
      </c>
      <c r="F207" t="s">
        <v>40</v>
      </c>
      <c r="G207" t="s">
        <v>38</v>
      </c>
      <c r="H207" t="s">
        <v>39</v>
      </c>
      <c r="I207" t="s">
        <v>2654</v>
      </c>
      <c r="J207" t="s">
        <v>2655</v>
      </c>
      <c r="K207" t="s">
        <v>52</v>
      </c>
      <c r="L207">
        <v>42</v>
      </c>
      <c r="M207">
        <v>2</v>
      </c>
      <c r="N207">
        <v>0</v>
      </c>
      <c r="O207" t="s">
        <v>666</v>
      </c>
      <c r="P207" t="s">
        <v>44</v>
      </c>
      <c r="Q207" t="s">
        <v>58</v>
      </c>
      <c r="R207" t="s">
        <v>71</v>
      </c>
      <c r="S207" t="s">
        <v>41</v>
      </c>
      <c r="T207">
        <v>5</v>
      </c>
      <c r="U207">
        <v>602.55999999999995</v>
      </c>
      <c r="V207">
        <v>867.98</v>
      </c>
      <c r="W207">
        <v>4</v>
      </c>
      <c r="X207" t="s">
        <v>45</v>
      </c>
      <c r="Y207">
        <v>2025</v>
      </c>
    </row>
    <row r="208" spans="1:25" x14ac:dyDescent="0.3">
      <c r="A208" t="s">
        <v>667</v>
      </c>
      <c r="B208" s="1">
        <v>46128</v>
      </c>
      <c r="C208" t="s">
        <v>668</v>
      </c>
      <c r="D208" t="s">
        <v>3527</v>
      </c>
      <c r="E208" s="1">
        <v>46133</v>
      </c>
      <c r="F208" t="s">
        <v>140</v>
      </c>
      <c r="G208" t="s">
        <v>38</v>
      </c>
      <c r="H208" t="s">
        <v>139</v>
      </c>
      <c r="I208" t="s">
        <v>2625</v>
      </c>
      <c r="J208" t="s">
        <v>2703</v>
      </c>
      <c r="K208" t="s">
        <v>25</v>
      </c>
      <c r="L208">
        <v>38</v>
      </c>
      <c r="M208">
        <v>2</v>
      </c>
      <c r="N208">
        <v>20</v>
      </c>
      <c r="O208" t="s">
        <v>385</v>
      </c>
      <c r="P208" t="s">
        <v>44</v>
      </c>
      <c r="Q208" t="s">
        <v>117</v>
      </c>
      <c r="R208" t="s">
        <v>62</v>
      </c>
      <c r="S208" t="s">
        <v>141</v>
      </c>
      <c r="T208">
        <v>5</v>
      </c>
      <c r="U208">
        <v>797.45</v>
      </c>
      <c r="V208">
        <v>998.71</v>
      </c>
      <c r="W208">
        <v>5</v>
      </c>
      <c r="X208" t="s">
        <v>49</v>
      </c>
      <c r="Y208">
        <v>2026</v>
      </c>
    </row>
    <row r="209" spans="1:25" x14ac:dyDescent="0.3">
      <c r="A209" t="s">
        <v>669</v>
      </c>
      <c r="B209" s="1">
        <v>46187</v>
      </c>
      <c r="C209" t="s">
        <v>670</v>
      </c>
      <c r="D209" t="s">
        <v>3526</v>
      </c>
      <c r="E209" s="1">
        <v>46194</v>
      </c>
      <c r="F209" t="s">
        <v>2617</v>
      </c>
      <c r="G209" t="s">
        <v>27</v>
      </c>
      <c r="H209" t="s">
        <v>28</v>
      </c>
      <c r="I209" t="s">
        <v>2654</v>
      </c>
      <c r="J209" t="s">
        <v>2655</v>
      </c>
      <c r="K209" t="s">
        <v>52</v>
      </c>
      <c r="L209">
        <v>24</v>
      </c>
      <c r="M209">
        <v>3</v>
      </c>
      <c r="N209">
        <v>30</v>
      </c>
      <c r="O209" t="s">
        <v>671</v>
      </c>
      <c r="P209" t="s">
        <v>33</v>
      </c>
      <c r="Q209" t="s">
        <v>31</v>
      </c>
      <c r="R209" t="s">
        <v>43</v>
      </c>
      <c r="S209" t="s">
        <v>30</v>
      </c>
      <c r="T209">
        <v>2</v>
      </c>
      <c r="U209">
        <v>44.32</v>
      </c>
      <c r="V209">
        <v>52.43</v>
      </c>
      <c r="W209">
        <v>7</v>
      </c>
      <c r="X209" t="s">
        <v>49</v>
      </c>
      <c r="Y209">
        <v>2026</v>
      </c>
    </row>
    <row r="210" spans="1:25" x14ac:dyDescent="0.3">
      <c r="A210" t="s">
        <v>672</v>
      </c>
      <c r="B210" s="1">
        <v>46124</v>
      </c>
      <c r="C210" t="s">
        <v>673</v>
      </c>
      <c r="D210" t="s">
        <v>3525</v>
      </c>
      <c r="E210" s="1">
        <v>46128</v>
      </c>
      <c r="F210" t="s">
        <v>100</v>
      </c>
      <c r="G210" t="s">
        <v>98</v>
      </c>
      <c r="H210" t="s">
        <v>99</v>
      </c>
      <c r="I210" t="s">
        <v>2661</v>
      </c>
      <c r="J210" t="s">
        <v>2700</v>
      </c>
      <c r="K210" t="s">
        <v>25</v>
      </c>
      <c r="L210">
        <v>61</v>
      </c>
      <c r="M210">
        <v>5</v>
      </c>
      <c r="N210">
        <v>30</v>
      </c>
      <c r="O210" t="s">
        <v>674</v>
      </c>
      <c r="P210" t="s">
        <v>33</v>
      </c>
      <c r="Q210" t="s">
        <v>70</v>
      </c>
      <c r="R210" t="s">
        <v>32</v>
      </c>
      <c r="S210" t="s">
        <v>101</v>
      </c>
      <c r="T210">
        <v>4</v>
      </c>
      <c r="U210">
        <v>130.47999999999999</v>
      </c>
      <c r="V210">
        <v>322.89</v>
      </c>
      <c r="W210">
        <v>4</v>
      </c>
      <c r="X210" t="s">
        <v>49</v>
      </c>
      <c r="Y210">
        <v>2026</v>
      </c>
    </row>
    <row r="211" spans="1:25" x14ac:dyDescent="0.3">
      <c r="A211" t="s">
        <v>675</v>
      </c>
      <c r="B211" s="1">
        <v>45506</v>
      </c>
      <c r="C211" t="s">
        <v>676</v>
      </c>
      <c r="D211" t="s">
        <v>3524</v>
      </c>
      <c r="E211" s="1">
        <v>45512</v>
      </c>
      <c r="F211" t="s">
        <v>115</v>
      </c>
      <c r="G211" t="s">
        <v>66</v>
      </c>
      <c r="H211" t="s">
        <v>114</v>
      </c>
      <c r="I211" t="s">
        <v>2637</v>
      </c>
      <c r="J211" t="s">
        <v>2649</v>
      </c>
      <c r="K211" t="s">
        <v>25</v>
      </c>
      <c r="L211">
        <v>48</v>
      </c>
      <c r="M211">
        <v>2</v>
      </c>
      <c r="N211">
        <v>25</v>
      </c>
      <c r="O211" t="s">
        <v>677</v>
      </c>
      <c r="P211" t="s">
        <v>44</v>
      </c>
      <c r="Q211" t="s">
        <v>70</v>
      </c>
      <c r="R211" t="s">
        <v>62</v>
      </c>
      <c r="S211" t="s">
        <v>116</v>
      </c>
      <c r="T211">
        <v>2</v>
      </c>
      <c r="U211">
        <v>658.99</v>
      </c>
      <c r="V211">
        <v>732.75</v>
      </c>
      <c r="W211">
        <v>6</v>
      </c>
      <c r="X211" t="s">
        <v>45</v>
      </c>
      <c r="Y211">
        <v>2024</v>
      </c>
    </row>
    <row r="212" spans="1:25" x14ac:dyDescent="0.3">
      <c r="A212" t="s">
        <v>678</v>
      </c>
      <c r="B212" s="1">
        <v>46141</v>
      </c>
      <c r="C212" t="s">
        <v>679</v>
      </c>
      <c r="D212" t="s">
        <v>3523</v>
      </c>
      <c r="E212" s="1">
        <v>46142</v>
      </c>
      <c r="F212" t="s">
        <v>56</v>
      </c>
      <c r="G212" t="s">
        <v>54</v>
      </c>
      <c r="H212" t="s">
        <v>55</v>
      </c>
      <c r="I212" t="s">
        <v>2625</v>
      </c>
      <c r="J212" t="s">
        <v>2626</v>
      </c>
      <c r="K212" t="s">
        <v>52</v>
      </c>
      <c r="L212">
        <v>18</v>
      </c>
      <c r="M212">
        <v>2</v>
      </c>
      <c r="N212">
        <v>20</v>
      </c>
      <c r="O212" t="s">
        <v>302</v>
      </c>
      <c r="P212" t="s">
        <v>44</v>
      </c>
      <c r="Q212" t="s">
        <v>117</v>
      </c>
      <c r="R212" t="s">
        <v>32</v>
      </c>
      <c r="S212" t="s">
        <v>57</v>
      </c>
      <c r="T212">
        <v>2</v>
      </c>
      <c r="U212">
        <v>756.47</v>
      </c>
      <c r="V212">
        <v>1013.53</v>
      </c>
      <c r="W212">
        <v>1</v>
      </c>
      <c r="X212" t="s">
        <v>49</v>
      </c>
      <c r="Y212">
        <v>2026</v>
      </c>
    </row>
    <row r="213" spans="1:25" x14ac:dyDescent="0.3">
      <c r="A213" t="s">
        <v>680</v>
      </c>
      <c r="B213" s="1">
        <v>45350</v>
      </c>
      <c r="C213" t="s">
        <v>681</v>
      </c>
      <c r="D213" t="s">
        <v>3522</v>
      </c>
      <c r="E213" s="1">
        <v>45352</v>
      </c>
      <c r="F213" t="s">
        <v>68</v>
      </c>
      <c r="G213" t="s">
        <v>66</v>
      </c>
      <c r="H213" t="s">
        <v>67</v>
      </c>
      <c r="I213" t="s">
        <v>2661</v>
      </c>
      <c r="J213" t="s">
        <v>2671</v>
      </c>
      <c r="K213" t="s">
        <v>52</v>
      </c>
      <c r="L213">
        <v>63</v>
      </c>
      <c r="M213">
        <v>3</v>
      </c>
      <c r="N213">
        <v>30</v>
      </c>
      <c r="O213" t="s">
        <v>622</v>
      </c>
      <c r="P213" t="s">
        <v>33</v>
      </c>
      <c r="Q213" t="s">
        <v>42</v>
      </c>
      <c r="R213" t="s">
        <v>62</v>
      </c>
      <c r="S213" t="s">
        <v>69</v>
      </c>
      <c r="T213">
        <v>5</v>
      </c>
      <c r="U213">
        <v>242.94</v>
      </c>
      <c r="V213">
        <v>328.85</v>
      </c>
      <c r="W213">
        <v>2</v>
      </c>
      <c r="X213" t="s">
        <v>34</v>
      </c>
      <c r="Y213">
        <v>2024</v>
      </c>
    </row>
    <row r="214" spans="1:25" x14ac:dyDescent="0.3">
      <c r="A214" t="s">
        <v>682</v>
      </c>
      <c r="B214" s="1">
        <v>46046</v>
      </c>
      <c r="C214" t="s">
        <v>683</v>
      </c>
      <c r="D214" t="s">
        <v>3521</v>
      </c>
      <c r="E214" s="1">
        <v>46047</v>
      </c>
      <c r="F214" t="s">
        <v>56</v>
      </c>
      <c r="G214" t="s">
        <v>54</v>
      </c>
      <c r="H214" t="s">
        <v>55</v>
      </c>
      <c r="I214" t="s">
        <v>2634</v>
      </c>
      <c r="J214" t="s">
        <v>2714</v>
      </c>
      <c r="K214" t="s">
        <v>25</v>
      </c>
      <c r="L214">
        <v>38</v>
      </c>
      <c r="M214">
        <v>1</v>
      </c>
      <c r="N214">
        <v>30</v>
      </c>
      <c r="O214" t="s">
        <v>684</v>
      </c>
      <c r="P214" t="s">
        <v>33</v>
      </c>
      <c r="Q214" t="s">
        <v>117</v>
      </c>
      <c r="R214" t="s">
        <v>62</v>
      </c>
      <c r="S214" t="s">
        <v>57</v>
      </c>
      <c r="T214">
        <v>3</v>
      </c>
      <c r="U214">
        <v>602.9</v>
      </c>
      <c r="V214">
        <v>240.16</v>
      </c>
      <c r="W214">
        <v>1</v>
      </c>
      <c r="X214" t="s">
        <v>34</v>
      </c>
      <c r="Y214">
        <v>2026</v>
      </c>
    </row>
    <row r="215" spans="1:25" x14ac:dyDescent="0.3">
      <c r="A215" t="s">
        <v>685</v>
      </c>
      <c r="B215" s="1">
        <v>45713</v>
      </c>
      <c r="C215" t="s">
        <v>686</v>
      </c>
      <c r="D215" t="s">
        <v>3520</v>
      </c>
      <c r="E215" s="1">
        <v>45718</v>
      </c>
      <c r="F215" t="s">
        <v>115</v>
      </c>
      <c r="G215" t="s">
        <v>66</v>
      </c>
      <c r="H215" t="s">
        <v>114</v>
      </c>
      <c r="I215" t="s">
        <v>2622</v>
      </c>
      <c r="J215" t="s">
        <v>2705</v>
      </c>
      <c r="K215" t="s">
        <v>52</v>
      </c>
      <c r="L215">
        <v>63</v>
      </c>
      <c r="M215">
        <v>3</v>
      </c>
      <c r="N215">
        <v>5</v>
      </c>
      <c r="O215" t="s">
        <v>687</v>
      </c>
      <c r="P215" t="s">
        <v>75</v>
      </c>
      <c r="Q215" t="s">
        <v>70</v>
      </c>
      <c r="R215" t="s">
        <v>43</v>
      </c>
      <c r="S215" t="s">
        <v>116</v>
      </c>
      <c r="T215">
        <v>5</v>
      </c>
      <c r="U215">
        <v>456.84</v>
      </c>
      <c r="V215">
        <v>808.27</v>
      </c>
      <c r="W215">
        <v>5</v>
      </c>
      <c r="X215" t="s">
        <v>34</v>
      </c>
      <c r="Y215">
        <v>2025</v>
      </c>
    </row>
    <row r="216" spans="1:25" x14ac:dyDescent="0.3">
      <c r="A216" t="s">
        <v>688</v>
      </c>
      <c r="B216" s="1">
        <v>45564</v>
      </c>
      <c r="C216" t="s">
        <v>689</v>
      </c>
      <c r="D216" t="s">
        <v>3519</v>
      </c>
      <c r="E216" s="1">
        <v>45571</v>
      </c>
      <c r="F216" t="s">
        <v>56</v>
      </c>
      <c r="G216" t="s">
        <v>54</v>
      </c>
      <c r="H216" t="s">
        <v>55</v>
      </c>
      <c r="I216" t="s">
        <v>2623</v>
      </c>
      <c r="J216" t="s">
        <v>2696</v>
      </c>
      <c r="K216" t="s">
        <v>25</v>
      </c>
      <c r="L216">
        <v>48</v>
      </c>
      <c r="M216">
        <v>3</v>
      </c>
      <c r="N216">
        <v>5</v>
      </c>
      <c r="O216" t="s">
        <v>690</v>
      </c>
      <c r="P216" t="s">
        <v>75</v>
      </c>
      <c r="Q216" t="s">
        <v>70</v>
      </c>
      <c r="R216" t="s">
        <v>62</v>
      </c>
      <c r="S216" t="s">
        <v>57</v>
      </c>
      <c r="T216">
        <v>5</v>
      </c>
      <c r="U216">
        <v>888.38</v>
      </c>
      <c r="V216">
        <v>2011.84</v>
      </c>
      <c r="W216">
        <v>7</v>
      </c>
      <c r="X216" t="s">
        <v>45</v>
      </c>
      <c r="Y216">
        <v>2024</v>
      </c>
    </row>
    <row r="217" spans="1:25" x14ac:dyDescent="0.3">
      <c r="A217" t="s">
        <v>691</v>
      </c>
      <c r="B217" s="1">
        <v>45725</v>
      </c>
      <c r="C217" t="s">
        <v>692</v>
      </c>
      <c r="D217" t="s">
        <v>3518</v>
      </c>
      <c r="E217" s="1">
        <v>45729</v>
      </c>
      <c r="F217" t="s">
        <v>2617</v>
      </c>
      <c r="G217" t="s">
        <v>27</v>
      </c>
      <c r="H217" t="s">
        <v>28</v>
      </c>
      <c r="I217" t="s">
        <v>2679</v>
      </c>
      <c r="J217" t="s">
        <v>2680</v>
      </c>
      <c r="K217" t="s">
        <v>52</v>
      </c>
      <c r="L217">
        <v>19</v>
      </c>
      <c r="M217">
        <v>5</v>
      </c>
      <c r="N217">
        <v>5</v>
      </c>
      <c r="O217" t="s">
        <v>693</v>
      </c>
      <c r="P217" t="s">
        <v>75</v>
      </c>
      <c r="Q217" t="s">
        <v>70</v>
      </c>
      <c r="R217" t="s">
        <v>32</v>
      </c>
      <c r="S217" t="s">
        <v>30</v>
      </c>
      <c r="T217">
        <v>1</v>
      </c>
      <c r="U217">
        <v>27.92</v>
      </c>
      <c r="V217">
        <v>71.14</v>
      </c>
      <c r="W217">
        <v>4</v>
      </c>
      <c r="X217" t="s">
        <v>34</v>
      </c>
      <c r="Y217">
        <v>2025</v>
      </c>
    </row>
    <row r="218" spans="1:25" x14ac:dyDescent="0.3">
      <c r="A218" t="s">
        <v>694</v>
      </c>
      <c r="B218" s="1">
        <v>45323</v>
      </c>
      <c r="C218" t="s">
        <v>695</v>
      </c>
      <c r="D218" t="s">
        <v>3517</v>
      </c>
      <c r="E218" s="1">
        <v>45326</v>
      </c>
      <c r="F218" t="s">
        <v>140</v>
      </c>
      <c r="G218" t="s">
        <v>38</v>
      </c>
      <c r="H218" t="s">
        <v>139</v>
      </c>
      <c r="I218" t="s">
        <v>2675</v>
      </c>
      <c r="J218" t="s">
        <v>2710</v>
      </c>
      <c r="K218" t="s">
        <v>25</v>
      </c>
      <c r="L218">
        <v>59</v>
      </c>
      <c r="M218">
        <v>5</v>
      </c>
      <c r="N218">
        <v>15</v>
      </c>
      <c r="O218" t="s">
        <v>362</v>
      </c>
      <c r="P218" t="s">
        <v>44</v>
      </c>
      <c r="Q218" t="s">
        <v>117</v>
      </c>
      <c r="R218" t="s">
        <v>62</v>
      </c>
      <c r="S218" t="s">
        <v>141</v>
      </c>
      <c r="T218">
        <v>2</v>
      </c>
      <c r="U218">
        <v>249.35</v>
      </c>
      <c r="V218">
        <v>569.79999999999995</v>
      </c>
      <c r="W218">
        <v>3</v>
      </c>
      <c r="X218" t="s">
        <v>34</v>
      </c>
      <c r="Y218">
        <v>2024</v>
      </c>
    </row>
    <row r="219" spans="1:25" x14ac:dyDescent="0.3">
      <c r="A219" t="s">
        <v>696</v>
      </c>
      <c r="B219" s="1">
        <v>45980</v>
      </c>
      <c r="C219" t="s">
        <v>697</v>
      </c>
      <c r="D219" t="s">
        <v>2785</v>
      </c>
      <c r="E219" s="1">
        <v>45982</v>
      </c>
      <c r="F219" t="s">
        <v>2617</v>
      </c>
      <c r="G219" t="s">
        <v>27</v>
      </c>
      <c r="H219" t="s">
        <v>28</v>
      </c>
      <c r="I219" t="s">
        <v>2652</v>
      </c>
      <c r="J219" t="s">
        <v>2688</v>
      </c>
      <c r="K219" t="s">
        <v>25</v>
      </c>
      <c r="L219">
        <v>32</v>
      </c>
      <c r="M219">
        <v>2</v>
      </c>
      <c r="N219">
        <v>15</v>
      </c>
      <c r="O219" t="s">
        <v>698</v>
      </c>
      <c r="P219" t="s">
        <v>75</v>
      </c>
      <c r="Q219" t="s">
        <v>58</v>
      </c>
      <c r="R219" t="s">
        <v>71</v>
      </c>
      <c r="S219" t="s">
        <v>30</v>
      </c>
      <c r="T219">
        <v>4</v>
      </c>
      <c r="U219">
        <v>932.67</v>
      </c>
      <c r="V219">
        <v>1140.25</v>
      </c>
      <c r="W219">
        <v>2</v>
      </c>
      <c r="X219" t="s">
        <v>94</v>
      </c>
      <c r="Y219">
        <v>2025</v>
      </c>
    </row>
    <row r="220" spans="1:25" x14ac:dyDescent="0.3">
      <c r="A220" t="s">
        <v>699</v>
      </c>
      <c r="B220" s="1">
        <v>45706</v>
      </c>
      <c r="C220" t="s">
        <v>103</v>
      </c>
      <c r="D220" t="s">
        <v>2784</v>
      </c>
      <c r="E220" s="1">
        <v>45710</v>
      </c>
      <c r="F220" t="s">
        <v>56</v>
      </c>
      <c r="G220" t="s">
        <v>54</v>
      </c>
      <c r="H220" t="s">
        <v>55</v>
      </c>
      <c r="I220" t="s">
        <v>2668</v>
      </c>
      <c r="J220" t="s">
        <v>2669</v>
      </c>
      <c r="K220" t="s">
        <v>52</v>
      </c>
      <c r="L220">
        <v>65</v>
      </c>
      <c r="M220">
        <v>2</v>
      </c>
      <c r="N220">
        <v>20</v>
      </c>
      <c r="O220" t="s">
        <v>700</v>
      </c>
      <c r="P220" t="s">
        <v>44</v>
      </c>
      <c r="Q220" t="s">
        <v>70</v>
      </c>
      <c r="R220" t="s">
        <v>62</v>
      </c>
      <c r="S220" t="s">
        <v>57</v>
      </c>
      <c r="T220">
        <v>3</v>
      </c>
      <c r="U220">
        <v>253.23</v>
      </c>
      <c r="V220">
        <v>321.77</v>
      </c>
      <c r="W220">
        <v>4</v>
      </c>
      <c r="X220" t="s">
        <v>34</v>
      </c>
      <c r="Y220">
        <v>2025</v>
      </c>
    </row>
    <row r="221" spans="1:25" x14ac:dyDescent="0.3">
      <c r="A221" t="s">
        <v>701</v>
      </c>
      <c r="B221" s="1">
        <v>45661</v>
      </c>
      <c r="C221" t="s">
        <v>702</v>
      </c>
      <c r="D221" t="s">
        <v>2783</v>
      </c>
      <c r="E221" s="1">
        <v>45663</v>
      </c>
      <c r="F221" t="s">
        <v>122</v>
      </c>
      <c r="G221" t="s">
        <v>120</v>
      </c>
      <c r="H221" t="s">
        <v>121</v>
      </c>
      <c r="I221" t="s">
        <v>2622</v>
      </c>
      <c r="J221" t="s">
        <v>2705</v>
      </c>
      <c r="K221" t="s">
        <v>52</v>
      </c>
      <c r="L221">
        <v>18</v>
      </c>
      <c r="M221">
        <v>4</v>
      </c>
      <c r="N221">
        <v>25</v>
      </c>
      <c r="O221" t="s">
        <v>703</v>
      </c>
      <c r="P221" t="s">
        <v>75</v>
      </c>
      <c r="Q221" t="s">
        <v>42</v>
      </c>
      <c r="R221" t="s">
        <v>43</v>
      </c>
      <c r="S221" t="s">
        <v>123</v>
      </c>
      <c r="T221">
        <v>4</v>
      </c>
      <c r="U221">
        <v>819.76</v>
      </c>
      <c r="V221">
        <v>1561.08</v>
      </c>
      <c r="W221">
        <v>2</v>
      </c>
      <c r="X221" t="s">
        <v>34</v>
      </c>
      <c r="Y221">
        <v>2025</v>
      </c>
    </row>
    <row r="222" spans="1:25" x14ac:dyDescent="0.3">
      <c r="A222" t="s">
        <v>704</v>
      </c>
      <c r="B222" s="1">
        <v>45749</v>
      </c>
      <c r="C222" t="s">
        <v>705</v>
      </c>
      <c r="D222" t="s">
        <v>2782</v>
      </c>
      <c r="E222" s="1">
        <v>45751</v>
      </c>
      <c r="F222" t="s">
        <v>115</v>
      </c>
      <c r="G222" t="s">
        <v>66</v>
      </c>
      <c r="H222" t="s">
        <v>114</v>
      </c>
      <c r="I222" t="s">
        <v>2625</v>
      </c>
      <c r="J222" t="s">
        <v>2626</v>
      </c>
      <c r="K222" t="s">
        <v>25</v>
      </c>
      <c r="L222">
        <v>54</v>
      </c>
      <c r="M222">
        <v>4</v>
      </c>
      <c r="N222">
        <v>10</v>
      </c>
      <c r="O222" t="s">
        <v>706</v>
      </c>
      <c r="P222" t="s">
        <v>75</v>
      </c>
      <c r="Q222" t="s">
        <v>70</v>
      </c>
      <c r="R222" t="s">
        <v>62</v>
      </c>
      <c r="S222" t="s">
        <v>116</v>
      </c>
      <c r="T222">
        <v>1</v>
      </c>
      <c r="U222">
        <v>426.74</v>
      </c>
      <c r="V222">
        <v>1145.45</v>
      </c>
      <c r="W222">
        <v>2</v>
      </c>
      <c r="X222" t="s">
        <v>49</v>
      </c>
      <c r="Y222">
        <v>2025</v>
      </c>
    </row>
    <row r="223" spans="1:25" x14ac:dyDescent="0.3">
      <c r="A223" t="s">
        <v>707</v>
      </c>
      <c r="B223" s="1">
        <v>45588</v>
      </c>
      <c r="C223" t="s">
        <v>708</v>
      </c>
      <c r="D223" t="s">
        <v>3516</v>
      </c>
      <c r="E223" s="1">
        <v>45591</v>
      </c>
      <c r="F223" t="s">
        <v>122</v>
      </c>
      <c r="G223" t="s">
        <v>120</v>
      </c>
      <c r="H223" t="s">
        <v>121</v>
      </c>
      <c r="I223" t="s">
        <v>2641</v>
      </c>
      <c r="J223" t="s">
        <v>2713</v>
      </c>
      <c r="K223" t="s">
        <v>25</v>
      </c>
      <c r="L223">
        <v>42</v>
      </c>
      <c r="M223">
        <v>2</v>
      </c>
      <c r="N223">
        <v>25</v>
      </c>
      <c r="O223" t="s">
        <v>709</v>
      </c>
      <c r="P223" t="s">
        <v>44</v>
      </c>
      <c r="Q223" t="s">
        <v>117</v>
      </c>
      <c r="R223" t="s">
        <v>62</v>
      </c>
      <c r="S223" t="s">
        <v>123</v>
      </c>
      <c r="T223">
        <v>1</v>
      </c>
      <c r="U223">
        <v>410.7</v>
      </c>
      <c r="V223">
        <v>472.59</v>
      </c>
      <c r="W223">
        <v>3</v>
      </c>
      <c r="X223" t="s">
        <v>94</v>
      </c>
      <c r="Y223">
        <v>2024</v>
      </c>
    </row>
    <row r="224" spans="1:25" x14ac:dyDescent="0.3">
      <c r="A224" t="s">
        <v>710</v>
      </c>
      <c r="B224" s="1">
        <v>46087</v>
      </c>
      <c r="C224" t="s">
        <v>711</v>
      </c>
      <c r="D224" t="s">
        <v>3515</v>
      </c>
      <c r="E224" s="1">
        <v>46089</v>
      </c>
      <c r="F224" t="s">
        <v>122</v>
      </c>
      <c r="G224" t="s">
        <v>120</v>
      </c>
      <c r="H224" t="s">
        <v>121</v>
      </c>
      <c r="I224" t="s">
        <v>2663</v>
      </c>
      <c r="J224" t="s">
        <v>2694</v>
      </c>
      <c r="K224" t="s">
        <v>52</v>
      </c>
      <c r="L224">
        <v>31</v>
      </c>
      <c r="M224">
        <v>3</v>
      </c>
      <c r="N224">
        <v>10</v>
      </c>
      <c r="O224" t="s">
        <v>712</v>
      </c>
      <c r="P224" t="s">
        <v>75</v>
      </c>
      <c r="Q224" t="s">
        <v>58</v>
      </c>
      <c r="R224" t="s">
        <v>32</v>
      </c>
      <c r="S224" t="s">
        <v>123</v>
      </c>
      <c r="T224">
        <v>5</v>
      </c>
      <c r="U224">
        <v>624.79</v>
      </c>
      <c r="V224">
        <v>1087.74</v>
      </c>
      <c r="W224">
        <v>2</v>
      </c>
      <c r="X224" t="s">
        <v>34</v>
      </c>
      <c r="Y224">
        <v>2026</v>
      </c>
    </row>
    <row r="225" spans="1:25" x14ac:dyDescent="0.3">
      <c r="A225" t="s">
        <v>713</v>
      </c>
      <c r="B225" s="1">
        <v>45535</v>
      </c>
      <c r="C225" t="s">
        <v>714</v>
      </c>
      <c r="D225" t="s">
        <v>3514</v>
      </c>
      <c r="E225" s="1">
        <v>45541</v>
      </c>
      <c r="F225" t="s">
        <v>56</v>
      </c>
      <c r="G225" t="s">
        <v>54</v>
      </c>
      <c r="H225" t="s">
        <v>55</v>
      </c>
      <c r="I225" t="s">
        <v>2663</v>
      </c>
      <c r="J225" t="s">
        <v>2670</v>
      </c>
      <c r="K225" t="s">
        <v>52</v>
      </c>
      <c r="L225">
        <v>22</v>
      </c>
      <c r="M225">
        <v>5</v>
      </c>
      <c r="N225">
        <v>10</v>
      </c>
      <c r="O225" t="s">
        <v>577</v>
      </c>
      <c r="P225" t="s">
        <v>75</v>
      </c>
      <c r="Q225" t="s">
        <v>117</v>
      </c>
      <c r="R225" t="s">
        <v>62</v>
      </c>
      <c r="S225" t="s">
        <v>57</v>
      </c>
      <c r="T225">
        <v>5</v>
      </c>
      <c r="U225">
        <v>726.78</v>
      </c>
      <c r="V225">
        <v>2072.63</v>
      </c>
      <c r="W225">
        <v>6</v>
      </c>
      <c r="X225" t="s">
        <v>45</v>
      </c>
      <c r="Y225">
        <v>2024</v>
      </c>
    </row>
    <row r="226" spans="1:25" x14ac:dyDescent="0.3">
      <c r="A226" t="s">
        <v>715</v>
      </c>
      <c r="B226" s="1">
        <v>45650</v>
      </c>
      <c r="C226" t="s">
        <v>716</v>
      </c>
      <c r="D226" t="s">
        <v>3513</v>
      </c>
      <c r="E226" s="1">
        <v>45652</v>
      </c>
      <c r="F226" t="s">
        <v>140</v>
      </c>
      <c r="G226" t="s">
        <v>38</v>
      </c>
      <c r="H226" t="s">
        <v>139</v>
      </c>
      <c r="I226" t="s">
        <v>2672</v>
      </c>
      <c r="J226" t="s">
        <v>2673</v>
      </c>
      <c r="K226" t="s">
        <v>25</v>
      </c>
      <c r="L226">
        <v>63</v>
      </c>
      <c r="M226">
        <v>2</v>
      </c>
      <c r="N226">
        <v>5</v>
      </c>
      <c r="O226" t="s">
        <v>717</v>
      </c>
      <c r="P226" t="s">
        <v>75</v>
      </c>
      <c r="Q226" t="s">
        <v>42</v>
      </c>
      <c r="R226" t="s">
        <v>43</v>
      </c>
      <c r="S226" t="s">
        <v>141</v>
      </c>
      <c r="T226">
        <v>3</v>
      </c>
      <c r="U226">
        <v>902.25</v>
      </c>
      <c r="V226">
        <v>1156.6099999999999</v>
      </c>
      <c r="W226">
        <v>2</v>
      </c>
      <c r="X226" t="s">
        <v>94</v>
      </c>
      <c r="Y226">
        <v>2024</v>
      </c>
    </row>
    <row r="227" spans="1:25" x14ac:dyDescent="0.3">
      <c r="A227" t="s">
        <v>718</v>
      </c>
      <c r="B227" s="1">
        <v>46151</v>
      </c>
      <c r="C227" t="s">
        <v>719</v>
      </c>
      <c r="D227" t="s">
        <v>3512</v>
      </c>
      <c r="E227" s="1">
        <v>46157</v>
      </c>
      <c r="F227" t="s">
        <v>68</v>
      </c>
      <c r="G227" t="s">
        <v>66</v>
      </c>
      <c r="H227" t="s">
        <v>67</v>
      </c>
      <c r="I227" t="s">
        <v>2632</v>
      </c>
      <c r="J227" t="s">
        <v>2646</v>
      </c>
      <c r="K227" t="s">
        <v>52</v>
      </c>
      <c r="L227">
        <v>20</v>
      </c>
      <c r="M227">
        <v>3</v>
      </c>
      <c r="N227">
        <v>30</v>
      </c>
      <c r="O227" t="s">
        <v>720</v>
      </c>
      <c r="P227" t="s">
        <v>44</v>
      </c>
      <c r="Q227" t="s">
        <v>42</v>
      </c>
      <c r="R227" t="s">
        <v>43</v>
      </c>
      <c r="S227" t="s">
        <v>69</v>
      </c>
      <c r="T227">
        <v>3</v>
      </c>
      <c r="U227">
        <v>829.64</v>
      </c>
      <c r="V227">
        <v>1248.05</v>
      </c>
      <c r="W227">
        <v>6</v>
      </c>
      <c r="X227" t="s">
        <v>49</v>
      </c>
      <c r="Y227">
        <v>2026</v>
      </c>
    </row>
    <row r="228" spans="1:25" x14ac:dyDescent="0.3">
      <c r="A228" t="s">
        <v>721</v>
      </c>
      <c r="B228" s="1">
        <v>45472</v>
      </c>
      <c r="C228" t="s">
        <v>722</v>
      </c>
      <c r="D228" t="s">
        <v>3511</v>
      </c>
      <c r="E228" s="1">
        <v>45476</v>
      </c>
      <c r="F228" t="s">
        <v>100</v>
      </c>
      <c r="G228" t="s">
        <v>98</v>
      </c>
      <c r="H228" t="s">
        <v>99</v>
      </c>
      <c r="I228" t="s">
        <v>2647</v>
      </c>
      <c r="J228" t="s">
        <v>2658</v>
      </c>
      <c r="K228" t="s">
        <v>52</v>
      </c>
      <c r="L228">
        <v>65</v>
      </c>
      <c r="M228">
        <v>2</v>
      </c>
      <c r="N228">
        <v>30</v>
      </c>
      <c r="O228" t="s">
        <v>723</v>
      </c>
      <c r="P228" t="s">
        <v>75</v>
      </c>
      <c r="Q228" t="s">
        <v>58</v>
      </c>
      <c r="R228" t="s">
        <v>32</v>
      </c>
      <c r="S228" t="s">
        <v>101</v>
      </c>
      <c r="T228">
        <v>3</v>
      </c>
      <c r="U228">
        <v>674.36</v>
      </c>
      <c r="V228">
        <v>563.67999999999995</v>
      </c>
      <c r="W228">
        <v>4</v>
      </c>
      <c r="X228" t="s">
        <v>49</v>
      </c>
      <c r="Y228">
        <v>2024</v>
      </c>
    </row>
    <row r="229" spans="1:25" x14ac:dyDescent="0.3">
      <c r="A229" t="s">
        <v>724</v>
      </c>
      <c r="B229" s="1">
        <v>45923</v>
      </c>
      <c r="C229" t="s">
        <v>725</v>
      </c>
      <c r="D229" t="s">
        <v>3510</v>
      </c>
      <c r="E229" s="1">
        <v>45925</v>
      </c>
      <c r="F229" t="s">
        <v>140</v>
      </c>
      <c r="G229" t="s">
        <v>38</v>
      </c>
      <c r="H229" t="s">
        <v>139</v>
      </c>
      <c r="I229" t="s">
        <v>2659</v>
      </c>
      <c r="J229" t="s">
        <v>2718</v>
      </c>
      <c r="K229" t="s">
        <v>25</v>
      </c>
      <c r="L229">
        <v>51</v>
      </c>
      <c r="M229">
        <v>2</v>
      </c>
      <c r="N229">
        <v>15</v>
      </c>
      <c r="O229" t="s">
        <v>81</v>
      </c>
      <c r="P229" t="s">
        <v>33</v>
      </c>
      <c r="Q229" t="s">
        <v>58</v>
      </c>
      <c r="R229" t="s">
        <v>62</v>
      </c>
      <c r="S229" t="s">
        <v>141</v>
      </c>
      <c r="T229">
        <v>5</v>
      </c>
      <c r="U229">
        <v>42.55</v>
      </c>
      <c r="V229">
        <v>59.52</v>
      </c>
      <c r="W229">
        <v>2</v>
      </c>
      <c r="X229" t="s">
        <v>45</v>
      </c>
      <c r="Y229">
        <v>2025</v>
      </c>
    </row>
    <row r="230" spans="1:25" x14ac:dyDescent="0.3">
      <c r="A230" t="s">
        <v>726</v>
      </c>
      <c r="B230" s="1">
        <v>45633</v>
      </c>
      <c r="C230" t="s">
        <v>727</v>
      </c>
      <c r="D230" t="s">
        <v>3509</v>
      </c>
      <c r="E230" s="1">
        <v>45634</v>
      </c>
      <c r="F230" t="s">
        <v>56</v>
      </c>
      <c r="G230" t="s">
        <v>54</v>
      </c>
      <c r="H230" t="s">
        <v>55</v>
      </c>
      <c r="I230" t="s">
        <v>2635</v>
      </c>
      <c r="J230" t="s">
        <v>2643</v>
      </c>
      <c r="K230" t="s">
        <v>25</v>
      </c>
      <c r="L230">
        <v>29</v>
      </c>
      <c r="M230">
        <v>4</v>
      </c>
      <c r="N230">
        <v>30</v>
      </c>
      <c r="O230" t="s">
        <v>728</v>
      </c>
      <c r="P230" t="s">
        <v>33</v>
      </c>
      <c r="Q230" t="s">
        <v>42</v>
      </c>
      <c r="R230" t="s">
        <v>71</v>
      </c>
      <c r="S230" t="s">
        <v>57</v>
      </c>
      <c r="T230">
        <v>1</v>
      </c>
      <c r="U230">
        <v>737.78</v>
      </c>
      <c r="V230">
        <v>1721.62</v>
      </c>
      <c r="W230">
        <v>1</v>
      </c>
      <c r="X230" t="s">
        <v>94</v>
      </c>
      <c r="Y230">
        <v>2024</v>
      </c>
    </row>
    <row r="231" spans="1:25" x14ac:dyDescent="0.3">
      <c r="A231" t="s">
        <v>729</v>
      </c>
      <c r="B231" s="1">
        <v>45542</v>
      </c>
      <c r="C231" t="s">
        <v>730</v>
      </c>
      <c r="D231" t="s">
        <v>3508</v>
      </c>
      <c r="E231" s="1">
        <v>45545</v>
      </c>
      <c r="F231" t="s">
        <v>56</v>
      </c>
      <c r="G231" t="s">
        <v>54</v>
      </c>
      <c r="H231" t="s">
        <v>55</v>
      </c>
      <c r="I231" t="s">
        <v>2665</v>
      </c>
      <c r="J231" t="s">
        <v>2693</v>
      </c>
      <c r="K231" t="s">
        <v>52</v>
      </c>
      <c r="L231">
        <v>36</v>
      </c>
      <c r="M231">
        <v>5</v>
      </c>
      <c r="N231">
        <v>20</v>
      </c>
      <c r="O231" t="s">
        <v>731</v>
      </c>
      <c r="P231" t="s">
        <v>75</v>
      </c>
      <c r="Q231" t="s">
        <v>31</v>
      </c>
      <c r="R231" t="s">
        <v>32</v>
      </c>
      <c r="S231" t="s">
        <v>57</v>
      </c>
      <c r="T231">
        <v>4</v>
      </c>
      <c r="U231">
        <v>279.70999999999998</v>
      </c>
      <c r="V231">
        <v>792.37</v>
      </c>
      <c r="W231">
        <v>3</v>
      </c>
      <c r="X231" t="s">
        <v>45</v>
      </c>
      <c r="Y231">
        <v>2024</v>
      </c>
    </row>
    <row r="232" spans="1:25" x14ac:dyDescent="0.3">
      <c r="A232" t="s">
        <v>732</v>
      </c>
      <c r="B232" s="1">
        <v>45825</v>
      </c>
      <c r="C232" t="s">
        <v>733</v>
      </c>
      <c r="D232" t="s">
        <v>3507</v>
      </c>
      <c r="E232" s="1">
        <v>45830</v>
      </c>
      <c r="F232" t="s">
        <v>40</v>
      </c>
      <c r="G232" t="s">
        <v>38</v>
      </c>
      <c r="H232" t="s">
        <v>39</v>
      </c>
      <c r="I232" t="s">
        <v>2634</v>
      </c>
      <c r="J232" t="s">
        <v>2644</v>
      </c>
      <c r="K232" t="s">
        <v>52</v>
      </c>
      <c r="L232">
        <v>57</v>
      </c>
      <c r="M232">
        <v>5</v>
      </c>
      <c r="N232">
        <v>5</v>
      </c>
      <c r="O232" t="s">
        <v>734</v>
      </c>
      <c r="P232" t="s">
        <v>33</v>
      </c>
      <c r="Q232" t="s">
        <v>42</v>
      </c>
      <c r="R232" t="s">
        <v>43</v>
      </c>
      <c r="S232" t="s">
        <v>41</v>
      </c>
      <c r="T232">
        <v>1</v>
      </c>
      <c r="U232">
        <v>528.15</v>
      </c>
      <c r="V232">
        <v>1793.85</v>
      </c>
      <c r="W232">
        <v>5</v>
      </c>
      <c r="X232" t="s">
        <v>49</v>
      </c>
      <c r="Y232">
        <v>2025</v>
      </c>
    </row>
    <row r="233" spans="1:25" x14ac:dyDescent="0.3">
      <c r="A233" t="s">
        <v>735</v>
      </c>
      <c r="B233" s="1">
        <v>46023</v>
      </c>
      <c r="C233" t="s">
        <v>736</v>
      </c>
      <c r="D233" t="s">
        <v>3506</v>
      </c>
      <c r="E233" s="1">
        <v>46025</v>
      </c>
      <c r="F233" t="s">
        <v>140</v>
      </c>
      <c r="G233" t="s">
        <v>38</v>
      </c>
      <c r="H233" t="s">
        <v>139</v>
      </c>
      <c r="I233" t="s">
        <v>2672</v>
      </c>
      <c r="J233" t="s">
        <v>2716</v>
      </c>
      <c r="K233" t="s">
        <v>52</v>
      </c>
      <c r="L233">
        <v>33</v>
      </c>
      <c r="M233">
        <v>1</v>
      </c>
      <c r="N233">
        <v>5</v>
      </c>
      <c r="O233" t="s">
        <v>720</v>
      </c>
      <c r="P233" t="s">
        <v>33</v>
      </c>
      <c r="Q233" t="s">
        <v>42</v>
      </c>
      <c r="R233" t="s">
        <v>62</v>
      </c>
      <c r="S233" t="s">
        <v>141</v>
      </c>
      <c r="T233">
        <v>3</v>
      </c>
      <c r="U233">
        <v>552.49</v>
      </c>
      <c r="V233">
        <v>290.76</v>
      </c>
      <c r="W233">
        <v>2</v>
      </c>
      <c r="X233" t="s">
        <v>34</v>
      </c>
      <c r="Y233">
        <v>2026</v>
      </c>
    </row>
    <row r="234" spans="1:25" x14ac:dyDescent="0.3">
      <c r="A234" t="s">
        <v>737</v>
      </c>
      <c r="B234" s="1">
        <v>45883</v>
      </c>
      <c r="C234" t="s">
        <v>738</v>
      </c>
      <c r="D234" t="s">
        <v>3505</v>
      </c>
      <c r="E234" s="1">
        <v>45890</v>
      </c>
      <c r="F234" t="s">
        <v>40</v>
      </c>
      <c r="G234" t="s">
        <v>38</v>
      </c>
      <c r="H234" t="s">
        <v>39</v>
      </c>
      <c r="I234" t="s">
        <v>2637</v>
      </c>
      <c r="J234" t="s">
        <v>2638</v>
      </c>
      <c r="K234" t="s">
        <v>25</v>
      </c>
      <c r="L234">
        <v>49</v>
      </c>
      <c r="M234">
        <v>5</v>
      </c>
      <c r="N234">
        <v>30</v>
      </c>
      <c r="O234" t="s">
        <v>739</v>
      </c>
      <c r="P234" t="s">
        <v>44</v>
      </c>
      <c r="Q234" t="s">
        <v>31</v>
      </c>
      <c r="R234" t="s">
        <v>32</v>
      </c>
      <c r="S234" t="s">
        <v>41</v>
      </c>
      <c r="T234">
        <v>4</v>
      </c>
      <c r="U234">
        <v>513.67999999999995</v>
      </c>
      <c r="V234">
        <v>962.15</v>
      </c>
      <c r="W234">
        <v>7</v>
      </c>
      <c r="X234" t="s">
        <v>45</v>
      </c>
      <c r="Y234">
        <v>2025</v>
      </c>
    </row>
    <row r="235" spans="1:25" x14ac:dyDescent="0.3">
      <c r="A235" t="s">
        <v>740</v>
      </c>
      <c r="B235" s="1">
        <v>45752</v>
      </c>
      <c r="C235" t="s">
        <v>741</v>
      </c>
      <c r="D235" t="s">
        <v>3504</v>
      </c>
      <c r="E235" s="1">
        <v>45759</v>
      </c>
      <c r="F235" t="s">
        <v>128</v>
      </c>
      <c r="G235" t="s">
        <v>98</v>
      </c>
      <c r="H235" t="s">
        <v>127</v>
      </c>
      <c r="I235" t="s">
        <v>2629</v>
      </c>
      <c r="J235" t="s">
        <v>2709</v>
      </c>
      <c r="K235" t="s">
        <v>52</v>
      </c>
      <c r="L235">
        <v>20</v>
      </c>
      <c r="M235">
        <v>3</v>
      </c>
      <c r="N235">
        <v>15</v>
      </c>
      <c r="O235" t="s">
        <v>742</v>
      </c>
      <c r="P235" t="s">
        <v>33</v>
      </c>
      <c r="Q235" t="s">
        <v>70</v>
      </c>
      <c r="R235" t="s">
        <v>43</v>
      </c>
      <c r="S235" t="s">
        <v>129</v>
      </c>
      <c r="T235">
        <v>5</v>
      </c>
      <c r="U235">
        <v>255.73</v>
      </c>
      <c r="V235">
        <v>543.28</v>
      </c>
      <c r="W235">
        <v>7</v>
      </c>
      <c r="X235" t="s">
        <v>49</v>
      </c>
      <c r="Y235">
        <v>2025</v>
      </c>
    </row>
    <row r="236" spans="1:25" x14ac:dyDescent="0.3">
      <c r="A236" t="s">
        <v>743</v>
      </c>
      <c r="B236" s="1">
        <v>45523</v>
      </c>
      <c r="C236" t="s">
        <v>744</v>
      </c>
      <c r="D236" t="s">
        <v>3503</v>
      </c>
      <c r="E236" s="1">
        <v>45528</v>
      </c>
      <c r="F236" t="s">
        <v>122</v>
      </c>
      <c r="G236" t="s">
        <v>120</v>
      </c>
      <c r="H236" t="s">
        <v>121</v>
      </c>
      <c r="I236" t="s">
        <v>2623</v>
      </c>
      <c r="J236" t="s">
        <v>2696</v>
      </c>
      <c r="K236" t="s">
        <v>25</v>
      </c>
      <c r="L236">
        <v>51</v>
      </c>
      <c r="M236">
        <v>1</v>
      </c>
      <c r="N236">
        <v>20</v>
      </c>
      <c r="O236" t="s">
        <v>745</v>
      </c>
      <c r="P236" t="s">
        <v>44</v>
      </c>
      <c r="Q236" t="s">
        <v>58</v>
      </c>
      <c r="R236" t="s">
        <v>32</v>
      </c>
      <c r="S236" t="s">
        <v>123</v>
      </c>
      <c r="T236">
        <v>3</v>
      </c>
      <c r="U236">
        <v>814.04</v>
      </c>
      <c r="V236">
        <v>338.14</v>
      </c>
      <c r="W236">
        <v>5</v>
      </c>
      <c r="X236" t="s">
        <v>45</v>
      </c>
      <c r="Y236">
        <v>2024</v>
      </c>
    </row>
    <row r="237" spans="1:25" x14ac:dyDescent="0.3">
      <c r="A237" t="s">
        <v>746</v>
      </c>
      <c r="B237" s="1">
        <v>45912</v>
      </c>
      <c r="C237" t="s">
        <v>747</v>
      </c>
      <c r="D237" t="s">
        <v>3502</v>
      </c>
      <c r="E237" s="1">
        <v>45919</v>
      </c>
      <c r="F237" t="s">
        <v>56</v>
      </c>
      <c r="G237" t="s">
        <v>54</v>
      </c>
      <c r="H237" t="s">
        <v>55</v>
      </c>
      <c r="I237" t="s">
        <v>2622</v>
      </c>
      <c r="J237" t="s">
        <v>2704</v>
      </c>
      <c r="K237" t="s">
        <v>25</v>
      </c>
      <c r="L237">
        <v>65</v>
      </c>
      <c r="M237">
        <v>4</v>
      </c>
      <c r="N237">
        <v>30</v>
      </c>
      <c r="O237" t="s">
        <v>186</v>
      </c>
      <c r="P237" t="s">
        <v>75</v>
      </c>
      <c r="Q237" t="s">
        <v>58</v>
      </c>
      <c r="R237" t="s">
        <v>43</v>
      </c>
      <c r="S237" t="s">
        <v>57</v>
      </c>
      <c r="T237">
        <v>3</v>
      </c>
      <c r="U237">
        <v>584.48</v>
      </c>
      <c r="V237">
        <v>902.84</v>
      </c>
      <c r="W237">
        <v>7</v>
      </c>
      <c r="X237" t="s">
        <v>45</v>
      </c>
      <c r="Y237">
        <v>2025</v>
      </c>
    </row>
    <row r="238" spans="1:25" x14ac:dyDescent="0.3">
      <c r="A238" t="s">
        <v>748</v>
      </c>
      <c r="B238" s="1">
        <v>45908</v>
      </c>
      <c r="C238" t="s">
        <v>749</v>
      </c>
      <c r="D238" t="s">
        <v>3501</v>
      </c>
      <c r="E238" s="1">
        <v>45913</v>
      </c>
      <c r="F238" t="s">
        <v>2617</v>
      </c>
      <c r="G238" t="s">
        <v>27</v>
      </c>
      <c r="H238" t="s">
        <v>28</v>
      </c>
      <c r="I238" t="s">
        <v>2631</v>
      </c>
      <c r="J238" t="s">
        <v>2694</v>
      </c>
      <c r="K238" t="s">
        <v>52</v>
      </c>
      <c r="L238">
        <v>53</v>
      </c>
      <c r="M238">
        <v>3</v>
      </c>
      <c r="N238">
        <v>20</v>
      </c>
      <c r="O238" t="s">
        <v>640</v>
      </c>
      <c r="P238" t="s">
        <v>75</v>
      </c>
      <c r="Q238" t="s">
        <v>58</v>
      </c>
      <c r="R238" t="s">
        <v>32</v>
      </c>
      <c r="S238" t="s">
        <v>30</v>
      </c>
      <c r="T238">
        <v>1</v>
      </c>
      <c r="U238">
        <v>489.73</v>
      </c>
      <c r="V238">
        <v>604.61</v>
      </c>
      <c r="W238">
        <v>5</v>
      </c>
      <c r="X238" t="s">
        <v>45</v>
      </c>
      <c r="Y238">
        <v>2025</v>
      </c>
    </row>
    <row r="239" spans="1:25" x14ac:dyDescent="0.3">
      <c r="A239" t="s">
        <v>750</v>
      </c>
      <c r="B239" s="1">
        <v>46154</v>
      </c>
      <c r="C239" t="s">
        <v>751</v>
      </c>
      <c r="D239" t="s">
        <v>3500</v>
      </c>
      <c r="E239" s="1">
        <v>46157</v>
      </c>
      <c r="F239" t="s">
        <v>2617</v>
      </c>
      <c r="G239" t="s">
        <v>27</v>
      </c>
      <c r="H239" t="s">
        <v>28</v>
      </c>
      <c r="I239" t="s">
        <v>2641</v>
      </c>
      <c r="J239" t="s">
        <v>2642</v>
      </c>
      <c r="K239" t="s">
        <v>52</v>
      </c>
      <c r="L239">
        <v>41</v>
      </c>
      <c r="M239">
        <v>1</v>
      </c>
      <c r="N239">
        <v>10</v>
      </c>
      <c r="O239" t="s">
        <v>752</v>
      </c>
      <c r="P239" t="s">
        <v>44</v>
      </c>
      <c r="Q239" t="s">
        <v>31</v>
      </c>
      <c r="R239" t="s">
        <v>71</v>
      </c>
      <c r="S239" t="s">
        <v>30</v>
      </c>
      <c r="T239">
        <v>3</v>
      </c>
      <c r="U239">
        <v>377.42</v>
      </c>
      <c r="V239">
        <v>274.12</v>
      </c>
      <c r="W239">
        <v>3</v>
      </c>
      <c r="X239" t="s">
        <v>49</v>
      </c>
      <c r="Y239">
        <v>2026</v>
      </c>
    </row>
    <row r="240" spans="1:25" x14ac:dyDescent="0.3">
      <c r="A240" t="s">
        <v>753</v>
      </c>
      <c r="B240" s="1">
        <v>45787</v>
      </c>
      <c r="C240" t="s">
        <v>754</v>
      </c>
      <c r="D240" t="s">
        <v>3499</v>
      </c>
      <c r="E240" s="1">
        <v>45788</v>
      </c>
      <c r="F240" t="s">
        <v>115</v>
      </c>
      <c r="G240" t="s">
        <v>66</v>
      </c>
      <c r="H240" t="s">
        <v>114</v>
      </c>
      <c r="I240" t="s">
        <v>2637</v>
      </c>
      <c r="J240" t="s">
        <v>2649</v>
      </c>
      <c r="K240" t="s">
        <v>52</v>
      </c>
      <c r="L240">
        <v>39</v>
      </c>
      <c r="M240">
        <v>1</v>
      </c>
      <c r="N240">
        <v>25</v>
      </c>
      <c r="O240" t="s">
        <v>755</v>
      </c>
      <c r="P240" t="s">
        <v>44</v>
      </c>
      <c r="Q240" t="s">
        <v>70</v>
      </c>
      <c r="R240" t="s">
        <v>71</v>
      </c>
      <c r="S240" t="s">
        <v>116</v>
      </c>
      <c r="T240">
        <v>1</v>
      </c>
      <c r="U240">
        <v>680.58</v>
      </c>
      <c r="V240">
        <v>388.41</v>
      </c>
      <c r="W240">
        <v>1</v>
      </c>
      <c r="X240" t="s">
        <v>49</v>
      </c>
      <c r="Y240">
        <v>2025</v>
      </c>
    </row>
    <row r="241" spans="1:25" x14ac:dyDescent="0.3">
      <c r="A241" t="s">
        <v>756</v>
      </c>
      <c r="B241" s="1">
        <v>46086</v>
      </c>
      <c r="C241" t="s">
        <v>757</v>
      </c>
      <c r="D241" t="s">
        <v>3498</v>
      </c>
      <c r="E241" s="1">
        <v>46088</v>
      </c>
      <c r="F241" t="s">
        <v>140</v>
      </c>
      <c r="G241" t="s">
        <v>38</v>
      </c>
      <c r="H241" t="s">
        <v>139</v>
      </c>
      <c r="I241" t="s">
        <v>2635</v>
      </c>
      <c r="J241" t="s">
        <v>2720</v>
      </c>
      <c r="K241" t="s">
        <v>25</v>
      </c>
      <c r="L241">
        <v>37</v>
      </c>
      <c r="M241">
        <v>3</v>
      </c>
      <c r="N241">
        <v>25</v>
      </c>
      <c r="O241" t="s">
        <v>758</v>
      </c>
      <c r="P241" t="s">
        <v>33</v>
      </c>
      <c r="Q241" t="s">
        <v>70</v>
      </c>
      <c r="R241" t="s">
        <v>32</v>
      </c>
      <c r="S241" t="s">
        <v>141</v>
      </c>
      <c r="T241">
        <v>2</v>
      </c>
      <c r="U241">
        <v>612.38</v>
      </c>
      <c r="V241">
        <v>869.39</v>
      </c>
      <c r="W241">
        <v>2</v>
      </c>
      <c r="X241" t="s">
        <v>34</v>
      </c>
      <c r="Y241">
        <v>2026</v>
      </c>
    </row>
    <row r="242" spans="1:25" x14ac:dyDescent="0.3">
      <c r="A242" t="s">
        <v>759</v>
      </c>
      <c r="B242" s="1">
        <v>45417</v>
      </c>
      <c r="C242" t="s">
        <v>760</v>
      </c>
      <c r="D242" t="s">
        <v>3497</v>
      </c>
      <c r="E242" s="1">
        <v>45421</v>
      </c>
      <c r="F242" t="s">
        <v>128</v>
      </c>
      <c r="G242" t="s">
        <v>98</v>
      </c>
      <c r="H242" t="s">
        <v>127</v>
      </c>
      <c r="I242" t="s">
        <v>2659</v>
      </c>
      <c r="J242" t="s">
        <v>2660</v>
      </c>
      <c r="K242" t="s">
        <v>25</v>
      </c>
      <c r="L242">
        <v>39</v>
      </c>
      <c r="M242">
        <v>3</v>
      </c>
      <c r="N242">
        <v>20</v>
      </c>
      <c r="O242" t="s">
        <v>761</v>
      </c>
      <c r="P242" t="s">
        <v>44</v>
      </c>
      <c r="Q242" t="s">
        <v>58</v>
      </c>
      <c r="R242" t="s">
        <v>32</v>
      </c>
      <c r="S242" t="s">
        <v>129</v>
      </c>
      <c r="T242">
        <v>1</v>
      </c>
      <c r="U242">
        <v>500.82</v>
      </c>
      <c r="V242">
        <v>988.71</v>
      </c>
      <c r="W242">
        <v>4</v>
      </c>
      <c r="X242" t="s">
        <v>49</v>
      </c>
      <c r="Y242">
        <v>2024</v>
      </c>
    </row>
    <row r="243" spans="1:25" x14ac:dyDescent="0.3">
      <c r="A243" t="s">
        <v>762</v>
      </c>
      <c r="B243" s="1">
        <v>45532</v>
      </c>
      <c r="C243" t="s">
        <v>763</v>
      </c>
      <c r="D243" t="s">
        <v>3496</v>
      </c>
      <c r="E243" s="1">
        <v>45533</v>
      </c>
      <c r="F243" t="s">
        <v>115</v>
      </c>
      <c r="G243" t="s">
        <v>66</v>
      </c>
      <c r="H243" t="s">
        <v>114</v>
      </c>
      <c r="I243" t="s">
        <v>2623</v>
      </c>
      <c r="J243" t="s">
        <v>2691</v>
      </c>
      <c r="K243" t="s">
        <v>52</v>
      </c>
      <c r="L243">
        <v>43</v>
      </c>
      <c r="M243">
        <v>4</v>
      </c>
      <c r="N243">
        <v>20</v>
      </c>
      <c r="O243" t="s">
        <v>764</v>
      </c>
      <c r="P243" t="s">
        <v>44</v>
      </c>
      <c r="Q243" t="s">
        <v>31</v>
      </c>
      <c r="R243" t="s">
        <v>43</v>
      </c>
      <c r="S243" t="s">
        <v>116</v>
      </c>
      <c r="T243">
        <v>2</v>
      </c>
      <c r="U243">
        <v>855.02</v>
      </c>
      <c r="V243">
        <v>2064.63</v>
      </c>
      <c r="W243">
        <v>1</v>
      </c>
      <c r="X243" t="s">
        <v>45</v>
      </c>
      <c r="Y243">
        <v>2024</v>
      </c>
    </row>
    <row r="244" spans="1:25" x14ac:dyDescent="0.3">
      <c r="A244" t="s">
        <v>765</v>
      </c>
      <c r="B244" s="1">
        <v>46071</v>
      </c>
      <c r="C244" t="s">
        <v>766</v>
      </c>
      <c r="D244" t="s">
        <v>3495</v>
      </c>
      <c r="E244" s="1">
        <v>46076</v>
      </c>
      <c r="F244" t="s">
        <v>56</v>
      </c>
      <c r="G244" t="s">
        <v>54</v>
      </c>
      <c r="H244" t="s">
        <v>55</v>
      </c>
      <c r="I244" t="s">
        <v>2622</v>
      </c>
      <c r="J244" t="s">
        <v>2622</v>
      </c>
      <c r="K244" t="s">
        <v>25</v>
      </c>
      <c r="L244">
        <v>45</v>
      </c>
      <c r="M244">
        <v>2</v>
      </c>
      <c r="N244">
        <v>30</v>
      </c>
      <c r="O244" t="s">
        <v>223</v>
      </c>
      <c r="P244" t="s">
        <v>44</v>
      </c>
      <c r="Q244" t="s">
        <v>58</v>
      </c>
      <c r="R244" t="s">
        <v>43</v>
      </c>
      <c r="S244" t="s">
        <v>57</v>
      </c>
      <c r="T244">
        <v>1</v>
      </c>
      <c r="U244">
        <v>42.06</v>
      </c>
      <c r="V244">
        <v>32.42</v>
      </c>
      <c r="W244">
        <v>5</v>
      </c>
      <c r="X244" t="s">
        <v>34</v>
      </c>
      <c r="Y244">
        <v>2026</v>
      </c>
    </row>
    <row r="245" spans="1:25" x14ac:dyDescent="0.3">
      <c r="A245" t="s">
        <v>767</v>
      </c>
      <c r="B245" s="1">
        <v>45953</v>
      </c>
      <c r="C245" t="s">
        <v>768</v>
      </c>
      <c r="D245" t="s">
        <v>3494</v>
      </c>
      <c r="E245" s="1">
        <v>45954</v>
      </c>
      <c r="F245" t="s">
        <v>56</v>
      </c>
      <c r="G245" t="s">
        <v>54</v>
      </c>
      <c r="H245" t="s">
        <v>55</v>
      </c>
      <c r="I245" t="s">
        <v>2675</v>
      </c>
      <c r="J245" t="s">
        <v>2676</v>
      </c>
      <c r="K245" t="s">
        <v>52</v>
      </c>
      <c r="L245">
        <v>29</v>
      </c>
      <c r="M245">
        <v>2</v>
      </c>
      <c r="N245">
        <v>15</v>
      </c>
      <c r="O245" t="s">
        <v>458</v>
      </c>
      <c r="P245" t="s">
        <v>75</v>
      </c>
      <c r="Q245" t="s">
        <v>70</v>
      </c>
      <c r="R245" t="s">
        <v>62</v>
      </c>
      <c r="S245" t="s">
        <v>57</v>
      </c>
      <c r="T245">
        <v>4</v>
      </c>
      <c r="U245">
        <v>586.29</v>
      </c>
      <c r="V245">
        <v>730.97</v>
      </c>
      <c r="W245">
        <v>1</v>
      </c>
      <c r="X245" t="s">
        <v>94</v>
      </c>
      <c r="Y245">
        <v>2025</v>
      </c>
    </row>
    <row r="246" spans="1:25" x14ac:dyDescent="0.3">
      <c r="A246" t="s">
        <v>769</v>
      </c>
      <c r="B246" s="1">
        <v>45740</v>
      </c>
      <c r="C246" t="s">
        <v>770</v>
      </c>
      <c r="D246" t="s">
        <v>3493</v>
      </c>
      <c r="E246" s="1">
        <v>45745</v>
      </c>
      <c r="F246" t="s">
        <v>2617</v>
      </c>
      <c r="G246" t="s">
        <v>27</v>
      </c>
      <c r="H246" t="s">
        <v>28</v>
      </c>
      <c r="I246" t="s">
        <v>2623</v>
      </c>
      <c r="J246" t="s">
        <v>2691</v>
      </c>
      <c r="K246" t="s">
        <v>52</v>
      </c>
      <c r="L246">
        <v>20</v>
      </c>
      <c r="M246">
        <v>2</v>
      </c>
      <c r="N246">
        <v>20</v>
      </c>
      <c r="O246" t="s">
        <v>771</v>
      </c>
      <c r="P246" t="s">
        <v>75</v>
      </c>
      <c r="Q246" t="s">
        <v>70</v>
      </c>
      <c r="R246" t="s">
        <v>62</v>
      </c>
      <c r="S246" t="s">
        <v>30</v>
      </c>
      <c r="T246">
        <v>5</v>
      </c>
      <c r="U246">
        <v>496.38</v>
      </c>
      <c r="V246">
        <v>604.85</v>
      </c>
      <c r="W246">
        <v>5</v>
      </c>
      <c r="X246" t="s">
        <v>34</v>
      </c>
      <c r="Y246">
        <v>2025</v>
      </c>
    </row>
    <row r="247" spans="1:25" x14ac:dyDescent="0.3">
      <c r="A247" t="s">
        <v>772</v>
      </c>
      <c r="B247" s="1">
        <v>45888</v>
      </c>
      <c r="C247" t="s">
        <v>773</v>
      </c>
      <c r="D247" t="s">
        <v>3492</v>
      </c>
      <c r="E247" s="1">
        <v>45892</v>
      </c>
      <c r="F247" t="s">
        <v>128</v>
      </c>
      <c r="G247" t="s">
        <v>98</v>
      </c>
      <c r="H247" t="s">
        <v>127</v>
      </c>
      <c r="I247" t="s">
        <v>2665</v>
      </c>
      <c r="J247" t="s">
        <v>2666</v>
      </c>
      <c r="K247" t="s">
        <v>52</v>
      </c>
      <c r="L247">
        <v>41</v>
      </c>
      <c r="M247">
        <v>5</v>
      </c>
      <c r="N247">
        <v>20</v>
      </c>
      <c r="O247" t="s">
        <v>774</v>
      </c>
      <c r="P247" t="s">
        <v>44</v>
      </c>
      <c r="Q247" t="s">
        <v>70</v>
      </c>
      <c r="R247" t="s">
        <v>32</v>
      </c>
      <c r="S247" t="s">
        <v>129</v>
      </c>
      <c r="T247">
        <v>2</v>
      </c>
      <c r="U247">
        <v>91.73</v>
      </c>
      <c r="V247">
        <v>187.61</v>
      </c>
      <c r="W247">
        <v>4</v>
      </c>
      <c r="X247" t="s">
        <v>45</v>
      </c>
      <c r="Y247">
        <v>2025</v>
      </c>
    </row>
    <row r="248" spans="1:25" x14ac:dyDescent="0.3">
      <c r="A248" t="s">
        <v>775</v>
      </c>
      <c r="B248" s="1">
        <v>45765</v>
      </c>
      <c r="C248" t="s">
        <v>776</v>
      </c>
      <c r="D248" t="s">
        <v>3491</v>
      </c>
      <c r="E248" s="1">
        <v>45772</v>
      </c>
      <c r="F248" t="s">
        <v>2617</v>
      </c>
      <c r="G248" t="s">
        <v>27</v>
      </c>
      <c r="H248" t="s">
        <v>28</v>
      </c>
      <c r="I248" t="s">
        <v>2663</v>
      </c>
      <c r="J248" t="s">
        <v>2694</v>
      </c>
      <c r="K248" t="s">
        <v>52</v>
      </c>
      <c r="L248">
        <v>26</v>
      </c>
      <c r="M248">
        <v>2</v>
      </c>
      <c r="N248">
        <v>25</v>
      </c>
      <c r="O248" t="s">
        <v>777</v>
      </c>
      <c r="P248" t="s">
        <v>33</v>
      </c>
      <c r="Q248" t="s">
        <v>58</v>
      </c>
      <c r="R248" t="s">
        <v>71</v>
      </c>
      <c r="S248" t="s">
        <v>30</v>
      </c>
      <c r="T248">
        <v>3</v>
      </c>
      <c r="U248">
        <v>396.15</v>
      </c>
      <c r="V248">
        <v>484.81</v>
      </c>
      <c r="W248">
        <v>7</v>
      </c>
      <c r="X248" t="s">
        <v>49</v>
      </c>
      <c r="Y248">
        <v>2025</v>
      </c>
    </row>
    <row r="249" spans="1:25" x14ac:dyDescent="0.3">
      <c r="A249" t="s">
        <v>778</v>
      </c>
      <c r="B249" s="1">
        <v>45403</v>
      </c>
      <c r="C249" t="s">
        <v>779</v>
      </c>
      <c r="D249" t="s">
        <v>3490</v>
      </c>
      <c r="E249" s="1">
        <v>45404</v>
      </c>
      <c r="F249" t="s">
        <v>56</v>
      </c>
      <c r="G249" t="s">
        <v>54</v>
      </c>
      <c r="H249" t="s">
        <v>55</v>
      </c>
      <c r="I249" t="s">
        <v>2639</v>
      </c>
      <c r="J249" t="s">
        <v>2687</v>
      </c>
      <c r="K249" t="s">
        <v>25</v>
      </c>
      <c r="L249">
        <v>26</v>
      </c>
      <c r="M249">
        <v>5</v>
      </c>
      <c r="N249">
        <v>10</v>
      </c>
      <c r="O249" t="s">
        <v>780</v>
      </c>
      <c r="P249" t="s">
        <v>75</v>
      </c>
      <c r="Q249" t="s">
        <v>70</v>
      </c>
      <c r="R249" t="s">
        <v>32</v>
      </c>
      <c r="S249" t="s">
        <v>57</v>
      </c>
      <c r="T249">
        <v>2</v>
      </c>
      <c r="U249">
        <v>80.349999999999994</v>
      </c>
      <c r="V249">
        <v>218.19</v>
      </c>
      <c r="W249">
        <v>1</v>
      </c>
      <c r="X249" t="s">
        <v>49</v>
      </c>
      <c r="Y249">
        <v>2024</v>
      </c>
    </row>
    <row r="250" spans="1:25" x14ac:dyDescent="0.3">
      <c r="A250" t="s">
        <v>781</v>
      </c>
      <c r="B250" s="1">
        <v>45922</v>
      </c>
      <c r="C250" t="s">
        <v>782</v>
      </c>
      <c r="D250" t="s">
        <v>3489</v>
      </c>
      <c r="E250" s="1">
        <v>45926</v>
      </c>
      <c r="F250" t="s">
        <v>140</v>
      </c>
      <c r="G250" t="s">
        <v>38</v>
      </c>
      <c r="H250" t="s">
        <v>139</v>
      </c>
      <c r="I250" t="s">
        <v>2634</v>
      </c>
      <c r="J250" t="s">
        <v>2714</v>
      </c>
      <c r="K250" t="s">
        <v>52</v>
      </c>
      <c r="L250">
        <v>63</v>
      </c>
      <c r="M250">
        <v>3</v>
      </c>
      <c r="N250">
        <v>15</v>
      </c>
      <c r="O250" t="s">
        <v>783</v>
      </c>
      <c r="P250" t="s">
        <v>33</v>
      </c>
      <c r="Q250" t="s">
        <v>70</v>
      </c>
      <c r="R250" t="s">
        <v>71</v>
      </c>
      <c r="S250" t="s">
        <v>141</v>
      </c>
      <c r="T250">
        <v>3</v>
      </c>
      <c r="U250">
        <v>232.83</v>
      </c>
      <c r="V250">
        <v>318.95999999999998</v>
      </c>
      <c r="W250">
        <v>4</v>
      </c>
      <c r="X250" t="s">
        <v>45</v>
      </c>
      <c r="Y250">
        <v>2025</v>
      </c>
    </row>
    <row r="251" spans="1:25" x14ac:dyDescent="0.3">
      <c r="A251" t="s">
        <v>784</v>
      </c>
      <c r="B251" s="1">
        <v>45805</v>
      </c>
      <c r="C251" t="s">
        <v>785</v>
      </c>
      <c r="D251" t="s">
        <v>3488</v>
      </c>
      <c r="E251" s="1">
        <v>45809</v>
      </c>
      <c r="F251" t="s">
        <v>2617</v>
      </c>
      <c r="G251" t="s">
        <v>27</v>
      </c>
      <c r="H251" t="s">
        <v>28</v>
      </c>
      <c r="I251" t="s">
        <v>2663</v>
      </c>
      <c r="J251" t="s">
        <v>2664</v>
      </c>
      <c r="K251" t="s">
        <v>25</v>
      </c>
      <c r="L251">
        <v>18</v>
      </c>
      <c r="M251">
        <v>5</v>
      </c>
      <c r="N251">
        <v>25</v>
      </c>
      <c r="O251" t="s">
        <v>420</v>
      </c>
      <c r="P251" t="s">
        <v>33</v>
      </c>
      <c r="Q251" t="s">
        <v>31</v>
      </c>
      <c r="R251" t="s">
        <v>62</v>
      </c>
      <c r="S251" t="s">
        <v>30</v>
      </c>
      <c r="T251">
        <v>1</v>
      </c>
      <c r="U251">
        <v>678.32</v>
      </c>
      <c r="V251">
        <v>1406.77</v>
      </c>
      <c r="W251">
        <v>4</v>
      </c>
      <c r="X251" t="s">
        <v>49</v>
      </c>
      <c r="Y251">
        <v>2025</v>
      </c>
    </row>
    <row r="252" spans="1:25" x14ac:dyDescent="0.3">
      <c r="A252" t="s">
        <v>786</v>
      </c>
      <c r="B252" s="1">
        <v>45960</v>
      </c>
      <c r="C252" t="s">
        <v>787</v>
      </c>
      <c r="D252" t="s">
        <v>3487</v>
      </c>
      <c r="E252" s="1">
        <v>45961</v>
      </c>
      <c r="F252" t="s">
        <v>100</v>
      </c>
      <c r="G252" t="s">
        <v>98</v>
      </c>
      <c r="H252" t="s">
        <v>99</v>
      </c>
      <c r="I252" t="s">
        <v>2633</v>
      </c>
      <c r="J252" t="s">
        <v>2636</v>
      </c>
      <c r="K252" t="s">
        <v>25</v>
      </c>
      <c r="L252">
        <v>48</v>
      </c>
      <c r="M252">
        <v>1</v>
      </c>
      <c r="N252">
        <v>10</v>
      </c>
      <c r="O252" t="s">
        <v>788</v>
      </c>
      <c r="P252" t="s">
        <v>33</v>
      </c>
      <c r="Q252" t="s">
        <v>31</v>
      </c>
      <c r="R252" t="s">
        <v>62</v>
      </c>
      <c r="S252" t="s">
        <v>101</v>
      </c>
      <c r="T252">
        <v>4</v>
      </c>
      <c r="U252">
        <v>830.44</v>
      </c>
      <c r="V252">
        <v>503.32</v>
      </c>
      <c r="W252">
        <v>1</v>
      </c>
      <c r="X252" t="s">
        <v>94</v>
      </c>
      <c r="Y252">
        <v>2025</v>
      </c>
    </row>
    <row r="253" spans="1:25" x14ac:dyDescent="0.3">
      <c r="A253" t="s">
        <v>789</v>
      </c>
      <c r="B253" s="1">
        <v>46054</v>
      </c>
      <c r="C253" t="s">
        <v>790</v>
      </c>
      <c r="D253" t="s">
        <v>3486</v>
      </c>
      <c r="E253" s="1">
        <v>46058</v>
      </c>
      <c r="F253" t="s">
        <v>2617</v>
      </c>
      <c r="G253" t="s">
        <v>27</v>
      </c>
      <c r="H253" t="s">
        <v>28</v>
      </c>
      <c r="I253" t="s">
        <v>2663</v>
      </c>
      <c r="J253" t="s">
        <v>2694</v>
      </c>
      <c r="K253" t="s">
        <v>52</v>
      </c>
      <c r="L253">
        <v>40</v>
      </c>
      <c r="M253">
        <v>5</v>
      </c>
      <c r="N253">
        <v>15</v>
      </c>
      <c r="O253" t="s">
        <v>791</v>
      </c>
      <c r="P253" t="s">
        <v>75</v>
      </c>
      <c r="Q253" t="s">
        <v>70</v>
      </c>
      <c r="R253" t="s">
        <v>62</v>
      </c>
      <c r="S253" t="s">
        <v>30</v>
      </c>
      <c r="T253">
        <v>1</v>
      </c>
      <c r="U253">
        <v>33.950000000000003</v>
      </c>
      <c r="V253">
        <v>116.75</v>
      </c>
      <c r="W253">
        <v>4</v>
      </c>
      <c r="X253" t="s">
        <v>34</v>
      </c>
      <c r="Y253">
        <v>2026</v>
      </c>
    </row>
    <row r="254" spans="1:25" x14ac:dyDescent="0.3">
      <c r="A254" t="s">
        <v>792</v>
      </c>
      <c r="B254" s="1">
        <v>45350</v>
      </c>
      <c r="C254" t="s">
        <v>793</v>
      </c>
      <c r="D254" t="s">
        <v>3485</v>
      </c>
      <c r="E254" s="1">
        <v>45354</v>
      </c>
      <c r="F254" t="s">
        <v>122</v>
      </c>
      <c r="G254" t="s">
        <v>120</v>
      </c>
      <c r="H254" t="s">
        <v>121</v>
      </c>
      <c r="I254" t="s">
        <v>2647</v>
      </c>
      <c r="J254" t="s">
        <v>2721</v>
      </c>
      <c r="K254" t="s">
        <v>52</v>
      </c>
      <c r="L254">
        <v>30</v>
      </c>
      <c r="M254">
        <v>1</v>
      </c>
      <c r="N254">
        <v>15</v>
      </c>
      <c r="O254" t="s">
        <v>794</v>
      </c>
      <c r="P254" t="s">
        <v>33</v>
      </c>
      <c r="Q254" t="s">
        <v>42</v>
      </c>
      <c r="R254" t="s">
        <v>62</v>
      </c>
      <c r="S254" t="s">
        <v>123</v>
      </c>
      <c r="T254">
        <v>3</v>
      </c>
      <c r="U254">
        <v>244.81</v>
      </c>
      <c r="V254">
        <v>115.95</v>
      </c>
      <c r="W254">
        <v>4</v>
      </c>
      <c r="X254" t="s">
        <v>34</v>
      </c>
      <c r="Y254">
        <v>2024</v>
      </c>
    </row>
    <row r="255" spans="1:25" x14ac:dyDescent="0.3">
      <c r="A255" t="s">
        <v>795</v>
      </c>
      <c r="B255" s="1">
        <v>45803</v>
      </c>
      <c r="C255" t="s">
        <v>796</v>
      </c>
      <c r="D255" t="s">
        <v>3484</v>
      </c>
      <c r="E255" s="1">
        <v>45805</v>
      </c>
      <c r="F255" t="s">
        <v>128</v>
      </c>
      <c r="G255" t="s">
        <v>98</v>
      </c>
      <c r="H255" t="s">
        <v>127</v>
      </c>
      <c r="I255" t="s">
        <v>2639</v>
      </c>
      <c r="J255" t="s">
        <v>2687</v>
      </c>
      <c r="K255" t="s">
        <v>52</v>
      </c>
      <c r="L255">
        <v>20</v>
      </c>
      <c r="M255">
        <v>5</v>
      </c>
      <c r="N255">
        <v>15</v>
      </c>
      <c r="O255" t="s">
        <v>797</v>
      </c>
      <c r="P255" t="s">
        <v>75</v>
      </c>
      <c r="Q255" t="s">
        <v>70</v>
      </c>
      <c r="R255" t="s">
        <v>62</v>
      </c>
      <c r="S255" t="s">
        <v>129</v>
      </c>
      <c r="T255">
        <v>5</v>
      </c>
      <c r="U255">
        <v>709.14</v>
      </c>
      <c r="V255">
        <v>2007.27</v>
      </c>
      <c r="W255">
        <v>2</v>
      </c>
      <c r="X255" t="s">
        <v>49</v>
      </c>
      <c r="Y255">
        <v>2025</v>
      </c>
    </row>
    <row r="256" spans="1:25" x14ac:dyDescent="0.3">
      <c r="A256" t="s">
        <v>798</v>
      </c>
      <c r="B256" s="1">
        <v>45722</v>
      </c>
      <c r="C256" t="s">
        <v>799</v>
      </c>
      <c r="D256" t="s">
        <v>3483</v>
      </c>
      <c r="E256" s="1">
        <v>45726</v>
      </c>
      <c r="F256" t="s">
        <v>2617</v>
      </c>
      <c r="G256" t="s">
        <v>27</v>
      </c>
      <c r="H256" t="s">
        <v>28</v>
      </c>
      <c r="I256" t="s">
        <v>2623</v>
      </c>
      <c r="J256" t="s">
        <v>2701</v>
      </c>
      <c r="K256" t="s">
        <v>25</v>
      </c>
      <c r="L256">
        <v>31</v>
      </c>
      <c r="M256">
        <v>1</v>
      </c>
      <c r="N256">
        <v>15</v>
      </c>
      <c r="O256" t="s">
        <v>794</v>
      </c>
      <c r="P256" t="s">
        <v>33</v>
      </c>
      <c r="Q256" t="s">
        <v>42</v>
      </c>
      <c r="R256" t="s">
        <v>62</v>
      </c>
      <c r="S256" t="s">
        <v>30</v>
      </c>
      <c r="T256">
        <v>4</v>
      </c>
      <c r="U256">
        <v>486.37</v>
      </c>
      <c r="V256">
        <v>287.72000000000003</v>
      </c>
      <c r="W256">
        <v>4</v>
      </c>
      <c r="X256" t="s">
        <v>34</v>
      </c>
      <c r="Y256">
        <v>2025</v>
      </c>
    </row>
    <row r="257" spans="1:25" x14ac:dyDescent="0.3">
      <c r="A257" t="s">
        <v>800</v>
      </c>
      <c r="B257" s="1">
        <v>45960</v>
      </c>
      <c r="C257" t="s">
        <v>801</v>
      </c>
      <c r="D257" t="s">
        <v>3482</v>
      </c>
      <c r="E257" s="1">
        <v>45962</v>
      </c>
      <c r="F257" t="s">
        <v>40</v>
      </c>
      <c r="G257" t="s">
        <v>38</v>
      </c>
      <c r="H257" t="s">
        <v>39</v>
      </c>
      <c r="I257" t="s">
        <v>2639</v>
      </c>
      <c r="J257" t="s">
        <v>2687</v>
      </c>
      <c r="K257" t="s">
        <v>52</v>
      </c>
      <c r="L257">
        <v>63</v>
      </c>
      <c r="M257">
        <v>3</v>
      </c>
      <c r="N257">
        <v>25</v>
      </c>
      <c r="O257" t="s">
        <v>802</v>
      </c>
      <c r="P257" t="s">
        <v>33</v>
      </c>
      <c r="Q257" t="s">
        <v>70</v>
      </c>
      <c r="R257" t="s">
        <v>32</v>
      </c>
      <c r="S257" t="s">
        <v>41</v>
      </c>
      <c r="T257">
        <v>2</v>
      </c>
      <c r="U257">
        <v>581.73</v>
      </c>
      <c r="V257">
        <v>957.32</v>
      </c>
      <c r="W257">
        <v>2</v>
      </c>
      <c r="X257" t="s">
        <v>94</v>
      </c>
      <c r="Y257">
        <v>2025</v>
      </c>
    </row>
    <row r="258" spans="1:25" x14ac:dyDescent="0.3">
      <c r="A258" t="s">
        <v>803</v>
      </c>
      <c r="B258" s="1">
        <v>45821</v>
      </c>
      <c r="C258" t="s">
        <v>804</v>
      </c>
      <c r="D258" t="s">
        <v>3481</v>
      </c>
      <c r="E258" s="1">
        <v>45828</v>
      </c>
      <c r="F258" t="s">
        <v>122</v>
      </c>
      <c r="G258" t="s">
        <v>120</v>
      </c>
      <c r="H258" t="s">
        <v>121</v>
      </c>
      <c r="I258" t="s">
        <v>2665</v>
      </c>
      <c r="J258" t="s">
        <v>2693</v>
      </c>
      <c r="K258" t="s">
        <v>25</v>
      </c>
      <c r="L258">
        <v>51</v>
      </c>
      <c r="M258">
        <v>1</v>
      </c>
      <c r="N258">
        <v>5</v>
      </c>
      <c r="O258" t="s">
        <v>805</v>
      </c>
      <c r="P258" t="s">
        <v>33</v>
      </c>
      <c r="Q258" t="s">
        <v>70</v>
      </c>
      <c r="R258" t="s">
        <v>62</v>
      </c>
      <c r="S258" t="s">
        <v>123</v>
      </c>
      <c r="T258">
        <v>2</v>
      </c>
      <c r="U258">
        <v>73.38</v>
      </c>
      <c r="V258">
        <v>51.73</v>
      </c>
      <c r="W258">
        <v>7</v>
      </c>
      <c r="X258" t="s">
        <v>49</v>
      </c>
      <c r="Y258">
        <v>2025</v>
      </c>
    </row>
    <row r="259" spans="1:25" x14ac:dyDescent="0.3">
      <c r="A259" t="s">
        <v>806</v>
      </c>
      <c r="B259" s="1">
        <v>45549</v>
      </c>
      <c r="C259" t="s">
        <v>807</v>
      </c>
      <c r="D259" t="s">
        <v>3480</v>
      </c>
      <c r="E259" s="1">
        <v>45551</v>
      </c>
      <c r="F259" t="s">
        <v>140</v>
      </c>
      <c r="G259" t="s">
        <v>38</v>
      </c>
      <c r="H259" t="s">
        <v>139</v>
      </c>
      <c r="I259" t="s">
        <v>2623</v>
      </c>
      <c r="J259" t="s">
        <v>2624</v>
      </c>
      <c r="K259" t="s">
        <v>25</v>
      </c>
      <c r="L259">
        <v>19</v>
      </c>
      <c r="M259">
        <v>2</v>
      </c>
      <c r="N259">
        <v>25</v>
      </c>
      <c r="O259" t="s">
        <v>808</v>
      </c>
      <c r="P259" t="s">
        <v>33</v>
      </c>
      <c r="Q259" t="s">
        <v>70</v>
      </c>
      <c r="R259" t="s">
        <v>32</v>
      </c>
      <c r="S259" t="s">
        <v>141</v>
      </c>
      <c r="T259">
        <v>4</v>
      </c>
      <c r="U259">
        <v>859.91</v>
      </c>
      <c r="V259">
        <v>794.29</v>
      </c>
      <c r="W259">
        <v>2</v>
      </c>
      <c r="X259" t="s">
        <v>45</v>
      </c>
      <c r="Y259">
        <v>2024</v>
      </c>
    </row>
    <row r="260" spans="1:25" x14ac:dyDescent="0.3">
      <c r="A260" t="s">
        <v>809</v>
      </c>
      <c r="B260" s="1">
        <v>45753</v>
      </c>
      <c r="C260" t="s">
        <v>810</v>
      </c>
      <c r="D260" t="s">
        <v>3479</v>
      </c>
      <c r="E260" s="1">
        <v>45759</v>
      </c>
      <c r="F260" t="s">
        <v>56</v>
      </c>
      <c r="G260" t="s">
        <v>54</v>
      </c>
      <c r="H260" t="s">
        <v>55</v>
      </c>
      <c r="I260" t="s">
        <v>2659</v>
      </c>
      <c r="J260" t="s">
        <v>2660</v>
      </c>
      <c r="K260" t="s">
        <v>52</v>
      </c>
      <c r="L260">
        <v>64</v>
      </c>
      <c r="M260">
        <v>3</v>
      </c>
      <c r="N260">
        <v>15</v>
      </c>
      <c r="O260" t="s">
        <v>739</v>
      </c>
      <c r="P260" t="s">
        <v>33</v>
      </c>
      <c r="Q260" t="s">
        <v>31</v>
      </c>
      <c r="R260" t="s">
        <v>32</v>
      </c>
      <c r="S260" t="s">
        <v>57</v>
      </c>
      <c r="T260">
        <v>4</v>
      </c>
      <c r="U260">
        <v>860.37</v>
      </c>
      <c r="V260">
        <v>1537.83</v>
      </c>
      <c r="W260">
        <v>6</v>
      </c>
      <c r="X260" t="s">
        <v>49</v>
      </c>
      <c r="Y260">
        <v>2025</v>
      </c>
    </row>
    <row r="261" spans="1:25" x14ac:dyDescent="0.3">
      <c r="A261" t="s">
        <v>811</v>
      </c>
      <c r="B261" s="1">
        <v>45538</v>
      </c>
      <c r="C261" t="s">
        <v>812</v>
      </c>
      <c r="D261" t="s">
        <v>3478</v>
      </c>
      <c r="E261" s="1">
        <v>45541</v>
      </c>
      <c r="F261" t="s">
        <v>68</v>
      </c>
      <c r="G261" t="s">
        <v>66</v>
      </c>
      <c r="H261" t="s">
        <v>67</v>
      </c>
      <c r="I261" t="s">
        <v>2635</v>
      </c>
      <c r="J261" t="s">
        <v>2720</v>
      </c>
      <c r="K261" t="s">
        <v>52</v>
      </c>
      <c r="L261">
        <v>32</v>
      </c>
      <c r="M261">
        <v>2</v>
      </c>
      <c r="N261">
        <v>20</v>
      </c>
      <c r="O261" t="s">
        <v>802</v>
      </c>
      <c r="P261" t="s">
        <v>33</v>
      </c>
      <c r="Q261" t="s">
        <v>117</v>
      </c>
      <c r="R261" t="s">
        <v>62</v>
      </c>
      <c r="S261" t="s">
        <v>69</v>
      </c>
      <c r="T261">
        <v>4</v>
      </c>
      <c r="U261">
        <v>782.03</v>
      </c>
      <c r="V261">
        <v>698.27</v>
      </c>
      <c r="W261">
        <v>3</v>
      </c>
      <c r="X261" t="s">
        <v>45</v>
      </c>
      <c r="Y261">
        <v>2024</v>
      </c>
    </row>
    <row r="262" spans="1:25" x14ac:dyDescent="0.3">
      <c r="A262" t="s">
        <v>813</v>
      </c>
      <c r="B262" s="1">
        <v>45847</v>
      </c>
      <c r="C262" t="s">
        <v>814</v>
      </c>
      <c r="D262" t="s">
        <v>3477</v>
      </c>
      <c r="E262" s="1">
        <v>45854</v>
      </c>
      <c r="F262" t="s">
        <v>100</v>
      </c>
      <c r="G262" t="s">
        <v>98</v>
      </c>
      <c r="H262" t="s">
        <v>99</v>
      </c>
      <c r="I262" t="s">
        <v>2641</v>
      </c>
      <c r="J262" t="s">
        <v>2713</v>
      </c>
      <c r="K262" t="s">
        <v>52</v>
      </c>
      <c r="L262">
        <v>58</v>
      </c>
      <c r="M262">
        <v>1</v>
      </c>
      <c r="N262">
        <v>25</v>
      </c>
      <c r="O262" t="s">
        <v>815</v>
      </c>
      <c r="P262" t="s">
        <v>44</v>
      </c>
      <c r="Q262" t="s">
        <v>58</v>
      </c>
      <c r="R262" t="s">
        <v>62</v>
      </c>
      <c r="S262" t="s">
        <v>101</v>
      </c>
      <c r="T262">
        <v>5</v>
      </c>
      <c r="U262">
        <v>939.22</v>
      </c>
      <c r="V262">
        <v>444.68</v>
      </c>
      <c r="W262">
        <v>7</v>
      </c>
      <c r="X262" t="s">
        <v>45</v>
      </c>
      <c r="Y262">
        <v>2025</v>
      </c>
    </row>
    <row r="263" spans="1:25" x14ac:dyDescent="0.3">
      <c r="A263" t="s">
        <v>816</v>
      </c>
      <c r="B263" s="1">
        <v>45526</v>
      </c>
      <c r="C263" t="s">
        <v>817</v>
      </c>
      <c r="D263" t="s">
        <v>3476</v>
      </c>
      <c r="E263" s="1">
        <v>45527</v>
      </c>
      <c r="F263" t="s">
        <v>122</v>
      </c>
      <c r="G263" t="s">
        <v>120</v>
      </c>
      <c r="H263" t="s">
        <v>121</v>
      </c>
      <c r="I263" t="s">
        <v>2632</v>
      </c>
      <c r="J263" t="s">
        <v>2645</v>
      </c>
      <c r="K263" t="s">
        <v>52</v>
      </c>
      <c r="L263">
        <v>60</v>
      </c>
      <c r="M263">
        <v>3</v>
      </c>
      <c r="N263">
        <v>25</v>
      </c>
      <c r="O263" t="s">
        <v>818</v>
      </c>
      <c r="P263" t="s">
        <v>75</v>
      </c>
      <c r="Q263" t="s">
        <v>58</v>
      </c>
      <c r="R263" t="s">
        <v>43</v>
      </c>
      <c r="S263" t="s">
        <v>123</v>
      </c>
      <c r="T263">
        <v>1</v>
      </c>
      <c r="U263">
        <v>734.03</v>
      </c>
      <c r="V263">
        <v>883.63</v>
      </c>
      <c r="W263">
        <v>1</v>
      </c>
      <c r="X263" t="s">
        <v>45</v>
      </c>
      <c r="Y263">
        <v>2024</v>
      </c>
    </row>
    <row r="264" spans="1:25" x14ac:dyDescent="0.3">
      <c r="A264" t="s">
        <v>819</v>
      </c>
      <c r="B264" s="1">
        <v>45518</v>
      </c>
      <c r="C264" t="s">
        <v>820</v>
      </c>
      <c r="D264" t="s">
        <v>3475</v>
      </c>
      <c r="E264" s="1">
        <v>45524</v>
      </c>
      <c r="F264" t="s">
        <v>2617</v>
      </c>
      <c r="G264" t="s">
        <v>27</v>
      </c>
      <c r="H264" t="s">
        <v>28</v>
      </c>
      <c r="I264" t="s">
        <v>2672</v>
      </c>
      <c r="J264" t="s">
        <v>2716</v>
      </c>
      <c r="K264" t="s">
        <v>25</v>
      </c>
      <c r="L264">
        <v>34</v>
      </c>
      <c r="M264">
        <v>4</v>
      </c>
      <c r="N264">
        <v>25</v>
      </c>
      <c r="O264" t="s">
        <v>821</v>
      </c>
      <c r="P264" t="s">
        <v>44</v>
      </c>
      <c r="Q264" t="s">
        <v>58</v>
      </c>
      <c r="R264" t="s">
        <v>62</v>
      </c>
      <c r="S264" t="s">
        <v>30</v>
      </c>
      <c r="T264">
        <v>4</v>
      </c>
      <c r="U264">
        <v>266.98</v>
      </c>
      <c r="V264">
        <v>503.15</v>
      </c>
      <c r="W264">
        <v>6</v>
      </c>
      <c r="X264" t="s">
        <v>45</v>
      </c>
      <c r="Y264">
        <v>2024</v>
      </c>
    </row>
    <row r="265" spans="1:25" x14ac:dyDescent="0.3">
      <c r="A265" t="s">
        <v>822</v>
      </c>
      <c r="B265" s="1">
        <v>45901</v>
      </c>
      <c r="C265" t="s">
        <v>823</v>
      </c>
      <c r="D265" t="s">
        <v>3474</v>
      </c>
      <c r="E265" s="1">
        <v>45908</v>
      </c>
      <c r="F265" t="s">
        <v>100</v>
      </c>
      <c r="G265" t="s">
        <v>98</v>
      </c>
      <c r="H265" t="s">
        <v>99</v>
      </c>
      <c r="I265" t="s">
        <v>2663</v>
      </c>
      <c r="J265" t="s">
        <v>2670</v>
      </c>
      <c r="K265" t="s">
        <v>52</v>
      </c>
      <c r="L265">
        <v>49</v>
      </c>
      <c r="M265">
        <v>3</v>
      </c>
      <c r="N265">
        <v>30</v>
      </c>
      <c r="O265" t="s">
        <v>824</v>
      </c>
      <c r="P265" t="s">
        <v>75</v>
      </c>
      <c r="Q265" t="s">
        <v>42</v>
      </c>
      <c r="R265" t="s">
        <v>71</v>
      </c>
      <c r="S265" t="s">
        <v>101</v>
      </c>
      <c r="T265">
        <v>3</v>
      </c>
      <c r="U265">
        <v>18.559999999999999</v>
      </c>
      <c r="V265">
        <v>21.89</v>
      </c>
      <c r="W265">
        <v>7</v>
      </c>
      <c r="X265" t="s">
        <v>45</v>
      </c>
      <c r="Y265">
        <v>2025</v>
      </c>
    </row>
    <row r="266" spans="1:25" x14ac:dyDescent="0.3">
      <c r="A266" t="s">
        <v>825</v>
      </c>
      <c r="B266" s="1">
        <v>45617</v>
      </c>
      <c r="C266" t="s">
        <v>826</v>
      </c>
      <c r="D266" t="s">
        <v>3473</v>
      </c>
      <c r="E266" s="1">
        <v>45621</v>
      </c>
      <c r="F266" t="s">
        <v>56</v>
      </c>
      <c r="G266" t="s">
        <v>54</v>
      </c>
      <c r="H266" t="s">
        <v>55</v>
      </c>
      <c r="I266" t="s">
        <v>2668</v>
      </c>
      <c r="J266" t="s">
        <v>2708</v>
      </c>
      <c r="K266" t="s">
        <v>52</v>
      </c>
      <c r="L266">
        <v>35</v>
      </c>
      <c r="M266">
        <v>4</v>
      </c>
      <c r="N266">
        <v>0</v>
      </c>
      <c r="O266" t="s">
        <v>291</v>
      </c>
      <c r="P266" t="s">
        <v>75</v>
      </c>
      <c r="Q266" t="s">
        <v>70</v>
      </c>
      <c r="R266" t="s">
        <v>43</v>
      </c>
      <c r="S266" t="s">
        <v>57</v>
      </c>
      <c r="T266">
        <v>3</v>
      </c>
      <c r="U266">
        <v>540.28</v>
      </c>
      <c r="V266">
        <v>1427.02</v>
      </c>
      <c r="W266">
        <v>4</v>
      </c>
      <c r="X266" t="s">
        <v>94</v>
      </c>
      <c r="Y266">
        <v>2024</v>
      </c>
    </row>
    <row r="267" spans="1:25" x14ac:dyDescent="0.3">
      <c r="A267" t="s">
        <v>827</v>
      </c>
      <c r="B267" s="1">
        <v>46174</v>
      </c>
      <c r="C267" t="s">
        <v>828</v>
      </c>
      <c r="D267" t="s">
        <v>3472</v>
      </c>
      <c r="E267" s="1">
        <v>46176</v>
      </c>
      <c r="F267" t="s">
        <v>122</v>
      </c>
      <c r="G267" t="s">
        <v>120</v>
      </c>
      <c r="H267" t="s">
        <v>121</v>
      </c>
      <c r="I267" t="s">
        <v>2629</v>
      </c>
      <c r="J267" t="s">
        <v>2697</v>
      </c>
      <c r="K267" t="s">
        <v>25</v>
      </c>
      <c r="L267">
        <v>44</v>
      </c>
      <c r="M267">
        <v>4</v>
      </c>
      <c r="N267">
        <v>25</v>
      </c>
      <c r="O267" t="s">
        <v>829</v>
      </c>
      <c r="P267" t="s">
        <v>44</v>
      </c>
      <c r="Q267" t="s">
        <v>117</v>
      </c>
      <c r="R267" t="s">
        <v>62</v>
      </c>
      <c r="S267" t="s">
        <v>123</v>
      </c>
      <c r="T267">
        <v>4</v>
      </c>
      <c r="U267">
        <v>541.87</v>
      </c>
      <c r="V267">
        <v>974.66</v>
      </c>
      <c r="W267">
        <v>2</v>
      </c>
      <c r="X267" t="s">
        <v>49</v>
      </c>
      <c r="Y267">
        <v>2026</v>
      </c>
    </row>
    <row r="268" spans="1:25" x14ac:dyDescent="0.3">
      <c r="A268" t="s">
        <v>830</v>
      </c>
      <c r="B268" s="1">
        <v>45885</v>
      </c>
      <c r="C268" t="s">
        <v>831</v>
      </c>
      <c r="D268" t="s">
        <v>2781</v>
      </c>
      <c r="E268" s="1">
        <v>45889</v>
      </c>
      <c r="F268" t="s">
        <v>2617</v>
      </c>
      <c r="G268" t="s">
        <v>27</v>
      </c>
      <c r="H268" t="s">
        <v>28</v>
      </c>
      <c r="I268" t="s">
        <v>2665</v>
      </c>
      <c r="J268" t="s">
        <v>2666</v>
      </c>
      <c r="K268" t="s">
        <v>25</v>
      </c>
      <c r="L268">
        <v>58</v>
      </c>
      <c r="M268">
        <v>5</v>
      </c>
      <c r="N268">
        <v>0</v>
      </c>
      <c r="O268" t="s">
        <v>832</v>
      </c>
      <c r="P268" t="s">
        <v>33</v>
      </c>
      <c r="Q268" t="s">
        <v>31</v>
      </c>
      <c r="R268" t="s">
        <v>71</v>
      </c>
      <c r="S268" t="s">
        <v>30</v>
      </c>
      <c r="T268">
        <v>1</v>
      </c>
      <c r="U268">
        <v>698.87</v>
      </c>
      <c r="V268">
        <v>2380.4699999999998</v>
      </c>
      <c r="W268">
        <v>4</v>
      </c>
      <c r="X268" t="s">
        <v>45</v>
      </c>
      <c r="Y268">
        <v>2025</v>
      </c>
    </row>
    <row r="269" spans="1:25" x14ac:dyDescent="0.3">
      <c r="A269" t="s">
        <v>833</v>
      </c>
      <c r="B269" s="1">
        <v>45744</v>
      </c>
      <c r="C269" t="s">
        <v>834</v>
      </c>
      <c r="D269" t="s">
        <v>2780</v>
      </c>
      <c r="E269" s="1">
        <v>45745</v>
      </c>
      <c r="F269" t="s">
        <v>2617</v>
      </c>
      <c r="G269" t="s">
        <v>27</v>
      </c>
      <c r="H269" t="s">
        <v>28</v>
      </c>
      <c r="I269" t="s">
        <v>2665</v>
      </c>
      <c r="J269" t="s">
        <v>2666</v>
      </c>
      <c r="K269" t="s">
        <v>25</v>
      </c>
      <c r="L269">
        <v>37</v>
      </c>
      <c r="M269">
        <v>1</v>
      </c>
      <c r="N269">
        <v>20</v>
      </c>
      <c r="O269" t="s">
        <v>177</v>
      </c>
      <c r="P269" t="s">
        <v>75</v>
      </c>
      <c r="Q269" t="s">
        <v>31</v>
      </c>
      <c r="R269" t="s">
        <v>43</v>
      </c>
      <c r="S269" t="s">
        <v>30</v>
      </c>
      <c r="T269">
        <v>1</v>
      </c>
      <c r="U269">
        <v>93.3</v>
      </c>
      <c r="V269">
        <v>60.91</v>
      </c>
      <c r="W269">
        <v>1</v>
      </c>
      <c r="X269" t="s">
        <v>34</v>
      </c>
      <c r="Y269">
        <v>2025</v>
      </c>
    </row>
    <row r="270" spans="1:25" x14ac:dyDescent="0.3">
      <c r="A270" t="s">
        <v>835</v>
      </c>
      <c r="B270" s="1">
        <v>45432</v>
      </c>
      <c r="C270" t="s">
        <v>836</v>
      </c>
      <c r="D270" t="s">
        <v>2779</v>
      </c>
      <c r="E270" s="1">
        <v>45434</v>
      </c>
      <c r="F270" t="s">
        <v>100</v>
      </c>
      <c r="G270" t="s">
        <v>98</v>
      </c>
      <c r="H270" t="s">
        <v>99</v>
      </c>
      <c r="I270" t="s">
        <v>2637</v>
      </c>
      <c r="J270" t="s">
        <v>2649</v>
      </c>
      <c r="K270" t="s">
        <v>25</v>
      </c>
      <c r="L270">
        <v>29</v>
      </c>
      <c r="M270">
        <v>4</v>
      </c>
      <c r="N270">
        <v>30</v>
      </c>
      <c r="O270" t="s">
        <v>583</v>
      </c>
      <c r="P270" t="s">
        <v>33</v>
      </c>
      <c r="Q270" t="s">
        <v>58</v>
      </c>
      <c r="R270" t="s">
        <v>43</v>
      </c>
      <c r="S270" t="s">
        <v>101</v>
      </c>
      <c r="T270">
        <v>1</v>
      </c>
      <c r="U270">
        <v>14.55</v>
      </c>
      <c r="V270">
        <v>27.38</v>
      </c>
      <c r="W270">
        <v>2</v>
      </c>
      <c r="X270" t="s">
        <v>49</v>
      </c>
      <c r="Y270">
        <v>2024</v>
      </c>
    </row>
    <row r="271" spans="1:25" x14ac:dyDescent="0.3">
      <c r="A271" t="s">
        <v>837</v>
      </c>
      <c r="B271" s="1">
        <v>45334</v>
      </c>
      <c r="C271" t="s">
        <v>838</v>
      </c>
      <c r="D271" t="s">
        <v>2778</v>
      </c>
      <c r="E271" s="1">
        <v>45339</v>
      </c>
      <c r="F271" t="s">
        <v>2617</v>
      </c>
      <c r="G271" t="s">
        <v>27</v>
      </c>
      <c r="H271" t="s">
        <v>28</v>
      </c>
      <c r="I271" t="s">
        <v>2679</v>
      </c>
      <c r="J271" t="s">
        <v>2707</v>
      </c>
      <c r="K271" t="s">
        <v>52</v>
      </c>
      <c r="L271">
        <v>65</v>
      </c>
      <c r="M271">
        <v>1</v>
      </c>
      <c r="N271">
        <v>30</v>
      </c>
      <c r="O271" t="s">
        <v>258</v>
      </c>
      <c r="P271" t="s">
        <v>75</v>
      </c>
      <c r="Q271" t="s">
        <v>58</v>
      </c>
      <c r="R271" t="s">
        <v>43</v>
      </c>
      <c r="S271" t="s">
        <v>30</v>
      </c>
      <c r="T271">
        <v>3</v>
      </c>
      <c r="U271">
        <v>338.02</v>
      </c>
      <c r="V271">
        <v>156.54</v>
      </c>
      <c r="W271">
        <v>5</v>
      </c>
      <c r="X271" t="s">
        <v>34</v>
      </c>
      <c r="Y271">
        <v>2024</v>
      </c>
    </row>
    <row r="272" spans="1:25" x14ac:dyDescent="0.3">
      <c r="A272" t="s">
        <v>839</v>
      </c>
      <c r="B272" s="1">
        <v>45660</v>
      </c>
      <c r="C272" t="s">
        <v>840</v>
      </c>
      <c r="D272" t="s">
        <v>3471</v>
      </c>
      <c r="E272" s="1">
        <v>45664</v>
      </c>
      <c r="F272" t="s">
        <v>128</v>
      </c>
      <c r="G272" t="s">
        <v>98</v>
      </c>
      <c r="H272" t="s">
        <v>127</v>
      </c>
      <c r="I272" t="s">
        <v>2622</v>
      </c>
      <c r="J272" t="s">
        <v>2686</v>
      </c>
      <c r="K272" t="s">
        <v>52</v>
      </c>
      <c r="L272">
        <v>63</v>
      </c>
      <c r="M272">
        <v>2</v>
      </c>
      <c r="N272">
        <v>25</v>
      </c>
      <c r="O272" t="s">
        <v>841</v>
      </c>
      <c r="P272" t="s">
        <v>44</v>
      </c>
      <c r="Q272" t="s">
        <v>117</v>
      </c>
      <c r="R272" t="s">
        <v>32</v>
      </c>
      <c r="S272" t="s">
        <v>129</v>
      </c>
      <c r="T272">
        <v>4</v>
      </c>
      <c r="U272">
        <v>174.54</v>
      </c>
      <c r="V272">
        <v>193.33</v>
      </c>
      <c r="W272">
        <v>4</v>
      </c>
      <c r="X272" t="s">
        <v>34</v>
      </c>
      <c r="Y272">
        <v>2025</v>
      </c>
    </row>
    <row r="273" spans="1:25" x14ac:dyDescent="0.3">
      <c r="A273" t="s">
        <v>842</v>
      </c>
      <c r="B273" s="1">
        <v>45522</v>
      </c>
      <c r="C273" t="s">
        <v>843</v>
      </c>
      <c r="D273" t="s">
        <v>3470</v>
      </c>
      <c r="E273" s="1">
        <v>45529</v>
      </c>
      <c r="F273" t="s">
        <v>115</v>
      </c>
      <c r="G273" t="s">
        <v>66</v>
      </c>
      <c r="H273" t="s">
        <v>114</v>
      </c>
      <c r="I273" t="s">
        <v>2632</v>
      </c>
      <c r="J273" t="s">
        <v>2715</v>
      </c>
      <c r="K273" t="s">
        <v>52</v>
      </c>
      <c r="L273">
        <v>63</v>
      </c>
      <c r="M273">
        <v>2</v>
      </c>
      <c r="N273">
        <v>20</v>
      </c>
      <c r="O273" t="s">
        <v>135</v>
      </c>
      <c r="P273" t="s">
        <v>75</v>
      </c>
      <c r="Q273" t="s">
        <v>117</v>
      </c>
      <c r="R273" t="s">
        <v>32</v>
      </c>
      <c r="S273" t="s">
        <v>116</v>
      </c>
      <c r="T273">
        <v>4</v>
      </c>
      <c r="U273">
        <v>506.86</v>
      </c>
      <c r="V273">
        <v>426.18</v>
      </c>
      <c r="W273">
        <v>7</v>
      </c>
      <c r="X273" t="s">
        <v>45</v>
      </c>
      <c r="Y273">
        <v>2024</v>
      </c>
    </row>
    <row r="274" spans="1:25" x14ac:dyDescent="0.3">
      <c r="A274" t="s">
        <v>844</v>
      </c>
      <c r="B274" s="1">
        <v>45473</v>
      </c>
      <c r="C274" t="s">
        <v>639</v>
      </c>
      <c r="D274" t="s">
        <v>3469</v>
      </c>
      <c r="E274" s="1">
        <v>45477</v>
      </c>
      <c r="F274" t="s">
        <v>100</v>
      </c>
      <c r="G274" t="s">
        <v>98</v>
      </c>
      <c r="H274" t="s">
        <v>99</v>
      </c>
      <c r="I274" t="s">
        <v>2633</v>
      </c>
      <c r="J274" t="s">
        <v>2678</v>
      </c>
      <c r="K274" t="s">
        <v>25</v>
      </c>
      <c r="L274">
        <v>60</v>
      </c>
      <c r="M274">
        <v>3</v>
      </c>
      <c r="N274">
        <v>30</v>
      </c>
      <c r="O274" t="s">
        <v>845</v>
      </c>
      <c r="P274" t="s">
        <v>33</v>
      </c>
      <c r="Q274" t="s">
        <v>117</v>
      </c>
      <c r="R274" t="s">
        <v>32</v>
      </c>
      <c r="S274" t="s">
        <v>101</v>
      </c>
      <c r="T274">
        <v>4</v>
      </c>
      <c r="U274">
        <v>793.66</v>
      </c>
      <c r="V274">
        <v>903.73</v>
      </c>
      <c r="W274">
        <v>4</v>
      </c>
      <c r="X274" t="s">
        <v>49</v>
      </c>
      <c r="Y274">
        <v>2024</v>
      </c>
    </row>
    <row r="275" spans="1:25" x14ac:dyDescent="0.3">
      <c r="A275" t="s">
        <v>846</v>
      </c>
      <c r="B275" s="1">
        <v>45981</v>
      </c>
      <c r="C275" t="s">
        <v>847</v>
      </c>
      <c r="D275" t="s">
        <v>3468</v>
      </c>
      <c r="E275" s="1">
        <v>45987</v>
      </c>
      <c r="F275" t="s">
        <v>128</v>
      </c>
      <c r="G275" t="s">
        <v>98</v>
      </c>
      <c r="H275" t="s">
        <v>127</v>
      </c>
      <c r="I275" t="s">
        <v>2663</v>
      </c>
      <c r="J275" t="s">
        <v>2670</v>
      </c>
      <c r="K275" t="s">
        <v>25</v>
      </c>
      <c r="L275">
        <v>42</v>
      </c>
      <c r="M275">
        <v>2</v>
      </c>
      <c r="N275">
        <v>20</v>
      </c>
      <c r="O275" t="s">
        <v>848</v>
      </c>
      <c r="P275" t="s">
        <v>44</v>
      </c>
      <c r="Q275" t="s">
        <v>117</v>
      </c>
      <c r="R275" t="s">
        <v>62</v>
      </c>
      <c r="S275" t="s">
        <v>129</v>
      </c>
      <c r="T275">
        <v>5</v>
      </c>
      <c r="U275">
        <v>163.49</v>
      </c>
      <c r="V275">
        <v>202.49</v>
      </c>
      <c r="W275">
        <v>6</v>
      </c>
      <c r="X275" t="s">
        <v>94</v>
      </c>
      <c r="Y275">
        <v>2025</v>
      </c>
    </row>
    <row r="276" spans="1:25" x14ac:dyDescent="0.3">
      <c r="A276" t="s">
        <v>849</v>
      </c>
      <c r="B276" s="1">
        <v>45743</v>
      </c>
      <c r="C276" t="s">
        <v>850</v>
      </c>
      <c r="D276" t="s">
        <v>3467</v>
      </c>
      <c r="E276" s="1">
        <v>45750</v>
      </c>
      <c r="F276" t="s">
        <v>128</v>
      </c>
      <c r="G276" t="s">
        <v>98</v>
      </c>
      <c r="H276" t="s">
        <v>127</v>
      </c>
      <c r="I276" t="s">
        <v>2622</v>
      </c>
      <c r="J276" t="s">
        <v>2622</v>
      </c>
      <c r="K276" t="s">
        <v>25</v>
      </c>
      <c r="L276">
        <v>31</v>
      </c>
      <c r="M276">
        <v>5</v>
      </c>
      <c r="N276">
        <v>0</v>
      </c>
      <c r="O276" t="s">
        <v>734</v>
      </c>
      <c r="P276" t="s">
        <v>33</v>
      </c>
      <c r="Q276" t="s">
        <v>70</v>
      </c>
      <c r="R276" t="s">
        <v>62</v>
      </c>
      <c r="S276" t="s">
        <v>129</v>
      </c>
      <c r="T276">
        <v>1</v>
      </c>
      <c r="U276">
        <v>552.04999999999995</v>
      </c>
      <c r="V276">
        <v>1882.26</v>
      </c>
      <c r="W276">
        <v>7</v>
      </c>
      <c r="X276" t="s">
        <v>34</v>
      </c>
      <c r="Y276">
        <v>2025</v>
      </c>
    </row>
    <row r="277" spans="1:25" x14ac:dyDescent="0.3">
      <c r="A277" t="s">
        <v>851</v>
      </c>
      <c r="B277" s="1">
        <v>45701</v>
      </c>
      <c r="C277" t="s">
        <v>852</v>
      </c>
      <c r="D277" t="s">
        <v>3466</v>
      </c>
      <c r="E277" s="1">
        <v>45706</v>
      </c>
      <c r="F277" t="s">
        <v>122</v>
      </c>
      <c r="G277" t="s">
        <v>120</v>
      </c>
      <c r="H277" t="s">
        <v>121</v>
      </c>
      <c r="I277" t="s">
        <v>2635</v>
      </c>
      <c r="J277" t="s">
        <v>2677</v>
      </c>
      <c r="K277" t="s">
        <v>52</v>
      </c>
      <c r="L277">
        <v>54</v>
      </c>
      <c r="M277">
        <v>2</v>
      </c>
      <c r="N277">
        <v>5</v>
      </c>
      <c r="O277" t="s">
        <v>600</v>
      </c>
      <c r="P277" t="s">
        <v>33</v>
      </c>
      <c r="Q277" t="s">
        <v>31</v>
      </c>
      <c r="R277" t="s">
        <v>62</v>
      </c>
      <c r="S277" t="s">
        <v>123</v>
      </c>
      <c r="T277">
        <v>5</v>
      </c>
      <c r="U277">
        <v>526.24</v>
      </c>
      <c r="V277">
        <v>740.05</v>
      </c>
      <c r="W277">
        <v>5</v>
      </c>
      <c r="X277" t="s">
        <v>34</v>
      </c>
      <c r="Y277">
        <v>2025</v>
      </c>
    </row>
    <row r="278" spans="1:25" x14ac:dyDescent="0.3">
      <c r="A278" t="s">
        <v>853</v>
      </c>
      <c r="B278" s="1">
        <v>45648</v>
      </c>
      <c r="C278" t="s">
        <v>854</v>
      </c>
      <c r="D278" t="s">
        <v>3465</v>
      </c>
      <c r="E278" s="1">
        <v>45655</v>
      </c>
      <c r="F278" t="s">
        <v>100</v>
      </c>
      <c r="G278" t="s">
        <v>98</v>
      </c>
      <c r="H278" t="s">
        <v>99</v>
      </c>
      <c r="I278" t="s">
        <v>2623</v>
      </c>
      <c r="J278" t="s">
        <v>2701</v>
      </c>
      <c r="K278" t="s">
        <v>52</v>
      </c>
      <c r="L278">
        <v>52</v>
      </c>
      <c r="M278">
        <v>4</v>
      </c>
      <c r="N278">
        <v>0</v>
      </c>
      <c r="O278" t="s">
        <v>855</v>
      </c>
      <c r="P278" t="s">
        <v>33</v>
      </c>
      <c r="Q278" t="s">
        <v>58</v>
      </c>
      <c r="R278" t="s">
        <v>71</v>
      </c>
      <c r="S278" t="s">
        <v>101</v>
      </c>
      <c r="T278">
        <v>3</v>
      </c>
      <c r="U278">
        <v>47.08</v>
      </c>
      <c r="V278">
        <v>108.09</v>
      </c>
      <c r="W278">
        <v>7</v>
      </c>
      <c r="X278" t="s">
        <v>94</v>
      </c>
      <c r="Y278">
        <v>2024</v>
      </c>
    </row>
    <row r="279" spans="1:25" x14ac:dyDescent="0.3">
      <c r="A279" t="s">
        <v>856</v>
      </c>
      <c r="B279" s="1">
        <v>45847</v>
      </c>
      <c r="C279" t="s">
        <v>364</v>
      </c>
      <c r="D279" t="s">
        <v>3464</v>
      </c>
      <c r="E279" s="1">
        <v>45852</v>
      </c>
      <c r="F279" t="s">
        <v>115</v>
      </c>
      <c r="G279" t="s">
        <v>66</v>
      </c>
      <c r="H279" t="s">
        <v>114</v>
      </c>
      <c r="I279" t="s">
        <v>2659</v>
      </c>
      <c r="J279" t="s">
        <v>2681</v>
      </c>
      <c r="K279" t="s">
        <v>25</v>
      </c>
      <c r="L279">
        <v>23</v>
      </c>
      <c r="M279">
        <v>2</v>
      </c>
      <c r="N279">
        <v>25</v>
      </c>
      <c r="O279" t="s">
        <v>344</v>
      </c>
      <c r="P279" t="s">
        <v>44</v>
      </c>
      <c r="Q279" t="s">
        <v>31</v>
      </c>
      <c r="R279" t="s">
        <v>32</v>
      </c>
      <c r="S279" t="s">
        <v>116</v>
      </c>
      <c r="T279">
        <v>5</v>
      </c>
      <c r="U279">
        <v>688.26</v>
      </c>
      <c r="V279">
        <v>606.17999999999995</v>
      </c>
      <c r="W279">
        <v>5</v>
      </c>
      <c r="X279" t="s">
        <v>45</v>
      </c>
      <c r="Y279">
        <v>2025</v>
      </c>
    </row>
    <row r="280" spans="1:25" x14ac:dyDescent="0.3">
      <c r="A280" t="s">
        <v>857</v>
      </c>
      <c r="B280" s="1">
        <v>45780</v>
      </c>
      <c r="C280" t="s">
        <v>858</v>
      </c>
      <c r="D280" t="s">
        <v>3463</v>
      </c>
      <c r="E280" s="1">
        <v>45783</v>
      </c>
      <c r="F280" t="s">
        <v>56</v>
      </c>
      <c r="G280" t="s">
        <v>54</v>
      </c>
      <c r="H280" t="s">
        <v>55</v>
      </c>
      <c r="I280" t="s">
        <v>2622</v>
      </c>
      <c r="J280" t="s">
        <v>2686</v>
      </c>
      <c r="K280" t="s">
        <v>52</v>
      </c>
      <c r="L280">
        <v>21</v>
      </c>
      <c r="M280">
        <v>2</v>
      </c>
      <c r="N280">
        <v>5</v>
      </c>
      <c r="O280" t="s">
        <v>859</v>
      </c>
      <c r="P280" t="s">
        <v>75</v>
      </c>
      <c r="Q280" t="s">
        <v>31</v>
      </c>
      <c r="R280" t="s">
        <v>32</v>
      </c>
      <c r="S280" t="s">
        <v>57</v>
      </c>
      <c r="T280">
        <v>2</v>
      </c>
      <c r="U280">
        <v>315.29000000000002</v>
      </c>
      <c r="V280">
        <v>428.25</v>
      </c>
      <c r="W280">
        <v>3</v>
      </c>
      <c r="X280" t="s">
        <v>49</v>
      </c>
      <c r="Y280">
        <v>2025</v>
      </c>
    </row>
    <row r="281" spans="1:25" x14ac:dyDescent="0.3">
      <c r="A281" t="s">
        <v>860</v>
      </c>
      <c r="B281" s="1">
        <v>45662</v>
      </c>
      <c r="C281" t="s">
        <v>861</v>
      </c>
      <c r="D281" t="s">
        <v>3462</v>
      </c>
      <c r="E281" s="1">
        <v>45663</v>
      </c>
      <c r="F281" t="s">
        <v>56</v>
      </c>
      <c r="G281" t="s">
        <v>54</v>
      </c>
      <c r="H281" t="s">
        <v>55</v>
      </c>
      <c r="I281" t="s">
        <v>2679</v>
      </c>
      <c r="J281" t="s">
        <v>2685</v>
      </c>
      <c r="K281" t="s">
        <v>52</v>
      </c>
      <c r="L281">
        <v>43</v>
      </c>
      <c r="M281">
        <v>1</v>
      </c>
      <c r="N281">
        <v>0</v>
      </c>
      <c r="O281" t="s">
        <v>862</v>
      </c>
      <c r="P281" t="s">
        <v>75</v>
      </c>
      <c r="Q281" t="s">
        <v>117</v>
      </c>
      <c r="R281" t="s">
        <v>71</v>
      </c>
      <c r="S281" t="s">
        <v>57</v>
      </c>
      <c r="T281">
        <v>1</v>
      </c>
      <c r="U281">
        <v>406.35</v>
      </c>
      <c r="V281">
        <v>333.23</v>
      </c>
      <c r="W281">
        <v>1</v>
      </c>
      <c r="X281" t="s">
        <v>34</v>
      </c>
      <c r="Y281">
        <v>2025</v>
      </c>
    </row>
    <row r="282" spans="1:25" x14ac:dyDescent="0.3">
      <c r="A282" t="s">
        <v>863</v>
      </c>
      <c r="B282" s="1">
        <v>45312</v>
      </c>
      <c r="C282" t="s">
        <v>864</v>
      </c>
      <c r="D282" t="s">
        <v>3461</v>
      </c>
      <c r="E282" s="1">
        <v>45317</v>
      </c>
      <c r="F282" t="s">
        <v>2617</v>
      </c>
      <c r="G282" t="s">
        <v>27</v>
      </c>
      <c r="H282" t="s">
        <v>28</v>
      </c>
      <c r="I282" t="s">
        <v>2634</v>
      </c>
      <c r="J282" t="s">
        <v>2714</v>
      </c>
      <c r="K282" t="s">
        <v>25</v>
      </c>
      <c r="L282">
        <v>56</v>
      </c>
      <c r="M282">
        <v>3</v>
      </c>
      <c r="N282">
        <v>0</v>
      </c>
      <c r="O282" t="s">
        <v>865</v>
      </c>
      <c r="P282" t="s">
        <v>44</v>
      </c>
      <c r="Q282" t="s">
        <v>31</v>
      </c>
      <c r="R282" t="s">
        <v>62</v>
      </c>
      <c r="S282" t="s">
        <v>30</v>
      </c>
      <c r="T282">
        <v>2</v>
      </c>
      <c r="U282">
        <v>42.11</v>
      </c>
      <c r="V282">
        <v>81.8</v>
      </c>
      <c r="W282">
        <v>5</v>
      </c>
      <c r="X282" t="s">
        <v>34</v>
      </c>
      <c r="Y282">
        <v>2024</v>
      </c>
    </row>
    <row r="283" spans="1:25" x14ac:dyDescent="0.3">
      <c r="A283" t="s">
        <v>866</v>
      </c>
      <c r="B283" s="1">
        <v>46041</v>
      </c>
      <c r="C283" t="s">
        <v>867</v>
      </c>
      <c r="D283" t="s">
        <v>3460</v>
      </c>
      <c r="E283" s="1">
        <v>46043</v>
      </c>
      <c r="F283" t="s">
        <v>100</v>
      </c>
      <c r="G283" t="s">
        <v>98</v>
      </c>
      <c r="H283" t="s">
        <v>99</v>
      </c>
      <c r="I283" t="s">
        <v>2629</v>
      </c>
      <c r="J283" t="s">
        <v>2630</v>
      </c>
      <c r="K283" t="s">
        <v>25</v>
      </c>
      <c r="L283">
        <v>29</v>
      </c>
      <c r="M283">
        <v>1</v>
      </c>
      <c r="N283">
        <v>5</v>
      </c>
      <c r="O283" t="s">
        <v>868</v>
      </c>
      <c r="P283" t="s">
        <v>75</v>
      </c>
      <c r="Q283" t="s">
        <v>58</v>
      </c>
      <c r="R283" t="s">
        <v>71</v>
      </c>
      <c r="S283" t="s">
        <v>101</v>
      </c>
      <c r="T283">
        <v>5</v>
      </c>
      <c r="U283">
        <v>219.54</v>
      </c>
      <c r="V283">
        <v>174.84</v>
      </c>
      <c r="W283">
        <v>2</v>
      </c>
      <c r="X283" t="s">
        <v>34</v>
      </c>
      <c r="Y283">
        <v>2026</v>
      </c>
    </row>
    <row r="284" spans="1:25" x14ac:dyDescent="0.3">
      <c r="A284" t="s">
        <v>869</v>
      </c>
      <c r="B284" s="1">
        <v>45637</v>
      </c>
      <c r="C284" t="s">
        <v>870</v>
      </c>
      <c r="D284" t="s">
        <v>3459</v>
      </c>
      <c r="E284" s="1">
        <v>45638</v>
      </c>
      <c r="F284" t="s">
        <v>122</v>
      </c>
      <c r="G284" t="s">
        <v>120</v>
      </c>
      <c r="H284" t="s">
        <v>121</v>
      </c>
      <c r="I284" t="s">
        <v>2625</v>
      </c>
      <c r="J284" t="s">
        <v>2651</v>
      </c>
      <c r="K284" t="s">
        <v>52</v>
      </c>
      <c r="L284">
        <v>28</v>
      </c>
      <c r="M284">
        <v>2</v>
      </c>
      <c r="N284">
        <v>0</v>
      </c>
      <c r="O284" t="s">
        <v>871</v>
      </c>
      <c r="P284" t="s">
        <v>75</v>
      </c>
      <c r="Q284" t="s">
        <v>70</v>
      </c>
      <c r="R284" t="s">
        <v>32</v>
      </c>
      <c r="S284" t="s">
        <v>123</v>
      </c>
      <c r="T284">
        <v>5</v>
      </c>
      <c r="U284">
        <v>633.98</v>
      </c>
      <c r="V284">
        <v>766.52</v>
      </c>
      <c r="W284">
        <v>1</v>
      </c>
      <c r="X284" t="s">
        <v>94</v>
      </c>
      <c r="Y284">
        <v>2024</v>
      </c>
    </row>
    <row r="285" spans="1:25" x14ac:dyDescent="0.3">
      <c r="A285" t="s">
        <v>872</v>
      </c>
      <c r="B285" s="1">
        <v>45922</v>
      </c>
      <c r="C285" t="s">
        <v>873</v>
      </c>
      <c r="D285" t="s">
        <v>3458</v>
      </c>
      <c r="E285" s="1">
        <v>45928</v>
      </c>
      <c r="F285" t="s">
        <v>122</v>
      </c>
      <c r="G285" t="s">
        <v>120</v>
      </c>
      <c r="H285" t="s">
        <v>121</v>
      </c>
      <c r="I285" t="s">
        <v>2625</v>
      </c>
      <c r="J285" t="s">
        <v>2703</v>
      </c>
      <c r="K285" t="s">
        <v>25</v>
      </c>
      <c r="L285">
        <v>21</v>
      </c>
      <c r="M285">
        <v>4</v>
      </c>
      <c r="N285">
        <v>10</v>
      </c>
      <c r="O285" t="s">
        <v>874</v>
      </c>
      <c r="P285" t="s">
        <v>75</v>
      </c>
      <c r="Q285" t="s">
        <v>58</v>
      </c>
      <c r="R285" t="s">
        <v>62</v>
      </c>
      <c r="S285" t="s">
        <v>123</v>
      </c>
      <c r="T285">
        <v>2</v>
      </c>
      <c r="U285">
        <v>961.64</v>
      </c>
      <c r="V285">
        <v>2637.41</v>
      </c>
      <c r="W285">
        <v>6</v>
      </c>
      <c r="X285" t="s">
        <v>45</v>
      </c>
      <c r="Y285">
        <v>2025</v>
      </c>
    </row>
    <row r="286" spans="1:25" x14ac:dyDescent="0.3">
      <c r="A286" t="s">
        <v>875</v>
      </c>
      <c r="B286" s="1">
        <v>45612</v>
      </c>
      <c r="C286" t="s">
        <v>876</v>
      </c>
      <c r="D286" t="s">
        <v>3457</v>
      </c>
      <c r="E286" s="1">
        <v>45617</v>
      </c>
      <c r="F286" t="s">
        <v>2617</v>
      </c>
      <c r="G286" t="s">
        <v>27</v>
      </c>
      <c r="H286" t="s">
        <v>28</v>
      </c>
      <c r="I286" t="s">
        <v>2654</v>
      </c>
      <c r="J286" t="s">
        <v>2702</v>
      </c>
      <c r="K286" t="s">
        <v>25</v>
      </c>
      <c r="L286">
        <v>61</v>
      </c>
      <c r="M286">
        <v>1</v>
      </c>
      <c r="N286">
        <v>0</v>
      </c>
      <c r="O286" t="s">
        <v>877</v>
      </c>
      <c r="P286" t="s">
        <v>33</v>
      </c>
      <c r="Q286" t="s">
        <v>58</v>
      </c>
      <c r="R286" t="s">
        <v>62</v>
      </c>
      <c r="S286" t="s">
        <v>30</v>
      </c>
      <c r="T286">
        <v>2</v>
      </c>
      <c r="U286">
        <v>263.04000000000002</v>
      </c>
      <c r="V286">
        <v>207.99</v>
      </c>
      <c r="W286">
        <v>5</v>
      </c>
      <c r="X286" t="s">
        <v>94</v>
      </c>
      <c r="Y286">
        <v>2024</v>
      </c>
    </row>
    <row r="287" spans="1:25" x14ac:dyDescent="0.3">
      <c r="A287" t="s">
        <v>878</v>
      </c>
      <c r="B287" s="1">
        <v>45484</v>
      </c>
      <c r="C287" t="s">
        <v>879</v>
      </c>
      <c r="D287" t="s">
        <v>3456</v>
      </c>
      <c r="E287" s="1">
        <v>45485</v>
      </c>
      <c r="F287" t="s">
        <v>122</v>
      </c>
      <c r="G287" t="s">
        <v>120</v>
      </c>
      <c r="H287" t="s">
        <v>121</v>
      </c>
      <c r="I287" t="s">
        <v>2659</v>
      </c>
      <c r="J287" t="s">
        <v>2718</v>
      </c>
      <c r="K287" t="s">
        <v>52</v>
      </c>
      <c r="L287">
        <v>53</v>
      </c>
      <c r="M287">
        <v>2</v>
      </c>
      <c r="N287">
        <v>10</v>
      </c>
      <c r="O287" t="s">
        <v>880</v>
      </c>
      <c r="P287" t="s">
        <v>33</v>
      </c>
      <c r="Q287" t="s">
        <v>31</v>
      </c>
      <c r="R287" t="s">
        <v>32</v>
      </c>
      <c r="S287" t="s">
        <v>123</v>
      </c>
      <c r="T287">
        <v>5</v>
      </c>
      <c r="U287">
        <v>97.2</v>
      </c>
      <c r="V287">
        <v>125.94</v>
      </c>
      <c r="W287">
        <v>1</v>
      </c>
      <c r="X287" t="s">
        <v>45</v>
      </c>
      <c r="Y287">
        <v>2024</v>
      </c>
    </row>
    <row r="288" spans="1:25" x14ac:dyDescent="0.3">
      <c r="A288" t="s">
        <v>881</v>
      </c>
      <c r="B288" s="1">
        <v>45665</v>
      </c>
      <c r="C288" t="s">
        <v>882</v>
      </c>
      <c r="D288" t="s">
        <v>3455</v>
      </c>
      <c r="E288" s="1">
        <v>45671</v>
      </c>
      <c r="F288" t="s">
        <v>40</v>
      </c>
      <c r="G288" t="s">
        <v>38</v>
      </c>
      <c r="H288" t="s">
        <v>39</v>
      </c>
      <c r="I288" t="s">
        <v>2635</v>
      </c>
      <c r="J288" t="s">
        <v>2720</v>
      </c>
      <c r="K288" t="s">
        <v>52</v>
      </c>
      <c r="L288">
        <v>28</v>
      </c>
      <c r="M288">
        <v>5</v>
      </c>
      <c r="N288">
        <v>30</v>
      </c>
      <c r="O288" t="s">
        <v>883</v>
      </c>
      <c r="P288" t="s">
        <v>33</v>
      </c>
      <c r="Q288" t="s">
        <v>58</v>
      </c>
      <c r="R288" t="s">
        <v>62</v>
      </c>
      <c r="S288" t="s">
        <v>41</v>
      </c>
      <c r="T288">
        <v>1</v>
      </c>
      <c r="U288">
        <v>522.25</v>
      </c>
      <c r="V288">
        <v>1548</v>
      </c>
      <c r="W288">
        <v>6</v>
      </c>
      <c r="X288" t="s">
        <v>34</v>
      </c>
      <c r="Y288">
        <v>2025</v>
      </c>
    </row>
    <row r="289" spans="1:25" x14ac:dyDescent="0.3">
      <c r="A289" t="s">
        <v>884</v>
      </c>
      <c r="B289" s="1">
        <v>45740</v>
      </c>
      <c r="C289" t="s">
        <v>885</v>
      </c>
      <c r="D289" t="s">
        <v>3454</v>
      </c>
      <c r="E289" s="1">
        <v>45743</v>
      </c>
      <c r="F289" t="s">
        <v>115</v>
      </c>
      <c r="G289" t="s">
        <v>66</v>
      </c>
      <c r="H289" t="s">
        <v>114</v>
      </c>
      <c r="I289" t="s">
        <v>2625</v>
      </c>
      <c r="J289" t="s">
        <v>2667</v>
      </c>
      <c r="K289" t="s">
        <v>52</v>
      </c>
      <c r="L289">
        <v>24</v>
      </c>
      <c r="M289">
        <v>5</v>
      </c>
      <c r="N289">
        <v>25</v>
      </c>
      <c r="O289" t="s">
        <v>886</v>
      </c>
      <c r="P289" t="s">
        <v>33</v>
      </c>
      <c r="Q289" t="s">
        <v>117</v>
      </c>
      <c r="R289" t="s">
        <v>43</v>
      </c>
      <c r="S289" t="s">
        <v>116</v>
      </c>
      <c r="T289">
        <v>5</v>
      </c>
      <c r="U289">
        <v>730.73</v>
      </c>
      <c r="V289">
        <v>1908.54</v>
      </c>
      <c r="W289">
        <v>3</v>
      </c>
      <c r="X289" t="s">
        <v>34</v>
      </c>
      <c r="Y289">
        <v>2025</v>
      </c>
    </row>
    <row r="290" spans="1:25" x14ac:dyDescent="0.3">
      <c r="A290" t="s">
        <v>887</v>
      </c>
      <c r="B290" s="1">
        <v>45520</v>
      </c>
      <c r="C290" t="s">
        <v>888</v>
      </c>
      <c r="D290" t="s">
        <v>3453</v>
      </c>
      <c r="E290" s="1">
        <v>45525</v>
      </c>
      <c r="F290" t="s">
        <v>122</v>
      </c>
      <c r="G290" t="s">
        <v>120</v>
      </c>
      <c r="H290" t="s">
        <v>121</v>
      </c>
      <c r="I290" t="s">
        <v>2665</v>
      </c>
      <c r="J290" t="s">
        <v>2666</v>
      </c>
      <c r="K290" t="s">
        <v>25</v>
      </c>
      <c r="L290">
        <v>22</v>
      </c>
      <c r="M290">
        <v>1</v>
      </c>
      <c r="N290">
        <v>30</v>
      </c>
      <c r="O290" t="s">
        <v>889</v>
      </c>
      <c r="P290" t="s">
        <v>44</v>
      </c>
      <c r="Q290" t="s">
        <v>70</v>
      </c>
      <c r="R290" t="s">
        <v>71</v>
      </c>
      <c r="S290" t="s">
        <v>123</v>
      </c>
      <c r="T290">
        <v>5</v>
      </c>
      <c r="U290">
        <v>386.33</v>
      </c>
      <c r="V290">
        <v>168.13</v>
      </c>
      <c r="W290">
        <v>5</v>
      </c>
      <c r="X290" t="s">
        <v>45</v>
      </c>
      <c r="Y290">
        <v>2024</v>
      </c>
    </row>
    <row r="291" spans="1:25" x14ac:dyDescent="0.3">
      <c r="A291" t="s">
        <v>890</v>
      </c>
      <c r="B291" s="1">
        <v>45569</v>
      </c>
      <c r="C291" t="s">
        <v>891</v>
      </c>
      <c r="D291" t="s">
        <v>3452</v>
      </c>
      <c r="E291" s="1">
        <v>45570</v>
      </c>
      <c r="F291" t="s">
        <v>56</v>
      </c>
      <c r="G291" t="s">
        <v>54</v>
      </c>
      <c r="H291" t="s">
        <v>55</v>
      </c>
      <c r="I291" t="s">
        <v>2659</v>
      </c>
      <c r="J291" t="s">
        <v>2660</v>
      </c>
      <c r="K291" t="s">
        <v>25</v>
      </c>
      <c r="L291">
        <v>46</v>
      </c>
      <c r="M291">
        <v>5</v>
      </c>
      <c r="N291">
        <v>30</v>
      </c>
      <c r="O291" t="s">
        <v>892</v>
      </c>
      <c r="P291" t="s">
        <v>75</v>
      </c>
      <c r="Q291" t="s">
        <v>70</v>
      </c>
      <c r="R291" t="s">
        <v>32</v>
      </c>
      <c r="S291" t="s">
        <v>57</v>
      </c>
      <c r="T291">
        <v>1</v>
      </c>
      <c r="U291">
        <v>346.19</v>
      </c>
      <c r="V291">
        <v>739.71</v>
      </c>
      <c r="W291">
        <v>1</v>
      </c>
      <c r="X291" t="s">
        <v>94</v>
      </c>
      <c r="Y291">
        <v>2024</v>
      </c>
    </row>
    <row r="292" spans="1:25" x14ac:dyDescent="0.3">
      <c r="A292" t="s">
        <v>893</v>
      </c>
      <c r="B292" s="1">
        <v>45988</v>
      </c>
      <c r="C292" t="s">
        <v>894</v>
      </c>
      <c r="D292" t="s">
        <v>3451</v>
      </c>
      <c r="E292" s="1">
        <v>45995</v>
      </c>
      <c r="F292" t="s">
        <v>2617</v>
      </c>
      <c r="G292" t="s">
        <v>27</v>
      </c>
      <c r="H292" t="s">
        <v>28</v>
      </c>
      <c r="I292" t="s">
        <v>2665</v>
      </c>
      <c r="J292" t="s">
        <v>2719</v>
      </c>
      <c r="K292" t="s">
        <v>52</v>
      </c>
      <c r="L292">
        <v>32</v>
      </c>
      <c r="M292">
        <v>2</v>
      </c>
      <c r="N292">
        <v>10</v>
      </c>
      <c r="O292" t="s">
        <v>586</v>
      </c>
      <c r="P292" t="s">
        <v>33</v>
      </c>
      <c r="Q292" t="s">
        <v>70</v>
      </c>
      <c r="R292" t="s">
        <v>62</v>
      </c>
      <c r="S292" t="s">
        <v>30</v>
      </c>
      <c r="T292">
        <v>2</v>
      </c>
      <c r="U292">
        <v>610.73</v>
      </c>
      <c r="V292">
        <v>750.55</v>
      </c>
      <c r="W292">
        <v>7</v>
      </c>
      <c r="X292" t="s">
        <v>94</v>
      </c>
      <c r="Y292">
        <v>2025</v>
      </c>
    </row>
    <row r="293" spans="1:25" x14ac:dyDescent="0.3">
      <c r="A293" t="s">
        <v>895</v>
      </c>
      <c r="B293" s="1">
        <v>45733</v>
      </c>
      <c r="C293" t="s">
        <v>896</v>
      </c>
      <c r="D293" t="s">
        <v>3450</v>
      </c>
      <c r="E293" s="1">
        <v>45739</v>
      </c>
      <c r="F293" t="s">
        <v>122</v>
      </c>
      <c r="G293" t="s">
        <v>120</v>
      </c>
      <c r="H293" t="s">
        <v>121</v>
      </c>
      <c r="I293" t="s">
        <v>2656</v>
      </c>
      <c r="J293" t="s">
        <v>2657</v>
      </c>
      <c r="K293" t="s">
        <v>52</v>
      </c>
      <c r="L293">
        <v>37</v>
      </c>
      <c r="M293">
        <v>1</v>
      </c>
      <c r="N293">
        <v>15</v>
      </c>
      <c r="O293" t="s">
        <v>845</v>
      </c>
      <c r="P293" t="s">
        <v>75</v>
      </c>
      <c r="Q293" t="s">
        <v>58</v>
      </c>
      <c r="R293" t="s">
        <v>71</v>
      </c>
      <c r="S293" t="s">
        <v>123</v>
      </c>
      <c r="T293">
        <v>3</v>
      </c>
      <c r="U293">
        <v>182.08</v>
      </c>
      <c r="V293">
        <v>93.88</v>
      </c>
      <c r="W293">
        <v>6</v>
      </c>
      <c r="X293" t="s">
        <v>34</v>
      </c>
      <c r="Y293">
        <v>2025</v>
      </c>
    </row>
    <row r="294" spans="1:25" x14ac:dyDescent="0.3">
      <c r="A294" t="s">
        <v>897</v>
      </c>
      <c r="B294" s="1">
        <v>46056</v>
      </c>
      <c r="C294" t="s">
        <v>898</v>
      </c>
      <c r="D294" t="s">
        <v>3449</v>
      </c>
      <c r="E294" s="1">
        <v>46062</v>
      </c>
      <c r="F294" t="s">
        <v>122</v>
      </c>
      <c r="G294" t="s">
        <v>120</v>
      </c>
      <c r="H294" t="s">
        <v>121</v>
      </c>
      <c r="I294" t="s">
        <v>2672</v>
      </c>
      <c r="J294" t="s">
        <v>2716</v>
      </c>
      <c r="K294" t="s">
        <v>25</v>
      </c>
      <c r="L294">
        <v>53</v>
      </c>
      <c r="M294">
        <v>1</v>
      </c>
      <c r="N294">
        <v>10</v>
      </c>
      <c r="O294" t="s">
        <v>899</v>
      </c>
      <c r="P294" t="s">
        <v>44</v>
      </c>
      <c r="Q294" t="s">
        <v>31</v>
      </c>
      <c r="R294" t="s">
        <v>32</v>
      </c>
      <c r="S294" t="s">
        <v>123</v>
      </c>
      <c r="T294">
        <v>5</v>
      </c>
      <c r="U294">
        <v>949.29</v>
      </c>
      <c r="V294">
        <v>566.66</v>
      </c>
      <c r="W294">
        <v>6</v>
      </c>
      <c r="X294" t="s">
        <v>34</v>
      </c>
      <c r="Y294">
        <v>2026</v>
      </c>
    </row>
    <row r="295" spans="1:25" x14ac:dyDescent="0.3">
      <c r="A295" t="s">
        <v>900</v>
      </c>
      <c r="B295" s="1">
        <v>45956</v>
      </c>
      <c r="C295" t="s">
        <v>901</v>
      </c>
      <c r="D295" t="s">
        <v>3448</v>
      </c>
      <c r="E295" s="1">
        <v>45962</v>
      </c>
      <c r="F295" t="s">
        <v>68</v>
      </c>
      <c r="G295" t="s">
        <v>66</v>
      </c>
      <c r="H295" t="s">
        <v>67</v>
      </c>
      <c r="I295" t="s">
        <v>2629</v>
      </c>
      <c r="J295" t="s">
        <v>2697</v>
      </c>
      <c r="K295" t="s">
        <v>52</v>
      </c>
      <c r="L295">
        <v>24</v>
      </c>
      <c r="M295">
        <v>4</v>
      </c>
      <c r="N295">
        <v>25</v>
      </c>
      <c r="O295" t="s">
        <v>902</v>
      </c>
      <c r="P295" t="s">
        <v>75</v>
      </c>
      <c r="Q295" t="s">
        <v>58</v>
      </c>
      <c r="R295" t="s">
        <v>62</v>
      </c>
      <c r="S295" t="s">
        <v>69</v>
      </c>
      <c r="T295">
        <v>5</v>
      </c>
      <c r="U295">
        <v>475.48</v>
      </c>
      <c r="V295">
        <v>888.97</v>
      </c>
      <c r="W295">
        <v>6</v>
      </c>
      <c r="X295" t="s">
        <v>94</v>
      </c>
      <c r="Y295">
        <v>2025</v>
      </c>
    </row>
    <row r="296" spans="1:25" x14ac:dyDescent="0.3">
      <c r="A296" t="s">
        <v>903</v>
      </c>
      <c r="B296" s="1">
        <v>45718</v>
      </c>
      <c r="C296" t="s">
        <v>904</v>
      </c>
      <c r="D296" t="s">
        <v>3447</v>
      </c>
      <c r="E296" s="1">
        <v>45719</v>
      </c>
      <c r="F296" t="s">
        <v>56</v>
      </c>
      <c r="G296" t="s">
        <v>54</v>
      </c>
      <c r="H296" t="s">
        <v>55</v>
      </c>
      <c r="I296" t="s">
        <v>2647</v>
      </c>
      <c r="J296" t="s">
        <v>2658</v>
      </c>
      <c r="K296" t="s">
        <v>25</v>
      </c>
      <c r="L296">
        <v>55</v>
      </c>
      <c r="M296">
        <v>4</v>
      </c>
      <c r="N296">
        <v>0</v>
      </c>
      <c r="O296" t="s">
        <v>631</v>
      </c>
      <c r="P296" t="s">
        <v>44</v>
      </c>
      <c r="Q296" t="s">
        <v>31</v>
      </c>
      <c r="R296" t="s">
        <v>43</v>
      </c>
      <c r="S296" t="s">
        <v>57</v>
      </c>
      <c r="T296">
        <v>5</v>
      </c>
      <c r="U296">
        <v>203.31</v>
      </c>
      <c r="V296">
        <v>428.75</v>
      </c>
      <c r="W296">
        <v>1</v>
      </c>
      <c r="X296" t="s">
        <v>34</v>
      </c>
      <c r="Y296">
        <v>2025</v>
      </c>
    </row>
    <row r="297" spans="1:25" x14ac:dyDescent="0.3">
      <c r="A297" t="s">
        <v>905</v>
      </c>
      <c r="B297" s="1">
        <v>45739</v>
      </c>
      <c r="C297" t="s">
        <v>906</v>
      </c>
      <c r="D297" t="s">
        <v>3446</v>
      </c>
      <c r="E297" s="1">
        <v>45740</v>
      </c>
      <c r="F297" t="s">
        <v>40</v>
      </c>
      <c r="G297" t="s">
        <v>38</v>
      </c>
      <c r="H297" t="s">
        <v>39</v>
      </c>
      <c r="I297" t="s">
        <v>2623</v>
      </c>
      <c r="J297" t="s">
        <v>2696</v>
      </c>
      <c r="K297" t="s">
        <v>25</v>
      </c>
      <c r="L297">
        <v>41</v>
      </c>
      <c r="M297">
        <v>5</v>
      </c>
      <c r="N297">
        <v>30</v>
      </c>
      <c r="O297" t="s">
        <v>907</v>
      </c>
      <c r="P297" t="s">
        <v>44</v>
      </c>
      <c r="Q297" t="s">
        <v>42</v>
      </c>
      <c r="R297" t="s">
        <v>71</v>
      </c>
      <c r="S297" t="s">
        <v>41</v>
      </c>
      <c r="T297">
        <v>1</v>
      </c>
      <c r="U297">
        <v>322.89999999999998</v>
      </c>
      <c r="V297">
        <v>949.99</v>
      </c>
      <c r="W297">
        <v>1</v>
      </c>
      <c r="X297" t="s">
        <v>34</v>
      </c>
      <c r="Y297">
        <v>2025</v>
      </c>
    </row>
    <row r="298" spans="1:25" x14ac:dyDescent="0.3">
      <c r="A298" t="s">
        <v>908</v>
      </c>
      <c r="B298" s="1">
        <v>45337</v>
      </c>
      <c r="C298" t="s">
        <v>909</v>
      </c>
      <c r="D298" t="s">
        <v>3445</v>
      </c>
      <c r="E298" s="1">
        <v>45341</v>
      </c>
      <c r="F298" t="s">
        <v>2617</v>
      </c>
      <c r="G298" t="s">
        <v>27</v>
      </c>
      <c r="H298" t="s">
        <v>28</v>
      </c>
      <c r="I298" t="s">
        <v>2625</v>
      </c>
      <c r="J298" t="s">
        <v>2667</v>
      </c>
      <c r="K298" t="s">
        <v>52</v>
      </c>
      <c r="L298">
        <v>48</v>
      </c>
      <c r="M298">
        <v>2</v>
      </c>
      <c r="N298">
        <v>15</v>
      </c>
      <c r="O298" t="s">
        <v>910</v>
      </c>
      <c r="P298" t="s">
        <v>33</v>
      </c>
      <c r="Q298" t="s">
        <v>70</v>
      </c>
      <c r="R298" t="s">
        <v>32</v>
      </c>
      <c r="S298" t="s">
        <v>30</v>
      </c>
      <c r="T298">
        <v>2</v>
      </c>
      <c r="U298">
        <v>364.33</v>
      </c>
      <c r="V298">
        <v>334.42</v>
      </c>
      <c r="W298">
        <v>4</v>
      </c>
      <c r="X298" t="s">
        <v>34</v>
      </c>
      <c r="Y298">
        <v>2024</v>
      </c>
    </row>
    <row r="299" spans="1:25" x14ac:dyDescent="0.3">
      <c r="A299" t="s">
        <v>911</v>
      </c>
      <c r="B299" s="1">
        <v>45689</v>
      </c>
      <c r="C299" t="s">
        <v>912</v>
      </c>
      <c r="D299" t="s">
        <v>3444</v>
      </c>
      <c r="E299" s="1">
        <v>45694</v>
      </c>
      <c r="F299" t="s">
        <v>2617</v>
      </c>
      <c r="G299" t="s">
        <v>27</v>
      </c>
      <c r="H299" t="s">
        <v>28</v>
      </c>
      <c r="I299" t="s">
        <v>2635</v>
      </c>
      <c r="J299" t="s">
        <v>2643</v>
      </c>
      <c r="K299" t="s">
        <v>52</v>
      </c>
      <c r="L299">
        <v>55</v>
      </c>
      <c r="M299">
        <v>2</v>
      </c>
      <c r="N299">
        <v>20</v>
      </c>
      <c r="O299" t="s">
        <v>144</v>
      </c>
      <c r="P299" t="s">
        <v>44</v>
      </c>
      <c r="Q299" t="s">
        <v>31</v>
      </c>
      <c r="R299" t="s">
        <v>43</v>
      </c>
      <c r="S299" t="s">
        <v>30</v>
      </c>
      <c r="T299">
        <v>3</v>
      </c>
      <c r="U299">
        <v>905.45</v>
      </c>
      <c r="V299">
        <v>1041.9000000000001</v>
      </c>
      <c r="W299">
        <v>5</v>
      </c>
      <c r="X299" t="s">
        <v>34</v>
      </c>
      <c r="Y299">
        <v>2025</v>
      </c>
    </row>
    <row r="300" spans="1:25" x14ac:dyDescent="0.3">
      <c r="A300" t="s">
        <v>913</v>
      </c>
      <c r="B300" s="1">
        <v>45897</v>
      </c>
      <c r="C300" t="s">
        <v>914</v>
      </c>
      <c r="D300" t="s">
        <v>3443</v>
      </c>
      <c r="E300" s="1">
        <v>45902</v>
      </c>
      <c r="F300" t="s">
        <v>2617</v>
      </c>
      <c r="G300" t="s">
        <v>27</v>
      </c>
      <c r="H300" t="s">
        <v>28</v>
      </c>
      <c r="I300" t="s">
        <v>2675</v>
      </c>
      <c r="J300" t="s">
        <v>2676</v>
      </c>
      <c r="K300" t="s">
        <v>52</v>
      </c>
      <c r="L300">
        <v>34</v>
      </c>
      <c r="M300">
        <v>3</v>
      </c>
      <c r="N300">
        <v>15</v>
      </c>
      <c r="O300" t="s">
        <v>915</v>
      </c>
      <c r="P300" t="s">
        <v>75</v>
      </c>
      <c r="Q300" t="s">
        <v>42</v>
      </c>
      <c r="R300" t="s">
        <v>43</v>
      </c>
      <c r="S300" t="s">
        <v>30</v>
      </c>
      <c r="T300">
        <v>1</v>
      </c>
      <c r="U300">
        <v>352.59</v>
      </c>
      <c r="V300">
        <v>461.66</v>
      </c>
      <c r="W300">
        <v>5</v>
      </c>
      <c r="X300" t="s">
        <v>45</v>
      </c>
      <c r="Y300">
        <v>2025</v>
      </c>
    </row>
    <row r="301" spans="1:25" x14ac:dyDescent="0.3">
      <c r="A301" t="s">
        <v>916</v>
      </c>
      <c r="B301" s="1">
        <v>45564</v>
      </c>
      <c r="C301" t="s">
        <v>917</v>
      </c>
      <c r="D301" t="s">
        <v>3442</v>
      </c>
      <c r="E301" s="1">
        <v>45568</v>
      </c>
      <c r="F301" t="s">
        <v>40</v>
      </c>
      <c r="G301" t="s">
        <v>38</v>
      </c>
      <c r="H301" t="s">
        <v>39</v>
      </c>
      <c r="I301" t="s">
        <v>2647</v>
      </c>
      <c r="J301" t="s">
        <v>2648</v>
      </c>
      <c r="K301" t="s">
        <v>25</v>
      </c>
      <c r="L301">
        <v>36</v>
      </c>
      <c r="M301">
        <v>4</v>
      </c>
      <c r="N301">
        <v>20</v>
      </c>
      <c r="O301" t="s">
        <v>110</v>
      </c>
      <c r="P301" t="s">
        <v>44</v>
      </c>
      <c r="Q301" t="s">
        <v>117</v>
      </c>
      <c r="R301" t="s">
        <v>71</v>
      </c>
      <c r="S301" t="s">
        <v>41</v>
      </c>
      <c r="T301">
        <v>3</v>
      </c>
      <c r="U301">
        <v>819.51</v>
      </c>
      <c r="V301">
        <v>2198.94</v>
      </c>
      <c r="W301">
        <v>4</v>
      </c>
      <c r="X301" t="s">
        <v>45</v>
      </c>
      <c r="Y301">
        <v>2024</v>
      </c>
    </row>
    <row r="302" spans="1:25" x14ac:dyDescent="0.3">
      <c r="A302" t="s">
        <v>918</v>
      </c>
      <c r="B302" s="1">
        <v>45925</v>
      </c>
      <c r="C302" t="s">
        <v>919</v>
      </c>
      <c r="D302" t="s">
        <v>3441</v>
      </c>
      <c r="E302" s="1">
        <v>45930</v>
      </c>
      <c r="F302" t="s">
        <v>68</v>
      </c>
      <c r="G302" t="s">
        <v>66</v>
      </c>
      <c r="H302" t="s">
        <v>67</v>
      </c>
      <c r="I302" t="s">
        <v>2629</v>
      </c>
      <c r="J302" t="s">
        <v>2689</v>
      </c>
      <c r="K302" t="s">
        <v>25</v>
      </c>
      <c r="L302">
        <v>25</v>
      </c>
      <c r="M302">
        <v>1</v>
      </c>
      <c r="N302">
        <v>10</v>
      </c>
      <c r="O302" t="s">
        <v>920</v>
      </c>
      <c r="P302" t="s">
        <v>75</v>
      </c>
      <c r="Q302" t="s">
        <v>58</v>
      </c>
      <c r="R302" t="s">
        <v>32</v>
      </c>
      <c r="S302" t="s">
        <v>69</v>
      </c>
      <c r="T302">
        <v>5</v>
      </c>
      <c r="U302">
        <v>51.56</v>
      </c>
      <c r="V302">
        <v>32.090000000000003</v>
      </c>
      <c r="W302">
        <v>5</v>
      </c>
      <c r="X302" t="s">
        <v>45</v>
      </c>
      <c r="Y302">
        <v>2025</v>
      </c>
    </row>
    <row r="303" spans="1:25" x14ac:dyDescent="0.3">
      <c r="A303" t="s">
        <v>921</v>
      </c>
      <c r="B303" s="1">
        <v>45509</v>
      </c>
      <c r="C303" t="s">
        <v>922</v>
      </c>
      <c r="D303" t="s">
        <v>3440</v>
      </c>
      <c r="E303" s="1">
        <v>45511</v>
      </c>
      <c r="F303" t="s">
        <v>56</v>
      </c>
      <c r="G303" t="s">
        <v>54</v>
      </c>
      <c r="H303" t="s">
        <v>55</v>
      </c>
      <c r="I303" t="s">
        <v>2672</v>
      </c>
      <c r="J303" t="s">
        <v>2673</v>
      </c>
      <c r="K303" t="s">
        <v>52</v>
      </c>
      <c r="L303">
        <v>59</v>
      </c>
      <c r="M303">
        <v>5</v>
      </c>
      <c r="N303">
        <v>30</v>
      </c>
      <c r="O303" t="s">
        <v>706</v>
      </c>
      <c r="P303" t="s">
        <v>75</v>
      </c>
      <c r="Q303" t="s">
        <v>70</v>
      </c>
      <c r="R303" t="s">
        <v>62</v>
      </c>
      <c r="S303" t="s">
        <v>57</v>
      </c>
      <c r="T303">
        <v>1</v>
      </c>
      <c r="U303">
        <v>143.74</v>
      </c>
      <c r="V303">
        <v>410.49</v>
      </c>
      <c r="W303">
        <v>2</v>
      </c>
      <c r="X303" t="s">
        <v>45</v>
      </c>
      <c r="Y303">
        <v>2024</v>
      </c>
    </row>
    <row r="304" spans="1:25" x14ac:dyDescent="0.3">
      <c r="A304" t="s">
        <v>923</v>
      </c>
      <c r="B304" s="1">
        <v>45527</v>
      </c>
      <c r="C304" t="s">
        <v>924</v>
      </c>
      <c r="D304" t="s">
        <v>3439</v>
      </c>
      <c r="E304" s="1">
        <v>45530</v>
      </c>
      <c r="F304" t="s">
        <v>68</v>
      </c>
      <c r="G304" t="s">
        <v>66</v>
      </c>
      <c r="H304" t="s">
        <v>67</v>
      </c>
      <c r="I304" t="s">
        <v>2625</v>
      </c>
      <c r="J304" t="s">
        <v>2667</v>
      </c>
      <c r="K304" t="s">
        <v>25</v>
      </c>
      <c r="L304">
        <v>45</v>
      </c>
      <c r="M304">
        <v>3</v>
      </c>
      <c r="N304">
        <v>30</v>
      </c>
      <c r="O304" t="s">
        <v>925</v>
      </c>
      <c r="P304" t="s">
        <v>75</v>
      </c>
      <c r="Q304" t="s">
        <v>58</v>
      </c>
      <c r="R304" t="s">
        <v>32</v>
      </c>
      <c r="S304" t="s">
        <v>69</v>
      </c>
      <c r="T304">
        <v>3</v>
      </c>
      <c r="U304">
        <v>483.94</v>
      </c>
      <c r="V304">
        <v>811.98</v>
      </c>
      <c r="W304">
        <v>3</v>
      </c>
      <c r="X304" t="s">
        <v>45</v>
      </c>
      <c r="Y304">
        <v>2024</v>
      </c>
    </row>
    <row r="305" spans="1:25" x14ac:dyDescent="0.3">
      <c r="A305" t="s">
        <v>926</v>
      </c>
      <c r="B305" s="1">
        <v>45552</v>
      </c>
      <c r="C305" t="s">
        <v>927</v>
      </c>
      <c r="D305" t="s">
        <v>3438</v>
      </c>
      <c r="E305" s="1">
        <v>45555</v>
      </c>
      <c r="F305" t="s">
        <v>122</v>
      </c>
      <c r="G305" t="s">
        <v>120</v>
      </c>
      <c r="H305" t="s">
        <v>121</v>
      </c>
      <c r="I305" t="s">
        <v>2625</v>
      </c>
      <c r="J305" t="s">
        <v>2667</v>
      </c>
      <c r="K305" t="s">
        <v>25</v>
      </c>
      <c r="L305">
        <v>47</v>
      </c>
      <c r="M305">
        <v>5</v>
      </c>
      <c r="N305">
        <v>10</v>
      </c>
      <c r="O305" t="s">
        <v>214</v>
      </c>
      <c r="P305" t="s">
        <v>44</v>
      </c>
      <c r="Q305" t="s">
        <v>58</v>
      </c>
      <c r="R305" t="s">
        <v>32</v>
      </c>
      <c r="S305" t="s">
        <v>123</v>
      </c>
      <c r="T305">
        <v>4</v>
      </c>
      <c r="U305">
        <v>621.53</v>
      </c>
      <c r="V305">
        <v>1562.43</v>
      </c>
      <c r="W305">
        <v>3</v>
      </c>
      <c r="X305" t="s">
        <v>45</v>
      </c>
      <c r="Y305">
        <v>2024</v>
      </c>
    </row>
    <row r="306" spans="1:25" x14ac:dyDescent="0.3">
      <c r="A306" t="s">
        <v>928</v>
      </c>
      <c r="B306" s="1">
        <v>45302</v>
      </c>
      <c r="C306" t="s">
        <v>929</v>
      </c>
      <c r="D306" t="s">
        <v>3437</v>
      </c>
      <c r="E306" s="1">
        <v>45303</v>
      </c>
      <c r="F306" t="s">
        <v>122</v>
      </c>
      <c r="G306" t="s">
        <v>120</v>
      </c>
      <c r="H306" t="s">
        <v>121</v>
      </c>
      <c r="I306" t="s">
        <v>2679</v>
      </c>
      <c r="J306" t="s">
        <v>2707</v>
      </c>
      <c r="K306" t="s">
        <v>25</v>
      </c>
      <c r="L306">
        <v>31</v>
      </c>
      <c r="M306">
        <v>5</v>
      </c>
      <c r="N306">
        <v>5</v>
      </c>
      <c r="O306" t="s">
        <v>674</v>
      </c>
      <c r="P306" t="s">
        <v>44</v>
      </c>
      <c r="Q306" t="s">
        <v>31</v>
      </c>
      <c r="R306" t="s">
        <v>71</v>
      </c>
      <c r="S306" t="s">
        <v>123</v>
      </c>
      <c r="T306">
        <v>2</v>
      </c>
      <c r="U306">
        <v>580.73</v>
      </c>
      <c r="V306">
        <v>2005.99</v>
      </c>
      <c r="W306">
        <v>1</v>
      </c>
      <c r="X306" t="s">
        <v>34</v>
      </c>
      <c r="Y306">
        <v>2024</v>
      </c>
    </row>
    <row r="307" spans="1:25" x14ac:dyDescent="0.3">
      <c r="A307" t="s">
        <v>930</v>
      </c>
      <c r="B307" s="1">
        <v>46112</v>
      </c>
      <c r="C307" t="s">
        <v>931</v>
      </c>
      <c r="D307" t="s">
        <v>3436</v>
      </c>
      <c r="E307" s="1">
        <v>46113</v>
      </c>
      <c r="F307" t="s">
        <v>100</v>
      </c>
      <c r="G307" t="s">
        <v>98</v>
      </c>
      <c r="H307" t="s">
        <v>99</v>
      </c>
      <c r="I307" t="s">
        <v>2629</v>
      </c>
      <c r="J307" t="s">
        <v>2709</v>
      </c>
      <c r="K307" t="s">
        <v>52</v>
      </c>
      <c r="L307">
        <v>60</v>
      </c>
      <c r="M307">
        <v>1</v>
      </c>
      <c r="N307">
        <v>30</v>
      </c>
      <c r="O307" t="s">
        <v>247</v>
      </c>
      <c r="P307" t="s">
        <v>44</v>
      </c>
      <c r="Q307" t="s">
        <v>58</v>
      </c>
      <c r="R307" t="s">
        <v>71</v>
      </c>
      <c r="S307" t="s">
        <v>101</v>
      </c>
      <c r="T307">
        <v>1</v>
      </c>
      <c r="U307">
        <v>553.63</v>
      </c>
      <c r="V307">
        <v>213.01</v>
      </c>
      <c r="W307">
        <v>1</v>
      </c>
      <c r="X307" t="s">
        <v>34</v>
      </c>
      <c r="Y307">
        <v>2026</v>
      </c>
    </row>
    <row r="308" spans="1:25" x14ac:dyDescent="0.3">
      <c r="A308" t="s">
        <v>932</v>
      </c>
      <c r="B308" s="1">
        <v>46134</v>
      </c>
      <c r="C308" t="s">
        <v>933</v>
      </c>
      <c r="D308" t="s">
        <v>3435</v>
      </c>
      <c r="E308" s="1">
        <v>46137</v>
      </c>
      <c r="F308" t="s">
        <v>68</v>
      </c>
      <c r="G308" t="s">
        <v>66</v>
      </c>
      <c r="H308" t="s">
        <v>67</v>
      </c>
      <c r="I308" t="s">
        <v>2622</v>
      </c>
      <c r="J308" t="s">
        <v>2686</v>
      </c>
      <c r="K308" t="s">
        <v>52</v>
      </c>
      <c r="L308">
        <v>55</v>
      </c>
      <c r="M308">
        <v>5</v>
      </c>
      <c r="N308">
        <v>10</v>
      </c>
      <c r="O308" t="s">
        <v>934</v>
      </c>
      <c r="P308" t="s">
        <v>44</v>
      </c>
      <c r="Q308" t="s">
        <v>70</v>
      </c>
      <c r="R308" t="s">
        <v>32</v>
      </c>
      <c r="S308" t="s">
        <v>69</v>
      </c>
      <c r="T308">
        <v>4</v>
      </c>
      <c r="U308">
        <v>931.29</v>
      </c>
      <c r="V308">
        <v>2975.43</v>
      </c>
      <c r="W308">
        <v>3</v>
      </c>
      <c r="X308" t="s">
        <v>49</v>
      </c>
      <c r="Y308">
        <v>2026</v>
      </c>
    </row>
    <row r="309" spans="1:25" x14ac:dyDescent="0.3">
      <c r="A309" t="s">
        <v>935</v>
      </c>
      <c r="B309" s="1">
        <v>45733</v>
      </c>
      <c r="C309" t="s">
        <v>936</v>
      </c>
      <c r="D309" t="s">
        <v>3434</v>
      </c>
      <c r="E309" s="1">
        <v>45734</v>
      </c>
      <c r="F309" t="s">
        <v>140</v>
      </c>
      <c r="G309" t="s">
        <v>38</v>
      </c>
      <c r="H309" t="s">
        <v>139</v>
      </c>
      <c r="I309" t="s">
        <v>2622</v>
      </c>
      <c r="J309" t="s">
        <v>2704</v>
      </c>
      <c r="K309" t="s">
        <v>52</v>
      </c>
      <c r="L309">
        <v>43</v>
      </c>
      <c r="M309">
        <v>2</v>
      </c>
      <c r="N309">
        <v>25</v>
      </c>
      <c r="O309" t="s">
        <v>400</v>
      </c>
      <c r="P309" t="s">
        <v>44</v>
      </c>
      <c r="Q309" t="s">
        <v>58</v>
      </c>
      <c r="R309" t="s">
        <v>71</v>
      </c>
      <c r="S309" t="s">
        <v>141</v>
      </c>
      <c r="T309">
        <v>5</v>
      </c>
      <c r="U309">
        <v>682.8</v>
      </c>
      <c r="V309">
        <v>809.5</v>
      </c>
      <c r="W309">
        <v>1</v>
      </c>
      <c r="X309" t="s">
        <v>34</v>
      </c>
      <c r="Y309">
        <v>2025</v>
      </c>
    </row>
    <row r="310" spans="1:25" x14ac:dyDescent="0.3">
      <c r="A310" t="s">
        <v>937</v>
      </c>
      <c r="B310" s="1">
        <v>45803</v>
      </c>
      <c r="C310" t="s">
        <v>938</v>
      </c>
      <c r="D310" t="s">
        <v>3433</v>
      </c>
      <c r="E310" s="1">
        <v>45809</v>
      </c>
      <c r="F310" t="s">
        <v>68</v>
      </c>
      <c r="G310" t="s">
        <v>66</v>
      </c>
      <c r="H310" t="s">
        <v>67</v>
      </c>
      <c r="I310" t="s">
        <v>2641</v>
      </c>
      <c r="J310" t="s">
        <v>2692</v>
      </c>
      <c r="K310" t="s">
        <v>25</v>
      </c>
      <c r="L310">
        <v>29</v>
      </c>
      <c r="M310">
        <v>5</v>
      </c>
      <c r="N310">
        <v>25</v>
      </c>
      <c r="O310" t="s">
        <v>939</v>
      </c>
      <c r="P310" t="s">
        <v>44</v>
      </c>
      <c r="Q310" t="s">
        <v>58</v>
      </c>
      <c r="R310" t="s">
        <v>62</v>
      </c>
      <c r="S310" t="s">
        <v>69</v>
      </c>
      <c r="T310">
        <v>5</v>
      </c>
      <c r="U310">
        <v>880.9</v>
      </c>
      <c r="V310">
        <v>1953.16</v>
      </c>
      <c r="W310">
        <v>6</v>
      </c>
      <c r="X310" t="s">
        <v>49</v>
      </c>
      <c r="Y310">
        <v>2025</v>
      </c>
    </row>
    <row r="311" spans="1:25" x14ac:dyDescent="0.3">
      <c r="A311" t="s">
        <v>940</v>
      </c>
      <c r="B311" s="1">
        <v>45590</v>
      </c>
      <c r="C311" t="s">
        <v>941</v>
      </c>
      <c r="D311" t="s">
        <v>3432</v>
      </c>
      <c r="E311" s="1">
        <v>45595</v>
      </c>
      <c r="F311" t="s">
        <v>128</v>
      </c>
      <c r="G311" t="s">
        <v>98</v>
      </c>
      <c r="H311" t="s">
        <v>127</v>
      </c>
      <c r="I311" t="s">
        <v>2623</v>
      </c>
      <c r="J311" t="s">
        <v>2624</v>
      </c>
      <c r="K311" t="s">
        <v>25</v>
      </c>
      <c r="L311">
        <v>61</v>
      </c>
      <c r="M311">
        <v>3</v>
      </c>
      <c r="N311">
        <v>25</v>
      </c>
      <c r="O311" t="s">
        <v>942</v>
      </c>
      <c r="P311" t="s">
        <v>33</v>
      </c>
      <c r="Q311" t="s">
        <v>58</v>
      </c>
      <c r="R311" t="s">
        <v>32</v>
      </c>
      <c r="S311" t="s">
        <v>129</v>
      </c>
      <c r="T311">
        <v>2</v>
      </c>
      <c r="U311">
        <v>874.19</v>
      </c>
      <c r="V311">
        <v>1319.53</v>
      </c>
      <c r="W311">
        <v>5</v>
      </c>
      <c r="X311" t="s">
        <v>94</v>
      </c>
      <c r="Y311">
        <v>2024</v>
      </c>
    </row>
    <row r="312" spans="1:25" x14ac:dyDescent="0.3">
      <c r="A312" t="s">
        <v>943</v>
      </c>
      <c r="B312" s="1">
        <v>46122</v>
      </c>
      <c r="C312" t="s">
        <v>944</v>
      </c>
      <c r="D312" t="s">
        <v>3431</v>
      </c>
      <c r="E312" s="1">
        <v>46126</v>
      </c>
      <c r="F312" t="s">
        <v>140</v>
      </c>
      <c r="G312" t="s">
        <v>38</v>
      </c>
      <c r="H312" t="s">
        <v>139</v>
      </c>
      <c r="I312" t="s">
        <v>2665</v>
      </c>
      <c r="J312" t="s">
        <v>2693</v>
      </c>
      <c r="K312" t="s">
        <v>52</v>
      </c>
      <c r="L312">
        <v>31</v>
      </c>
      <c r="M312">
        <v>5</v>
      </c>
      <c r="N312">
        <v>20</v>
      </c>
      <c r="O312" t="s">
        <v>945</v>
      </c>
      <c r="P312" t="s">
        <v>75</v>
      </c>
      <c r="Q312" t="s">
        <v>31</v>
      </c>
      <c r="R312" t="s">
        <v>32</v>
      </c>
      <c r="S312" t="s">
        <v>141</v>
      </c>
      <c r="T312">
        <v>2</v>
      </c>
      <c r="U312">
        <v>92.25</v>
      </c>
      <c r="V312">
        <v>215.61</v>
      </c>
      <c r="W312">
        <v>4</v>
      </c>
      <c r="X312" t="s">
        <v>49</v>
      </c>
      <c r="Y312">
        <v>2026</v>
      </c>
    </row>
    <row r="313" spans="1:25" x14ac:dyDescent="0.3">
      <c r="A313" t="s">
        <v>946</v>
      </c>
      <c r="B313" s="1">
        <v>45351</v>
      </c>
      <c r="C313" t="s">
        <v>947</v>
      </c>
      <c r="D313" t="s">
        <v>3430</v>
      </c>
      <c r="E313" s="1">
        <v>45357</v>
      </c>
      <c r="F313" t="s">
        <v>122</v>
      </c>
      <c r="G313" t="s">
        <v>120</v>
      </c>
      <c r="H313" t="s">
        <v>121</v>
      </c>
      <c r="I313" t="s">
        <v>2625</v>
      </c>
      <c r="J313" t="s">
        <v>2703</v>
      </c>
      <c r="K313" t="s">
        <v>25</v>
      </c>
      <c r="L313">
        <v>40</v>
      </c>
      <c r="M313">
        <v>1</v>
      </c>
      <c r="N313">
        <v>15</v>
      </c>
      <c r="O313" t="s">
        <v>948</v>
      </c>
      <c r="P313" t="s">
        <v>33</v>
      </c>
      <c r="Q313" t="s">
        <v>58</v>
      </c>
      <c r="R313" t="s">
        <v>43</v>
      </c>
      <c r="S313" t="s">
        <v>123</v>
      </c>
      <c r="T313">
        <v>2</v>
      </c>
      <c r="U313">
        <v>145.97</v>
      </c>
      <c r="V313">
        <v>64.790000000000006</v>
      </c>
      <c r="W313">
        <v>6</v>
      </c>
      <c r="X313" t="s">
        <v>34</v>
      </c>
      <c r="Y313">
        <v>2024</v>
      </c>
    </row>
    <row r="314" spans="1:25" x14ac:dyDescent="0.3">
      <c r="A314" t="s">
        <v>949</v>
      </c>
      <c r="B314" s="1">
        <v>45882</v>
      </c>
      <c r="C314" t="s">
        <v>950</v>
      </c>
      <c r="D314" t="s">
        <v>3429</v>
      </c>
      <c r="E314" s="1">
        <v>45888</v>
      </c>
      <c r="F314" t="s">
        <v>56</v>
      </c>
      <c r="G314" t="s">
        <v>54</v>
      </c>
      <c r="H314" t="s">
        <v>55</v>
      </c>
      <c r="I314" t="s">
        <v>2637</v>
      </c>
      <c r="J314" t="s">
        <v>2649</v>
      </c>
      <c r="K314" t="s">
        <v>52</v>
      </c>
      <c r="L314">
        <v>37</v>
      </c>
      <c r="M314">
        <v>4</v>
      </c>
      <c r="N314">
        <v>10</v>
      </c>
      <c r="O314" t="s">
        <v>951</v>
      </c>
      <c r="P314" t="s">
        <v>33</v>
      </c>
      <c r="Q314" t="s">
        <v>70</v>
      </c>
      <c r="R314" t="s">
        <v>62</v>
      </c>
      <c r="S314" t="s">
        <v>57</v>
      </c>
      <c r="T314">
        <v>4</v>
      </c>
      <c r="U314">
        <v>323.41000000000003</v>
      </c>
      <c r="V314">
        <v>762.17</v>
      </c>
      <c r="W314">
        <v>6</v>
      </c>
      <c r="X314" t="s">
        <v>45</v>
      </c>
      <c r="Y314">
        <v>2025</v>
      </c>
    </row>
    <row r="315" spans="1:25" x14ac:dyDescent="0.3">
      <c r="A315" t="s">
        <v>952</v>
      </c>
      <c r="B315" s="1">
        <v>46183</v>
      </c>
      <c r="C315" t="s">
        <v>812</v>
      </c>
      <c r="D315" t="s">
        <v>3428</v>
      </c>
      <c r="E315" s="1">
        <v>46188</v>
      </c>
      <c r="F315" t="s">
        <v>68</v>
      </c>
      <c r="G315" t="s">
        <v>66</v>
      </c>
      <c r="H315" t="s">
        <v>67</v>
      </c>
      <c r="I315" t="s">
        <v>2622</v>
      </c>
      <c r="J315" t="s">
        <v>2705</v>
      </c>
      <c r="K315" t="s">
        <v>25</v>
      </c>
      <c r="L315">
        <v>36</v>
      </c>
      <c r="M315">
        <v>4</v>
      </c>
      <c r="N315">
        <v>0</v>
      </c>
      <c r="O315" t="s">
        <v>953</v>
      </c>
      <c r="P315" t="s">
        <v>75</v>
      </c>
      <c r="Q315" t="s">
        <v>31</v>
      </c>
      <c r="R315" t="s">
        <v>62</v>
      </c>
      <c r="S315" t="s">
        <v>69</v>
      </c>
      <c r="T315">
        <v>3</v>
      </c>
      <c r="U315">
        <v>397.43</v>
      </c>
      <c r="V315">
        <v>1166.94</v>
      </c>
      <c r="W315">
        <v>5</v>
      </c>
      <c r="X315" t="s">
        <v>49</v>
      </c>
      <c r="Y315">
        <v>2026</v>
      </c>
    </row>
    <row r="316" spans="1:25" x14ac:dyDescent="0.3">
      <c r="A316" t="s">
        <v>954</v>
      </c>
      <c r="B316" s="1">
        <v>45811</v>
      </c>
      <c r="C316" t="s">
        <v>955</v>
      </c>
      <c r="D316" t="s">
        <v>3427</v>
      </c>
      <c r="E316" s="1">
        <v>45814</v>
      </c>
      <c r="F316" t="s">
        <v>122</v>
      </c>
      <c r="G316" t="s">
        <v>120</v>
      </c>
      <c r="H316" t="s">
        <v>121</v>
      </c>
      <c r="I316" t="s">
        <v>2634</v>
      </c>
      <c r="J316" t="s">
        <v>2650</v>
      </c>
      <c r="K316" t="s">
        <v>25</v>
      </c>
      <c r="L316">
        <v>30</v>
      </c>
      <c r="M316">
        <v>4</v>
      </c>
      <c r="N316">
        <v>5</v>
      </c>
      <c r="O316" t="s">
        <v>706</v>
      </c>
      <c r="P316" t="s">
        <v>44</v>
      </c>
      <c r="Q316" t="s">
        <v>117</v>
      </c>
      <c r="R316" t="s">
        <v>43</v>
      </c>
      <c r="S316" t="s">
        <v>123</v>
      </c>
      <c r="T316">
        <v>3</v>
      </c>
      <c r="U316">
        <v>360.19</v>
      </c>
      <c r="V316">
        <v>1034.0999999999999</v>
      </c>
      <c r="W316">
        <v>3</v>
      </c>
      <c r="X316" t="s">
        <v>49</v>
      </c>
      <c r="Y316">
        <v>2025</v>
      </c>
    </row>
    <row r="317" spans="1:25" x14ac:dyDescent="0.3">
      <c r="A317" t="s">
        <v>956</v>
      </c>
      <c r="B317" s="1">
        <v>45564</v>
      </c>
      <c r="C317" t="s">
        <v>957</v>
      </c>
      <c r="D317" t="s">
        <v>2777</v>
      </c>
      <c r="E317" s="1">
        <v>45570</v>
      </c>
      <c r="F317" t="s">
        <v>40</v>
      </c>
      <c r="G317" t="s">
        <v>38</v>
      </c>
      <c r="H317" t="s">
        <v>39</v>
      </c>
      <c r="I317" t="s">
        <v>2641</v>
      </c>
      <c r="J317" t="s">
        <v>2713</v>
      </c>
      <c r="K317" t="s">
        <v>52</v>
      </c>
      <c r="L317">
        <v>61</v>
      </c>
      <c r="M317">
        <v>5</v>
      </c>
      <c r="N317">
        <v>15</v>
      </c>
      <c r="O317" t="s">
        <v>712</v>
      </c>
      <c r="P317" t="s">
        <v>33</v>
      </c>
      <c r="Q317" t="s">
        <v>31</v>
      </c>
      <c r="R317" t="s">
        <v>71</v>
      </c>
      <c r="S317" t="s">
        <v>41</v>
      </c>
      <c r="T317">
        <v>3</v>
      </c>
      <c r="U317">
        <v>352.91</v>
      </c>
      <c r="V317">
        <v>1208.82</v>
      </c>
      <c r="W317">
        <v>6</v>
      </c>
      <c r="X317" t="s">
        <v>45</v>
      </c>
      <c r="Y317">
        <v>2024</v>
      </c>
    </row>
    <row r="318" spans="1:25" x14ac:dyDescent="0.3">
      <c r="A318" t="s">
        <v>958</v>
      </c>
      <c r="B318" s="1">
        <v>46013</v>
      </c>
      <c r="C318" t="s">
        <v>959</v>
      </c>
      <c r="D318" t="s">
        <v>2776</v>
      </c>
      <c r="E318" s="1">
        <v>46019</v>
      </c>
      <c r="F318" t="s">
        <v>2617</v>
      </c>
      <c r="G318" t="s">
        <v>27</v>
      </c>
      <c r="H318" t="s">
        <v>28</v>
      </c>
      <c r="I318" t="s">
        <v>2627</v>
      </c>
      <c r="J318" t="s">
        <v>2628</v>
      </c>
      <c r="K318" t="s">
        <v>25</v>
      </c>
      <c r="L318">
        <v>45</v>
      </c>
      <c r="M318">
        <v>4</v>
      </c>
      <c r="N318">
        <v>5</v>
      </c>
      <c r="O318" t="s">
        <v>960</v>
      </c>
      <c r="P318" t="s">
        <v>75</v>
      </c>
      <c r="Q318" t="s">
        <v>58</v>
      </c>
      <c r="R318" t="s">
        <v>71</v>
      </c>
      <c r="S318" t="s">
        <v>30</v>
      </c>
      <c r="T318">
        <v>1</v>
      </c>
      <c r="U318">
        <v>126.62</v>
      </c>
      <c r="V318">
        <v>310.79000000000002</v>
      </c>
      <c r="W318">
        <v>6</v>
      </c>
      <c r="X318" t="s">
        <v>94</v>
      </c>
      <c r="Y318">
        <v>2025</v>
      </c>
    </row>
    <row r="319" spans="1:25" x14ac:dyDescent="0.3">
      <c r="A319" t="s">
        <v>961</v>
      </c>
      <c r="B319" s="1">
        <v>45322</v>
      </c>
      <c r="C319" t="s">
        <v>962</v>
      </c>
      <c r="D319" t="s">
        <v>2775</v>
      </c>
      <c r="E319" s="1">
        <v>45326</v>
      </c>
      <c r="F319" t="s">
        <v>115</v>
      </c>
      <c r="G319" t="s">
        <v>66</v>
      </c>
      <c r="H319" t="s">
        <v>114</v>
      </c>
      <c r="I319" t="s">
        <v>2659</v>
      </c>
      <c r="J319" t="s">
        <v>2718</v>
      </c>
      <c r="K319" t="s">
        <v>52</v>
      </c>
      <c r="L319">
        <v>23</v>
      </c>
      <c r="M319">
        <v>5</v>
      </c>
      <c r="N319">
        <v>25</v>
      </c>
      <c r="O319" t="s">
        <v>963</v>
      </c>
      <c r="P319" t="s">
        <v>44</v>
      </c>
      <c r="Q319" t="s">
        <v>58</v>
      </c>
      <c r="R319" t="s">
        <v>71</v>
      </c>
      <c r="S319" t="s">
        <v>116</v>
      </c>
      <c r="T319">
        <v>2</v>
      </c>
      <c r="U319">
        <v>208.45</v>
      </c>
      <c r="V319">
        <v>659.19</v>
      </c>
      <c r="W319">
        <v>4</v>
      </c>
      <c r="X319" t="s">
        <v>34</v>
      </c>
      <c r="Y319">
        <v>2024</v>
      </c>
    </row>
    <row r="320" spans="1:25" x14ac:dyDescent="0.3">
      <c r="A320" t="s">
        <v>964</v>
      </c>
      <c r="B320" s="1">
        <v>45640</v>
      </c>
      <c r="C320" t="s">
        <v>965</v>
      </c>
      <c r="D320" t="s">
        <v>2774</v>
      </c>
      <c r="E320" s="1">
        <v>45642</v>
      </c>
      <c r="F320" t="s">
        <v>40</v>
      </c>
      <c r="G320" t="s">
        <v>38</v>
      </c>
      <c r="H320" t="s">
        <v>39</v>
      </c>
      <c r="I320" t="s">
        <v>2656</v>
      </c>
      <c r="J320" t="s">
        <v>2683</v>
      </c>
      <c r="K320" t="s">
        <v>25</v>
      </c>
      <c r="L320">
        <v>45</v>
      </c>
      <c r="M320">
        <v>5</v>
      </c>
      <c r="N320">
        <v>30</v>
      </c>
      <c r="O320" t="s">
        <v>966</v>
      </c>
      <c r="P320" t="s">
        <v>33</v>
      </c>
      <c r="Q320" t="s">
        <v>58</v>
      </c>
      <c r="R320" t="s">
        <v>43</v>
      </c>
      <c r="S320" t="s">
        <v>41</v>
      </c>
      <c r="T320">
        <v>1</v>
      </c>
      <c r="U320">
        <v>843.53</v>
      </c>
      <c r="V320">
        <v>2115.37</v>
      </c>
      <c r="W320">
        <v>2</v>
      </c>
      <c r="X320" t="s">
        <v>94</v>
      </c>
      <c r="Y320">
        <v>2024</v>
      </c>
    </row>
    <row r="321" spans="1:25" x14ac:dyDescent="0.3">
      <c r="A321" t="s">
        <v>967</v>
      </c>
      <c r="B321" s="1">
        <v>45772</v>
      </c>
      <c r="C321" t="s">
        <v>968</v>
      </c>
      <c r="D321" t="s">
        <v>3426</v>
      </c>
      <c r="E321" s="1">
        <v>45779</v>
      </c>
      <c r="F321" t="s">
        <v>128</v>
      </c>
      <c r="G321" t="s">
        <v>98</v>
      </c>
      <c r="H321" t="s">
        <v>127</v>
      </c>
      <c r="I321" t="s">
        <v>2632</v>
      </c>
      <c r="J321" t="s">
        <v>2645</v>
      </c>
      <c r="K321" t="s">
        <v>52</v>
      </c>
      <c r="L321">
        <v>34</v>
      </c>
      <c r="M321">
        <v>4</v>
      </c>
      <c r="N321">
        <v>0</v>
      </c>
      <c r="O321" t="s">
        <v>969</v>
      </c>
      <c r="P321" t="s">
        <v>33</v>
      </c>
      <c r="Q321" t="s">
        <v>42</v>
      </c>
      <c r="R321" t="s">
        <v>43</v>
      </c>
      <c r="S321" t="s">
        <v>129</v>
      </c>
      <c r="T321">
        <v>2</v>
      </c>
      <c r="U321">
        <v>244.2</v>
      </c>
      <c r="V321">
        <v>650.20000000000005</v>
      </c>
      <c r="W321">
        <v>7</v>
      </c>
      <c r="X321" t="s">
        <v>49</v>
      </c>
      <c r="Y321">
        <v>2025</v>
      </c>
    </row>
    <row r="322" spans="1:25" x14ac:dyDescent="0.3">
      <c r="A322" t="s">
        <v>970</v>
      </c>
      <c r="B322" s="1">
        <v>46110</v>
      </c>
      <c r="C322" t="s">
        <v>971</v>
      </c>
      <c r="D322" t="s">
        <v>3425</v>
      </c>
      <c r="E322" s="1">
        <v>46115</v>
      </c>
      <c r="F322" t="s">
        <v>68</v>
      </c>
      <c r="G322" t="s">
        <v>66</v>
      </c>
      <c r="H322" t="s">
        <v>67</v>
      </c>
      <c r="I322" t="s">
        <v>2647</v>
      </c>
      <c r="J322" t="s">
        <v>2648</v>
      </c>
      <c r="K322" t="s">
        <v>52</v>
      </c>
      <c r="L322">
        <v>20</v>
      </c>
      <c r="M322">
        <v>2</v>
      </c>
      <c r="N322">
        <v>25</v>
      </c>
      <c r="O322" t="s">
        <v>972</v>
      </c>
      <c r="P322" t="s">
        <v>44</v>
      </c>
      <c r="Q322" t="s">
        <v>117</v>
      </c>
      <c r="R322" t="s">
        <v>71</v>
      </c>
      <c r="S322" t="s">
        <v>69</v>
      </c>
      <c r="T322">
        <v>2</v>
      </c>
      <c r="U322">
        <v>323.97000000000003</v>
      </c>
      <c r="V322">
        <v>325.60000000000002</v>
      </c>
      <c r="W322">
        <v>5</v>
      </c>
      <c r="X322" t="s">
        <v>34</v>
      </c>
      <c r="Y322">
        <v>2026</v>
      </c>
    </row>
    <row r="323" spans="1:25" x14ac:dyDescent="0.3">
      <c r="A323" t="s">
        <v>973</v>
      </c>
      <c r="B323" s="1">
        <v>45314</v>
      </c>
      <c r="C323" t="s">
        <v>974</v>
      </c>
      <c r="D323" t="s">
        <v>3424</v>
      </c>
      <c r="E323" s="1">
        <v>45317</v>
      </c>
      <c r="F323" t="s">
        <v>40</v>
      </c>
      <c r="G323" t="s">
        <v>38</v>
      </c>
      <c r="H323" t="s">
        <v>39</v>
      </c>
      <c r="I323" t="s">
        <v>2672</v>
      </c>
      <c r="J323" t="s">
        <v>2673</v>
      </c>
      <c r="K323" t="s">
        <v>25</v>
      </c>
      <c r="L323">
        <v>21</v>
      </c>
      <c r="M323">
        <v>5</v>
      </c>
      <c r="N323">
        <v>30</v>
      </c>
      <c r="O323" t="s">
        <v>975</v>
      </c>
      <c r="P323" t="s">
        <v>75</v>
      </c>
      <c r="Q323" t="s">
        <v>117</v>
      </c>
      <c r="R323" t="s">
        <v>71</v>
      </c>
      <c r="S323" t="s">
        <v>41</v>
      </c>
      <c r="T323">
        <v>4</v>
      </c>
      <c r="U323">
        <v>303.69</v>
      </c>
      <c r="V323">
        <v>785.77</v>
      </c>
      <c r="W323">
        <v>3</v>
      </c>
      <c r="X323" t="s">
        <v>34</v>
      </c>
      <c r="Y323">
        <v>2024</v>
      </c>
    </row>
    <row r="324" spans="1:25" x14ac:dyDescent="0.3">
      <c r="A324" t="s">
        <v>976</v>
      </c>
      <c r="B324" s="1">
        <v>46033</v>
      </c>
      <c r="C324" t="s">
        <v>977</v>
      </c>
      <c r="D324" t="s">
        <v>3423</v>
      </c>
      <c r="E324" s="1">
        <v>46039</v>
      </c>
      <c r="F324" t="s">
        <v>115</v>
      </c>
      <c r="G324" t="s">
        <v>66</v>
      </c>
      <c r="H324" t="s">
        <v>114</v>
      </c>
      <c r="I324" t="s">
        <v>2652</v>
      </c>
      <c r="J324" t="s">
        <v>2706</v>
      </c>
      <c r="K324" t="s">
        <v>25</v>
      </c>
      <c r="L324">
        <v>32</v>
      </c>
      <c r="M324">
        <v>3</v>
      </c>
      <c r="N324">
        <v>20</v>
      </c>
      <c r="O324" t="s">
        <v>978</v>
      </c>
      <c r="P324" t="s">
        <v>75</v>
      </c>
      <c r="Q324" t="s">
        <v>42</v>
      </c>
      <c r="R324" t="s">
        <v>71</v>
      </c>
      <c r="S324" t="s">
        <v>116</v>
      </c>
      <c r="T324">
        <v>1</v>
      </c>
      <c r="U324">
        <v>673.65</v>
      </c>
      <c r="V324">
        <v>1072.71</v>
      </c>
      <c r="W324">
        <v>6</v>
      </c>
      <c r="X324" t="s">
        <v>34</v>
      </c>
      <c r="Y324">
        <v>2026</v>
      </c>
    </row>
    <row r="325" spans="1:25" x14ac:dyDescent="0.3">
      <c r="A325" t="s">
        <v>979</v>
      </c>
      <c r="B325" s="1">
        <v>45851</v>
      </c>
      <c r="C325" t="s">
        <v>146</v>
      </c>
      <c r="D325" t="s">
        <v>3422</v>
      </c>
      <c r="E325" s="1">
        <v>45858</v>
      </c>
      <c r="F325" t="s">
        <v>100</v>
      </c>
      <c r="G325" t="s">
        <v>98</v>
      </c>
      <c r="H325" t="s">
        <v>99</v>
      </c>
      <c r="I325" t="s">
        <v>2672</v>
      </c>
      <c r="J325" t="s">
        <v>2690</v>
      </c>
      <c r="K325" t="s">
        <v>25</v>
      </c>
      <c r="L325">
        <v>61</v>
      </c>
      <c r="M325">
        <v>1</v>
      </c>
      <c r="N325">
        <v>30</v>
      </c>
      <c r="O325" t="s">
        <v>980</v>
      </c>
      <c r="P325" t="s">
        <v>75</v>
      </c>
      <c r="Q325" t="s">
        <v>42</v>
      </c>
      <c r="R325" t="s">
        <v>62</v>
      </c>
      <c r="S325" t="s">
        <v>101</v>
      </c>
      <c r="T325">
        <v>5</v>
      </c>
      <c r="U325">
        <v>85.04</v>
      </c>
      <c r="V325">
        <v>38.61</v>
      </c>
      <c r="W325">
        <v>7</v>
      </c>
      <c r="X325" t="s">
        <v>45</v>
      </c>
      <c r="Y325">
        <v>2025</v>
      </c>
    </row>
    <row r="326" spans="1:25" x14ac:dyDescent="0.3">
      <c r="A326" t="s">
        <v>981</v>
      </c>
      <c r="B326" s="1">
        <v>45347</v>
      </c>
      <c r="C326" t="s">
        <v>982</v>
      </c>
      <c r="D326" t="s">
        <v>3421</v>
      </c>
      <c r="E326" s="1">
        <v>45351</v>
      </c>
      <c r="F326" t="s">
        <v>140</v>
      </c>
      <c r="G326" t="s">
        <v>38</v>
      </c>
      <c r="H326" t="s">
        <v>139</v>
      </c>
      <c r="I326" t="s">
        <v>2635</v>
      </c>
      <c r="J326" t="s">
        <v>2720</v>
      </c>
      <c r="K326" t="s">
        <v>25</v>
      </c>
      <c r="L326">
        <v>56</v>
      </c>
      <c r="M326">
        <v>5</v>
      </c>
      <c r="N326">
        <v>0</v>
      </c>
      <c r="O326" t="s">
        <v>983</v>
      </c>
      <c r="P326" t="s">
        <v>44</v>
      </c>
      <c r="Q326" t="s">
        <v>58</v>
      </c>
      <c r="R326" t="s">
        <v>71</v>
      </c>
      <c r="S326" t="s">
        <v>141</v>
      </c>
      <c r="T326">
        <v>5</v>
      </c>
      <c r="U326">
        <v>298.92</v>
      </c>
      <c r="V326">
        <v>1208.29</v>
      </c>
      <c r="W326">
        <v>4</v>
      </c>
      <c r="X326" t="s">
        <v>34</v>
      </c>
      <c r="Y326">
        <v>2024</v>
      </c>
    </row>
    <row r="327" spans="1:25" x14ac:dyDescent="0.3">
      <c r="A327" t="s">
        <v>984</v>
      </c>
      <c r="B327" s="1">
        <v>45742</v>
      </c>
      <c r="C327" t="s">
        <v>985</v>
      </c>
      <c r="D327" t="s">
        <v>3420</v>
      </c>
      <c r="E327" s="1">
        <v>45748</v>
      </c>
      <c r="F327" t="s">
        <v>68</v>
      </c>
      <c r="G327" t="s">
        <v>66</v>
      </c>
      <c r="H327" t="s">
        <v>67</v>
      </c>
      <c r="I327" t="s">
        <v>2637</v>
      </c>
      <c r="J327" t="s">
        <v>2649</v>
      </c>
      <c r="K327" t="s">
        <v>52</v>
      </c>
      <c r="L327">
        <v>63</v>
      </c>
      <c r="M327">
        <v>3</v>
      </c>
      <c r="N327">
        <v>15</v>
      </c>
      <c r="O327" t="s">
        <v>986</v>
      </c>
      <c r="P327" t="s">
        <v>75</v>
      </c>
      <c r="Q327" t="s">
        <v>70</v>
      </c>
      <c r="R327" t="s">
        <v>71</v>
      </c>
      <c r="S327" t="s">
        <v>69</v>
      </c>
      <c r="T327">
        <v>1</v>
      </c>
      <c r="U327">
        <v>51.78</v>
      </c>
      <c r="V327">
        <v>91.81</v>
      </c>
      <c r="W327">
        <v>6</v>
      </c>
      <c r="X327" t="s">
        <v>34</v>
      </c>
      <c r="Y327">
        <v>2025</v>
      </c>
    </row>
    <row r="328" spans="1:25" x14ac:dyDescent="0.3">
      <c r="A328" t="s">
        <v>987</v>
      </c>
      <c r="B328" s="1">
        <v>45625</v>
      </c>
      <c r="C328" t="s">
        <v>988</v>
      </c>
      <c r="D328" t="s">
        <v>3419</v>
      </c>
      <c r="E328" s="1">
        <v>45631</v>
      </c>
      <c r="F328" t="s">
        <v>56</v>
      </c>
      <c r="G328" t="s">
        <v>54</v>
      </c>
      <c r="H328" t="s">
        <v>55</v>
      </c>
      <c r="I328" t="s">
        <v>2629</v>
      </c>
      <c r="J328" t="s">
        <v>2709</v>
      </c>
      <c r="K328" t="s">
        <v>25</v>
      </c>
      <c r="L328">
        <v>61</v>
      </c>
      <c r="M328">
        <v>5</v>
      </c>
      <c r="N328">
        <v>20</v>
      </c>
      <c r="O328" t="s">
        <v>989</v>
      </c>
      <c r="P328" t="s">
        <v>33</v>
      </c>
      <c r="Q328" t="s">
        <v>70</v>
      </c>
      <c r="R328" t="s">
        <v>62</v>
      </c>
      <c r="S328" t="s">
        <v>57</v>
      </c>
      <c r="T328">
        <v>4</v>
      </c>
      <c r="U328">
        <v>193.29</v>
      </c>
      <c r="V328">
        <v>405.27</v>
      </c>
      <c r="W328">
        <v>6</v>
      </c>
      <c r="X328" t="s">
        <v>94</v>
      </c>
      <c r="Y328">
        <v>2024</v>
      </c>
    </row>
    <row r="329" spans="1:25" x14ac:dyDescent="0.3">
      <c r="A329" t="s">
        <v>990</v>
      </c>
      <c r="B329" s="1">
        <v>45464</v>
      </c>
      <c r="C329" t="s">
        <v>991</v>
      </c>
      <c r="D329" t="s">
        <v>3418</v>
      </c>
      <c r="E329" s="1">
        <v>45470</v>
      </c>
      <c r="F329" t="s">
        <v>68</v>
      </c>
      <c r="G329" t="s">
        <v>66</v>
      </c>
      <c r="H329" t="s">
        <v>67</v>
      </c>
      <c r="I329" t="s">
        <v>2663</v>
      </c>
      <c r="J329" t="s">
        <v>2694</v>
      </c>
      <c r="K329" t="s">
        <v>52</v>
      </c>
      <c r="L329">
        <v>37</v>
      </c>
      <c r="M329">
        <v>1</v>
      </c>
      <c r="N329">
        <v>15</v>
      </c>
      <c r="O329" t="s">
        <v>992</v>
      </c>
      <c r="P329" t="s">
        <v>75</v>
      </c>
      <c r="Q329" t="s">
        <v>42</v>
      </c>
      <c r="R329" t="s">
        <v>32</v>
      </c>
      <c r="S329" t="s">
        <v>69</v>
      </c>
      <c r="T329">
        <v>4</v>
      </c>
      <c r="U329">
        <v>569.64</v>
      </c>
      <c r="V329">
        <v>350.15</v>
      </c>
      <c r="W329">
        <v>6</v>
      </c>
      <c r="X329" t="s">
        <v>49</v>
      </c>
      <c r="Y329">
        <v>2024</v>
      </c>
    </row>
    <row r="330" spans="1:25" x14ac:dyDescent="0.3">
      <c r="A330" t="s">
        <v>993</v>
      </c>
      <c r="B330" s="1">
        <v>45635</v>
      </c>
      <c r="C330" t="s">
        <v>994</v>
      </c>
      <c r="D330" t="s">
        <v>3417</v>
      </c>
      <c r="E330" s="1">
        <v>45638</v>
      </c>
      <c r="F330" t="s">
        <v>40</v>
      </c>
      <c r="G330" t="s">
        <v>38</v>
      </c>
      <c r="H330" t="s">
        <v>39</v>
      </c>
      <c r="I330" t="s">
        <v>2641</v>
      </c>
      <c r="J330" t="s">
        <v>2713</v>
      </c>
      <c r="K330" t="s">
        <v>52</v>
      </c>
      <c r="L330">
        <v>25</v>
      </c>
      <c r="M330">
        <v>3</v>
      </c>
      <c r="N330">
        <v>20</v>
      </c>
      <c r="O330" t="s">
        <v>509</v>
      </c>
      <c r="P330" t="s">
        <v>33</v>
      </c>
      <c r="Q330" t="s">
        <v>70</v>
      </c>
      <c r="R330" t="s">
        <v>71</v>
      </c>
      <c r="S330" t="s">
        <v>41</v>
      </c>
      <c r="T330">
        <v>1</v>
      </c>
      <c r="U330">
        <v>265.31</v>
      </c>
      <c r="V330">
        <v>404.29</v>
      </c>
      <c r="W330">
        <v>3</v>
      </c>
      <c r="X330" t="s">
        <v>94</v>
      </c>
      <c r="Y330">
        <v>2024</v>
      </c>
    </row>
    <row r="331" spans="1:25" x14ac:dyDescent="0.3">
      <c r="A331" t="s">
        <v>995</v>
      </c>
      <c r="B331" s="1">
        <v>45973</v>
      </c>
      <c r="C331" t="s">
        <v>996</v>
      </c>
      <c r="D331" t="s">
        <v>3416</v>
      </c>
      <c r="E331" s="1">
        <v>45975</v>
      </c>
      <c r="F331" t="s">
        <v>128</v>
      </c>
      <c r="G331" t="s">
        <v>98</v>
      </c>
      <c r="H331" t="s">
        <v>127</v>
      </c>
      <c r="I331" t="s">
        <v>2652</v>
      </c>
      <c r="J331" t="s">
        <v>2653</v>
      </c>
      <c r="K331" t="s">
        <v>52</v>
      </c>
      <c r="L331">
        <v>43</v>
      </c>
      <c r="M331">
        <v>3</v>
      </c>
      <c r="N331">
        <v>5</v>
      </c>
      <c r="O331" t="s">
        <v>997</v>
      </c>
      <c r="P331" t="s">
        <v>33</v>
      </c>
      <c r="Q331" t="s">
        <v>117</v>
      </c>
      <c r="R331" t="s">
        <v>32</v>
      </c>
      <c r="S331" t="s">
        <v>129</v>
      </c>
      <c r="T331">
        <v>1</v>
      </c>
      <c r="U331">
        <v>535.41999999999996</v>
      </c>
      <c r="V331">
        <v>896.93</v>
      </c>
      <c r="W331">
        <v>2</v>
      </c>
      <c r="X331" t="s">
        <v>94</v>
      </c>
      <c r="Y331">
        <v>2025</v>
      </c>
    </row>
    <row r="332" spans="1:25" x14ac:dyDescent="0.3">
      <c r="A332" t="s">
        <v>998</v>
      </c>
      <c r="B332" s="1">
        <v>46097</v>
      </c>
      <c r="C332" t="s">
        <v>999</v>
      </c>
      <c r="D332" t="s">
        <v>3415</v>
      </c>
      <c r="E332" s="1">
        <v>46102</v>
      </c>
      <c r="F332" t="s">
        <v>68</v>
      </c>
      <c r="G332" t="s">
        <v>66</v>
      </c>
      <c r="H332" t="s">
        <v>67</v>
      </c>
      <c r="I332" t="s">
        <v>2623</v>
      </c>
      <c r="J332" t="s">
        <v>2701</v>
      </c>
      <c r="K332" t="s">
        <v>52</v>
      </c>
      <c r="L332">
        <v>28</v>
      </c>
      <c r="M332">
        <v>4</v>
      </c>
      <c r="N332">
        <v>10</v>
      </c>
      <c r="O332" t="s">
        <v>1000</v>
      </c>
      <c r="P332" t="s">
        <v>75</v>
      </c>
      <c r="Q332" t="s">
        <v>70</v>
      </c>
      <c r="R332" t="s">
        <v>71</v>
      </c>
      <c r="S332" t="s">
        <v>69</v>
      </c>
      <c r="T332">
        <v>2</v>
      </c>
      <c r="U332">
        <v>34.06</v>
      </c>
      <c r="V332">
        <v>71.180000000000007</v>
      </c>
      <c r="W332">
        <v>5</v>
      </c>
      <c r="X332" t="s">
        <v>34</v>
      </c>
      <c r="Y332">
        <v>2026</v>
      </c>
    </row>
    <row r="333" spans="1:25" x14ac:dyDescent="0.3">
      <c r="A333" t="s">
        <v>1001</v>
      </c>
      <c r="B333" s="1">
        <v>45421</v>
      </c>
      <c r="C333" t="s">
        <v>1002</v>
      </c>
      <c r="D333" t="s">
        <v>3414</v>
      </c>
      <c r="E333" s="1">
        <v>45427</v>
      </c>
      <c r="F333" t="s">
        <v>122</v>
      </c>
      <c r="G333" t="s">
        <v>120</v>
      </c>
      <c r="H333" t="s">
        <v>121</v>
      </c>
      <c r="I333" t="s">
        <v>2622</v>
      </c>
      <c r="J333" t="s">
        <v>2622</v>
      </c>
      <c r="K333" t="s">
        <v>25</v>
      </c>
      <c r="L333">
        <v>25</v>
      </c>
      <c r="M333">
        <v>4</v>
      </c>
      <c r="N333">
        <v>25</v>
      </c>
      <c r="O333" t="s">
        <v>84</v>
      </c>
      <c r="P333" t="s">
        <v>75</v>
      </c>
      <c r="Q333" t="s">
        <v>117</v>
      </c>
      <c r="R333" t="s">
        <v>71</v>
      </c>
      <c r="S333" t="s">
        <v>123</v>
      </c>
      <c r="T333">
        <v>1</v>
      </c>
      <c r="U333">
        <v>713.54</v>
      </c>
      <c r="V333">
        <v>1184.03</v>
      </c>
      <c r="W333">
        <v>6</v>
      </c>
      <c r="X333" t="s">
        <v>49</v>
      </c>
      <c r="Y333">
        <v>2024</v>
      </c>
    </row>
    <row r="334" spans="1:25" x14ac:dyDescent="0.3">
      <c r="A334" t="s">
        <v>1003</v>
      </c>
      <c r="B334" s="1">
        <v>46065</v>
      </c>
      <c r="C334" t="s">
        <v>1004</v>
      </c>
      <c r="D334" t="s">
        <v>3413</v>
      </c>
      <c r="E334" s="1">
        <v>46066</v>
      </c>
      <c r="F334" t="s">
        <v>115</v>
      </c>
      <c r="G334" t="s">
        <v>66</v>
      </c>
      <c r="H334" t="s">
        <v>114</v>
      </c>
      <c r="I334" t="s">
        <v>2632</v>
      </c>
      <c r="J334" t="s">
        <v>2645</v>
      </c>
      <c r="K334" t="s">
        <v>25</v>
      </c>
      <c r="L334">
        <v>54</v>
      </c>
      <c r="M334">
        <v>3</v>
      </c>
      <c r="N334">
        <v>5</v>
      </c>
      <c r="O334" t="s">
        <v>1005</v>
      </c>
      <c r="P334" t="s">
        <v>75</v>
      </c>
      <c r="Q334" t="s">
        <v>42</v>
      </c>
      <c r="R334" t="s">
        <v>62</v>
      </c>
      <c r="S334" t="s">
        <v>116</v>
      </c>
      <c r="T334">
        <v>3</v>
      </c>
      <c r="U334">
        <v>302.52</v>
      </c>
      <c r="V334">
        <v>572.73</v>
      </c>
      <c r="W334">
        <v>1</v>
      </c>
      <c r="X334" t="s">
        <v>34</v>
      </c>
      <c r="Y334">
        <v>2026</v>
      </c>
    </row>
    <row r="335" spans="1:25" x14ac:dyDescent="0.3">
      <c r="A335" t="s">
        <v>1006</v>
      </c>
      <c r="B335" s="1">
        <v>45351</v>
      </c>
      <c r="C335" t="s">
        <v>1007</v>
      </c>
      <c r="D335" t="s">
        <v>3412</v>
      </c>
      <c r="E335" s="1">
        <v>45358</v>
      </c>
      <c r="F335" t="s">
        <v>2617</v>
      </c>
      <c r="G335" t="s">
        <v>27</v>
      </c>
      <c r="H335" t="s">
        <v>28</v>
      </c>
      <c r="I335" t="s">
        <v>2654</v>
      </c>
      <c r="J335" t="s">
        <v>2684</v>
      </c>
      <c r="K335" t="s">
        <v>25</v>
      </c>
      <c r="L335">
        <v>64</v>
      </c>
      <c r="M335">
        <v>3</v>
      </c>
      <c r="N335">
        <v>20</v>
      </c>
      <c r="O335" t="s">
        <v>580</v>
      </c>
      <c r="P335" t="s">
        <v>75</v>
      </c>
      <c r="Q335" t="s">
        <v>58</v>
      </c>
      <c r="R335" t="s">
        <v>71</v>
      </c>
      <c r="S335" t="s">
        <v>30</v>
      </c>
      <c r="T335">
        <v>5</v>
      </c>
      <c r="U335">
        <v>468.12</v>
      </c>
      <c r="V335">
        <v>747.37</v>
      </c>
      <c r="W335">
        <v>7</v>
      </c>
      <c r="X335" t="s">
        <v>34</v>
      </c>
      <c r="Y335">
        <v>2024</v>
      </c>
    </row>
    <row r="336" spans="1:25" x14ac:dyDescent="0.3">
      <c r="A336" t="s">
        <v>1008</v>
      </c>
      <c r="B336" s="1">
        <v>45742</v>
      </c>
      <c r="C336" t="s">
        <v>1009</v>
      </c>
      <c r="D336" t="s">
        <v>3411</v>
      </c>
      <c r="E336" s="1">
        <v>45749</v>
      </c>
      <c r="F336" t="s">
        <v>56</v>
      </c>
      <c r="G336" t="s">
        <v>54</v>
      </c>
      <c r="H336" t="s">
        <v>55</v>
      </c>
      <c r="I336" t="s">
        <v>2625</v>
      </c>
      <c r="J336" t="s">
        <v>2651</v>
      </c>
      <c r="K336" t="s">
        <v>52</v>
      </c>
      <c r="L336">
        <v>44</v>
      </c>
      <c r="M336">
        <v>5</v>
      </c>
      <c r="N336">
        <v>10</v>
      </c>
      <c r="O336" t="s">
        <v>1010</v>
      </c>
      <c r="P336" t="s">
        <v>75</v>
      </c>
      <c r="Q336" t="s">
        <v>31</v>
      </c>
      <c r="R336" t="s">
        <v>62</v>
      </c>
      <c r="S336" t="s">
        <v>57</v>
      </c>
      <c r="T336">
        <v>1</v>
      </c>
      <c r="U336">
        <v>980.35</v>
      </c>
      <c r="V336">
        <v>3199.24</v>
      </c>
      <c r="W336">
        <v>7</v>
      </c>
      <c r="X336" t="s">
        <v>34</v>
      </c>
      <c r="Y336">
        <v>2025</v>
      </c>
    </row>
    <row r="337" spans="1:29" x14ac:dyDescent="0.3">
      <c r="A337" t="s">
        <v>1011</v>
      </c>
      <c r="B337" s="1">
        <v>46123</v>
      </c>
      <c r="C337" t="s">
        <v>1012</v>
      </c>
      <c r="D337" t="s">
        <v>3410</v>
      </c>
      <c r="E337" s="1">
        <v>46128</v>
      </c>
      <c r="F337" t="s">
        <v>140</v>
      </c>
      <c r="G337" t="s">
        <v>38</v>
      </c>
      <c r="H337" t="s">
        <v>139</v>
      </c>
      <c r="I337" t="s">
        <v>2675</v>
      </c>
      <c r="J337" t="s">
        <v>2699</v>
      </c>
      <c r="K337" t="s">
        <v>25</v>
      </c>
      <c r="L337">
        <v>59</v>
      </c>
      <c r="M337">
        <v>4</v>
      </c>
      <c r="N337">
        <v>15</v>
      </c>
      <c r="O337" t="s">
        <v>1013</v>
      </c>
      <c r="P337" t="s">
        <v>44</v>
      </c>
      <c r="Q337" t="s">
        <v>117</v>
      </c>
      <c r="R337" t="s">
        <v>62</v>
      </c>
      <c r="S337" t="s">
        <v>141</v>
      </c>
      <c r="T337">
        <v>4</v>
      </c>
      <c r="U337">
        <v>742.99</v>
      </c>
      <c r="V337">
        <v>1314.7</v>
      </c>
      <c r="W337">
        <v>5</v>
      </c>
      <c r="X337" t="s">
        <v>49</v>
      </c>
      <c r="Y337">
        <v>2026</v>
      </c>
    </row>
    <row r="338" spans="1:29" x14ac:dyDescent="0.3">
      <c r="A338" t="s">
        <v>1014</v>
      </c>
      <c r="B338" s="1">
        <v>46130</v>
      </c>
      <c r="C338" t="s">
        <v>1015</v>
      </c>
      <c r="D338" t="s">
        <v>3409</v>
      </c>
      <c r="E338" s="1">
        <v>46136</v>
      </c>
      <c r="F338" t="s">
        <v>29</v>
      </c>
      <c r="G338" t="s">
        <v>27</v>
      </c>
      <c r="H338" t="s">
        <v>28</v>
      </c>
      <c r="I338" t="s">
        <v>2652</v>
      </c>
      <c r="J338" t="s">
        <v>2706</v>
      </c>
      <c r="K338" t="s">
        <v>52</v>
      </c>
      <c r="L338">
        <v>30</v>
      </c>
      <c r="M338">
        <v>2</v>
      </c>
      <c r="N338">
        <v>10</v>
      </c>
      <c r="O338" t="s">
        <v>580</v>
      </c>
      <c r="P338" t="s">
        <v>33</v>
      </c>
      <c r="Q338" t="s">
        <v>117</v>
      </c>
      <c r="R338" t="s">
        <v>32</v>
      </c>
      <c r="S338" t="s">
        <v>30</v>
      </c>
      <c r="T338">
        <v>5</v>
      </c>
      <c r="U338">
        <v>335.57</v>
      </c>
      <c r="V338">
        <v>463.14</v>
      </c>
      <c r="W338">
        <v>6</v>
      </c>
      <c r="X338" t="s">
        <v>49</v>
      </c>
      <c r="Y338">
        <v>2026</v>
      </c>
    </row>
    <row r="339" spans="1:29" x14ac:dyDescent="0.3">
      <c r="A339" t="s">
        <v>1016</v>
      </c>
      <c r="B339" s="1">
        <v>45583</v>
      </c>
      <c r="C339" t="s">
        <v>1017</v>
      </c>
      <c r="D339" t="s">
        <v>3408</v>
      </c>
      <c r="E339" s="1">
        <v>45584</v>
      </c>
      <c r="F339" t="s">
        <v>29</v>
      </c>
      <c r="G339" t="s">
        <v>27</v>
      </c>
      <c r="H339" t="s">
        <v>28</v>
      </c>
      <c r="I339" t="s">
        <v>2629</v>
      </c>
      <c r="J339" t="s">
        <v>2697</v>
      </c>
      <c r="K339" t="s">
        <v>52</v>
      </c>
      <c r="L339">
        <v>59</v>
      </c>
      <c r="M339">
        <v>3</v>
      </c>
      <c r="N339">
        <v>0</v>
      </c>
      <c r="O339" t="s">
        <v>168</v>
      </c>
      <c r="P339" t="s">
        <v>44</v>
      </c>
      <c r="Q339" t="s">
        <v>58</v>
      </c>
      <c r="R339" t="s">
        <v>43</v>
      </c>
      <c r="S339" t="s">
        <v>30</v>
      </c>
      <c r="T339">
        <v>2</v>
      </c>
      <c r="U339">
        <v>485.06</v>
      </c>
      <c r="V339">
        <v>1092.29</v>
      </c>
      <c r="W339">
        <v>1</v>
      </c>
      <c r="X339" t="s">
        <v>94</v>
      </c>
      <c r="Y339">
        <v>2024</v>
      </c>
    </row>
    <row r="340" spans="1:29" x14ac:dyDescent="0.3">
      <c r="A340" t="s">
        <v>1018</v>
      </c>
      <c r="B340" s="1">
        <v>45718</v>
      </c>
      <c r="C340" t="s">
        <v>1019</v>
      </c>
      <c r="D340" t="s">
        <v>3407</v>
      </c>
      <c r="E340" s="1">
        <v>45719</v>
      </c>
      <c r="F340" t="s">
        <v>56</v>
      </c>
      <c r="G340" t="s">
        <v>54</v>
      </c>
      <c r="H340" t="s">
        <v>55</v>
      </c>
      <c r="I340" t="s">
        <v>2652</v>
      </c>
      <c r="J340" t="s">
        <v>2706</v>
      </c>
      <c r="K340" t="s">
        <v>25</v>
      </c>
      <c r="L340">
        <v>26</v>
      </c>
      <c r="M340">
        <v>2</v>
      </c>
      <c r="N340">
        <v>5</v>
      </c>
      <c r="O340" t="s">
        <v>622</v>
      </c>
      <c r="P340" t="s">
        <v>44</v>
      </c>
      <c r="Q340" t="s">
        <v>31</v>
      </c>
      <c r="R340" t="s">
        <v>43</v>
      </c>
      <c r="S340" t="s">
        <v>57</v>
      </c>
      <c r="T340">
        <v>4</v>
      </c>
      <c r="U340">
        <v>923.56</v>
      </c>
      <c r="V340">
        <v>888.56</v>
      </c>
      <c r="W340">
        <v>1</v>
      </c>
      <c r="X340" t="s">
        <v>34</v>
      </c>
      <c r="Y340">
        <v>2025</v>
      </c>
    </row>
    <row r="341" spans="1:29" x14ac:dyDescent="0.3">
      <c r="A341" t="s">
        <v>1020</v>
      </c>
      <c r="B341" s="1">
        <v>45433</v>
      </c>
      <c r="C341" t="s">
        <v>1021</v>
      </c>
      <c r="D341" t="s">
        <v>3406</v>
      </c>
      <c r="E341" s="1">
        <v>45438</v>
      </c>
      <c r="F341" t="s">
        <v>128</v>
      </c>
      <c r="G341" t="s">
        <v>98</v>
      </c>
      <c r="H341" t="s">
        <v>127</v>
      </c>
      <c r="I341" t="s">
        <v>2659</v>
      </c>
      <c r="J341" t="s">
        <v>2660</v>
      </c>
      <c r="K341" t="s">
        <v>25</v>
      </c>
      <c r="L341">
        <v>33</v>
      </c>
      <c r="M341">
        <v>4</v>
      </c>
      <c r="N341">
        <v>30</v>
      </c>
      <c r="O341" t="s">
        <v>1022</v>
      </c>
      <c r="P341" t="s">
        <v>44</v>
      </c>
      <c r="Q341" t="s">
        <v>58</v>
      </c>
      <c r="R341" t="s">
        <v>32</v>
      </c>
      <c r="S341" t="s">
        <v>129</v>
      </c>
      <c r="T341">
        <v>4</v>
      </c>
      <c r="U341">
        <v>629.97</v>
      </c>
      <c r="V341">
        <v>1423.56</v>
      </c>
      <c r="W341">
        <v>5</v>
      </c>
      <c r="X341" t="s">
        <v>49</v>
      </c>
      <c r="Y341">
        <v>2024</v>
      </c>
    </row>
    <row r="342" spans="1:29" x14ac:dyDescent="0.3">
      <c r="A342" t="s">
        <v>1023</v>
      </c>
      <c r="B342" s="1">
        <v>46078</v>
      </c>
      <c r="C342" t="s">
        <v>1024</v>
      </c>
      <c r="D342" t="s">
        <v>3405</v>
      </c>
      <c r="E342" s="1">
        <v>46080</v>
      </c>
      <c r="F342" t="s">
        <v>122</v>
      </c>
      <c r="G342" t="s">
        <v>120</v>
      </c>
      <c r="H342" t="s">
        <v>121</v>
      </c>
      <c r="I342" t="s">
        <v>2625</v>
      </c>
      <c r="J342" t="s">
        <v>2703</v>
      </c>
      <c r="K342" t="s">
        <v>25</v>
      </c>
      <c r="L342">
        <v>50</v>
      </c>
      <c r="M342">
        <v>2</v>
      </c>
      <c r="N342">
        <v>20</v>
      </c>
      <c r="O342" t="s">
        <v>344</v>
      </c>
      <c r="P342" t="s">
        <v>44</v>
      </c>
      <c r="Q342" t="s">
        <v>58</v>
      </c>
      <c r="R342" t="s">
        <v>43</v>
      </c>
      <c r="S342" t="s">
        <v>123</v>
      </c>
      <c r="T342">
        <v>4</v>
      </c>
      <c r="U342">
        <v>55.43</v>
      </c>
      <c r="V342">
        <v>64.87</v>
      </c>
      <c r="W342">
        <v>2</v>
      </c>
      <c r="X342" t="s">
        <v>34</v>
      </c>
      <c r="Y342">
        <v>2026</v>
      </c>
    </row>
    <row r="343" spans="1:29" x14ac:dyDescent="0.3">
      <c r="A343" t="s">
        <v>1025</v>
      </c>
      <c r="B343" s="1">
        <v>45824</v>
      </c>
      <c r="C343" t="s">
        <v>1026</v>
      </c>
      <c r="D343" t="s">
        <v>3404</v>
      </c>
      <c r="E343" s="1">
        <v>45828</v>
      </c>
      <c r="F343" t="s">
        <v>128</v>
      </c>
      <c r="G343" t="s">
        <v>98</v>
      </c>
      <c r="H343" t="s">
        <v>127</v>
      </c>
      <c r="I343" t="s">
        <v>2632</v>
      </c>
      <c r="J343" t="s">
        <v>2715</v>
      </c>
      <c r="K343" t="s">
        <v>52</v>
      </c>
      <c r="L343">
        <v>63</v>
      </c>
      <c r="M343">
        <v>2</v>
      </c>
      <c r="N343">
        <v>5</v>
      </c>
      <c r="O343" t="s">
        <v>717</v>
      </c>
      <c r="P343" t="s">
        <v>33</v>
      </c>
      <c r="Q343" t="s">
        <v>42</v>
      </c>
      <c r="R343" t="s">
        <v>32</v>
      </c>
      <c r="S343" t="s">
        <v>129</v>
      </c>
      <c r="T343">
        <v>4</v>
      </c>
      <c r="U343">
        <v>21.91</v>
      </c>
      <c r="V343">
        <v>25.39</v>
      </c>
      <c r="W343">
        <v>4</v>
      </c>
      <c r="X343" t="s">
        <v>49</v>
      </c>
      <c r="Y343">
        <v>2025</v>
      </c>
    </row>
    <row r="344" spans="1:29" x14ac:dyDescent="0.3">
      <c r="A344" t="s">
        <v>1027</v>
      </c>
      <c r="B344" s="1">
        <v>45725</v>
      </c>
      <c r="C344" t="s">
        <v>1028</v>
      </c>
      <c r="D344" t="s">
        <v>3403</v>
      </c>
      <c r="E344" s="1">
        <v>45729</v>
      </c>
      <c r="F344" t="s">
        <v>100</v>
      </c>
      <c r="G344" t="s">
        <v>98</v>
      </c>
      <c r="H344" t="s">
        <v>99</v>
      </c>
      <c r="I344" t="s">
        <v>2633</v>
      </c>
      <c r="J344" t="s">
        <v>2636</v>
      </c>
      <c r="K344" t="s">
        <v>25</v>
      </c>
      <c r="L344">
        <v>26</v>
      </c>
      <c r="M344">
        <v>2</v>
      </c>
      <c r="N344">
        <v>0</v>
      </c>
      <c r="O344" t="s">
        <v>1029</v>
      </c>
      <c r="P344" t="s">
        <v>44</v>
      </c>
      <c r="Q344" t="s">
        <v>31</v>
      </c>
      <c r="R344" t="s">
        <v>71</v>
      </c>
      <c r="S344" t="s">
        <v>101</v>
      </c>
      <c r="T344">
        <v>2</v>
      </c>
      <c r="U344">
        <v>415.24</v>
      </c>
      <c r="V344">
        <v>450.53</v>
      </c>
      <c r="W344">
        <v>4</v>
      </c>
      <c r="X344" t="s">
        <v>34</v>
      </c>
      <c r="Y344">
        <v>2025</v>
      </c>
    </row>
    <row r="345" spans="1:29" x14ac:dyDescent="0.3">
      <c r="A345" t="s">
        <v>1030</v>
      </c>
      <c r="B345" s="1">
        <v>46180</v>
      </c>
      <c r="C345" t="s">
        <v>1031</v>
      </c>
      <c r="D345" t="s">
        <v>3402</v>
      </c>
      <c r="E345" s="1">
        <v>46187</v>
      </c>
      <c r="F345" t="s">
        <v>115</v>
      </c>
      <c r="G345" t="s">
        <v>66</v>
      </c>
      <c r="H345" t="s">
        <v>114</v>
      </c>
      <c r="I345" t="s">
        <v>2663</v>
      </c>
      <c r="J345" t="s">
        <v>2664</v>
      </c>
      <c r="K345" t="s">
        <v>25</v>
      </c>
      <c r="L345">
        <v>65</v>
      </c>
      <c r="M345">
        <v>3</v>
      </c>
      <c r="N345">
        <v>25</v>
      </c>
      <c r="O345" t="s">
        <v>1032</v>
      </c>
      <c r="P345" t="s">
        <v>75</v>
      </c>
      <c r="Q345" t="s">
        <v>31</v>
      </c>
      <c r="R345" t="s">
        <v>32</v>
      </c>
      <c r="S345" t="s">
        <v>116</v>
      </c>
      <c r="T345">
        <v>3</v>
      </c>
      <c r="U345">
        <v>821.05</v>
      </c>
      <c r="V345">
        <v>1215.29</v>
      </c>
      <c r="W345">
        <v>7</v>
      </c>
      <c r="X345" t="s">
        <v>49</v>
      </c>
      <c r="Y345">
        <v>2026</v>
      </c>
    </row>
    <row r="346" spans="1:29" x14ac:dyDescent="0.3">
      <c r="A346" t="s">
        <v>1033</v>
      </c>
      <c r="B346" s="1">
        <v>45676</v>
      </c>
      <c r="C346" t="s">
        <v>1034</v>
      </c>
      <c r="D346" t="s">
        <v>3401</v>
      </c>
      <c r="E346" s="1">
        <v>45682</v>
      </c>
      <c r="F346" t="s">
        <v>56</v>
      </c>
      <c r="G346" t="s">
        <v>54</v>
      </c>
      <c r="H346" t="s">
        <v>55</v>
      </c>
      <c r="I346" t="s">
        <v>2632</v>
      </c>
      <c r="J346" t="s">
        <v>2646</v>
      </c>
      <c r="K346" t="s">
        <v>52</v>
      </c>
      <c r="L346">
        <v>22</v>
      </c>
      <c r="M346">
        <v>5</v>
      </c>
      <c r="N346">
        <v>15</v>
      </c>
      <c r="O346" t="s">
        <v>1035</v>
      </c>
      <c r="P346" t="s">
        <v>33</v>
      </c>
      <c r="Q346" t="s">
        <v>58</v>
      </c>
      <c r="R346" t="s">
        <v>71</v>
      </c>
      <c r="S346" t="s">
        <v>57</v>
      </c>
      <c r="T346">
        <v>5</v>
      </c>
      <c r="U346">
        <v>17.75</v>
      </c>
      <c r="V346">
        <v>48.45</v>
      </c>
      <c r="W346">
        <v>6</v>
      </c>
      <c r="X346" t="s">
        <v>34</v>
      </c>
      <c r="Y346">
        <v>2025</v>
      </c>
    </row>
    <row r="347" spans="1:29" x14ac:dyDescent="0.3">
      <c r="A347" t="s">
        <v>1036</v>
      </c>
      <c r="B347" s="1">
        <v>45501</v>
      </c>
      <c r="C347" t="s">
        <v>1037</v>
      </c>
      <c r="D347" t="s">
        <v>3400</v>
      </c>
      <c r="E347" s="1">
        <v>45503</v>
      </c>
      <c r="F347" t="s">
        <v>29</v>
      </c>
      <c r="G347" t="s">
        <v>27</v>
      </c>
      <c r="H347" t="s">
        <v>28</v>
      </c>
      <c r="I347" t="s">
        <v>2623</v>
      </c>
      <c r="J347" t="s">
        <v>2624</v>
      </c>
      <c r="K347" t="s">
        <v>25</v>
      </c>
      <c r="L347">
        <v>20</v>
      </c>
      <c r="M347">
        <v>5</v>
      </c>
      <c r="N347">
        <v>25</v>
      </c>
      <c r="O347" t="s">
        <v>1038</v>
      </c>
      <c r="P347" t="s">
        <v>33</v>
      </c>
      <c r="Q347" t="s">
        <v>42</v>
      </c>
      <c r="R347" t="s">
        <v>43</v>
      </c>
      <c r="S347" t="s">
        <v>30</v>
      </c>
      <c r="T347">
        <v>3</v>
      </c>
      <c r="U347">
        <v>822.01</v>
      </c>
      <c r="V347">
        <v>2276.75</v>
      </c>
      <c r="W347">
        <v>2</v>
      </c>
      <c r="X347" t="s">
        <v>45</v>
      </c>
      <c r="Y347">
        <v>2024</v>
      </c>
    </row>
    <row r="348" spans="1:29" x14ac:dyDescent="0.3">
      <c r="A348" t="s">
        <v>1039</v>
      </c>
      <c r="B348" s="1">
        <v>46130</v>
      </c>
      <c r="C348" t="s">
        <v>1040</v>
      </c>
      <c r="D348" t="s">
        <v>3399</v>
      </c>
      <c r="E348" s="1">
        <v>46133</v>
      </c>
      <c r="F348" t="s">
        <v>128</v>
      </c>
      <c r="G348" t="s">
        <v>98</v>
      </c>
      <c r="H348" t="s">
        <v>127</v>
      </c>
      <c r="I348" t="s">
        <v>2672</v>
      </c>
      <c r="J348" t="s">
        <v>2716</v>
      </c>
      <c r="K348" t="s">
        <v>25</v>
      </c>
      <c r="L348">
        <v>52</v>
      </c>
      <c r="M348">
        <v>5</v>
      </c>
      <c r="N348">
        <v>25</v>
      </c>
      <c r="O348" t="s">
        <v>1041</v>
      </c>
      <c r="P348" t="s">
        <v>75</v>
      </c>
      <c r="Q348" t="s">
        <v>42</v>
      </c>
      <c r="R348" t="s">
        <v>43</v>
      </c>
      <c r="S348" t="s">
        <v>129</v>
      </c>
      <c r="T348">
        <v>1</v>
      </c>
      <c r="U348">
        <v>325.39</v>
      </c>
      <c r="V348">
        <v>753.23</v>
      </c>
      <c r="W348">
        <v>3</v>
      </c>
      <c r="X348" t="s">
        <v>49</v>
      </c>
      <c r="Y348">
        <v>2026</v>
      </c>
    </row>
    <row r="349" spans="1:29" x14ac:dyDescent="0.3">
      <c r="A349" t="s">
        <v>1042</v>
      </c>
      <c r="B349" s="1">
        <v>45577</v>
      </c>
      <c r="C349" t="s">
        <v>1043</v>
      </c>
      <c r="D349" t="s">
        <v>3398</v>
      </c>
      <c r="E349" s="1">
        <v>45583</v>
      </c>
      <c r="F349" t="s">
        <v>40</v>
      </c>
      <c r="G349" t="s">
        <v>38</v>
      </c>
      <c r="H349" t="s">
        <v>39</v>
      </c>
      <c r="I349" t="s">
        <v>2672</v>
      </c>
      <c r="J349" t="s">
        <v>2716</v>
      </c>
      <c r="K349" t="s">
        <v>25</v>
      </c>
      <c r="L349">
        <v>28</v>
      </c>
      <c r="M349">
        <v>4</v>
      </c>
      <c r="N349">
        <v>30</v>
      </c>
      <c r="O349" t="s">
        <v>1044</v>
      </c>
      <c r="P349" t="s">
        <v>75</v>
      </c>
      <c r="Q349" t="s">
        <v>58</v>
      </c>
      <c r="R349" t="s">
        <v>71</v>
      </c>
      <c r="S349" t="s">
        <v>41</v>
      </c>
      <c r="T349">
        <v>4</v>
      </c>
      <c r="U349">
        <v>793.03</v>
      </c>
      <c r="V349">
        <v>1776.87</v>
      </c>
      <c r="W349">
        <v>6</v>
      </c>
      <c r="X349" t="s">
        <v>94</v>
      </c>
      <c r="Y349">
        <v>2024</v>
      </c>
    </row>
    <row r="350" spans="1:29" x14ac:dyDescent="0.3">
      <c r="A350" t="s">
        <v>1045</v>
      </c>
      <c r="B350" s="1">
        <v>45675</v>
      </c>
      <c r="C350" t="s">
        <v>1046</v>
      </c>
      <c r="D350" t="s">
        <v>3397</v>
      </c>
      <c r="E350" s="1">
        <v>45679</v>
      </c>
      <c r="F350" t="s">
        <v>29</v>
      </c>
      <c r="G350" t="s">
        <v>27</v>
      </c>
      <c r="H350" t="s">
        <v>28</v>
      </c>
      <c r="I350" t="s">
        <v>2627</v>
      </c>
      <c r="J350" t="s">
        <v>2717</v>
      </c>
      <c r="K350" t="s">
        <v>52</v>
      </c>
      <c r="L350">
        <v>36</v>
      </c>
      <c r="M350">
        <v>4</v>
      </c>
      <c r="N350">
        <v>5</v>
      </c>
      <c r="O350" t="s">
        <v>1047</v>
      </c>
      <c r="P350" t="s">
        <v>33</v>
      </c>
      <c r="Q350" t="s">
        <v>117</v>
      </c>
      <c r="R350" t="s">
        <v>43</v>
      </c>
      <c r="S350" t="s">
        <v>30</v>
      </c>
      <c r="T350">
        <v>4</v>
      </c>
      <c r="U350">
        <v>933.46</v>
      </c>
      <c r="V350">
        <v>2629.59</v>
      </c>
      <c r="W350">
        <v>4</v>
      </c>
      <c r="X350" t="s">
        <v>34</v>
      </c>
      <c r="Y350">
        <v>2025</v>
      </c>
      <c r="AA350" s="2"/>
      <c r="AB350" s="4"/>
      <c r="AC350" s="5"/>
    </row>
    <row r="351" spans="1:29" x14ac:dyDescent="0.3">
      <c r="A351" t="s">
        <v>1048</v>
      </c>
      <c r="B351" s="1">
        <v>45536</v>
      </c>
      <c r="C351" t="s">
        <v>1049</v>
      </c>
      <c r="D351" t="s">
        <v>3396</v>
      </c>
      <c r="E351" s="1">
        <v>45543</v>
      </c>
      <c r="F351" t="s">
        <v>122</v>
      </c>
      <c r="G351" t="s">
        <v>120</v>
      </c>
      <c r="H351" t="s">
        <v>121</v>
      </c>
      <c r="I351" t="s">
        <v>2679</v>
      </c>
      <c r="J351" t="s">
        <v>2707</v>
      </c>
      <c r="K351" t="s">
        <v>52</v>
      </c>
      <c r="L351">
        <v>31</v>
      </c>
      <c r="M351">
        <v>4</v>
      </c>
      <c r="N351">
        <v>15</v>
      </c>
      <c r="O351" t="s">
        <v>948</v>
      </c>
      <c r="P351" t="s">
        <v>44</v>
      </c>
      <c r="Q351" t="s">
        <v>58</v>
      </c>
      <c r="R351" t="s">
        <v>62</v>
      </c>
      <c r="S351" t="s">
        <v>123</v>
      </c>
      <c r="T351">
        <v>5</v>
      </c>
      <c r="U351">
        <v>885.96</v>
      </c>
      <c r="V351">
        <v>2127.16</v>
      </c>
      <c r="W351">
        <v>7</v>
      </c>
      <c r="X351" t="s">
        <v>45</v>
      </c>
      <c r="Y351">
        <v>2024</v>
      </c>
      <c r="AA351" s="5" t="s">
        <v>2618</v>
      </c>
      <c r="AB351" s="3">
        <v>245000</v>
      </c>
      <c r="AC351" s="5">
        <v>180000</v>
      </c>
    </row>
    <row r="352" spans="1:29" ht="28.8" x14ac:dyDescent="0.3">
      <c r="A352" t="s">
        <v>1050</v>
      </c>
      <c r="B352" s="1">
        <v>46084</v>
      </c>
      <c r="C352" t="s">
        <v>1051</v>
      </c>
      <c r="D352" t="s">
        <v>3395</v>
      </c>
      <c r="E352" s="1">
        <v>46087</v>
      </c>
      <c r="F352" t="s">
        <v>122</v>
      </c>
      <c r="G352" t="s">
        <v>120</v>
      </c>
      <c r="H352" t="s">
        <v>121</v>
      </c>
      <c r="I352" t="s">
        <v>2668</v>
      </c>
      <c r="J352" t="s">
        <v>2669</v>
      </c>
      <c r="K352" t="s">
        <v>25</v>
      </c>
      <c r="L352">
        <v>53</v>
      </c>
      <c r="M352">
        <v>4</v>
      </c>
      <c r="N352">
        <v>10</v>
      </c>
      <c r="O352" t="s">
        <v>1052</v>
      </c>
      <c r="P352" t="s">
        <v>75</v>
      </c>
      <c r="Q352" t="s">
        <v>31</v>
      </c>
      <c r="R352" t="s">
        <v>43</v>
      </c>
      <c r="S352" t="s">
        <v>123</v>
      </c>
      <c r="T352">
        <v>2</v>
      </c>
      <c r="U352">
        <v>900.85</v>
      </c>
      <c r="V352">
        <v>1947.89</v>
      </c>
      <c r="W352">
        <v>3</v>
      </c>
      <c r="X352" t="s">
        <v>34</v>
      </c>
      <c r="Y352">
        <v>2026</v>
      </c>
      <c r="AA352" s="5" t="s">
        <v>2619</v>
      </c>
      <c r="AB352" s="3">
        <v>180000</v>
      </c>
      <c r="AC352" s="5">
        <v>95000</v>
      </c>
    </row>
    <row r="353" spans="1:29" x14ac:dyDescent="0.3">
      <c r="A353" t="s">
        <v>1053</v>
      </c>
      <c r="B353" s="1">
        <v>45979</v>
      </c>
      <c r="C353" t="s">
        <v>1054</v>
      </c>
      <c r="D353" t="s">
        <v>3394</v>
      </c>
      <c r="E353" s="1">
        <v>45982</v>
      </c>
      <c r="F353" t="s">
        <v>29</v>
      </c>
      <c r="G353" t="s">
        <v>27</v>
      </c>
      <c r="H353" t="s">
        <v>28</v>
      </c>
      <c r="I353" t="s">
        <v>2629</v>
      </c>
      <c r="J353" t="s">
        <v>2709</v>
      </c>
      <c r="K353" t="s">
        <v>25</v>
      </c>
      <c r="L353">
        <v>44</v>
      </c>
      <c r="M353">
        <v>4</v>
      </c>
      <c r="N353">
        <v>25</v>
      </c>
      <c r="O353" t="s">
        <v>1055</v>
      </c>
      <c r="P353" t="s">
        <v>75</v>
      </c>
      <c r="Q353" t="s">
        <v>58</v>
      </c>
      <c r="R353" t="s">
        <v>62</v>
      </c>
      <c r="S353" t="s">
        <v>30</v>
      </c>
      <c r="T353">
        <v>4</v>
      </c>
      <c r="U353">
        <v>816.64</v>
      </c>
      <c r="V353">
        <v>1632.86</v>
      </c>
      <c r="W353">
        <v>3</v>
      </c>
      <c r="X353" t="s">
        <v>94</v>
      </c>
      <c r="Y353">
        <v>2025</v>
      </c>
      <c r="AA353" s="5"/>
      <c r="AB353" s="3"/>
      <c r="AC353" s="5"/>
    </row>
    <row r="354" spans="1:29" x14ac:dyDescent="0.3">
      <c r="A354" t="s">
        <v>1056</v>
      </c>
      <c r="B354" s="1">
        <v>45604</v>
      </c>
      <c r="C354" t="s">
        <v>483</v>
      </c>
      <c r="D354" t="s">
        <v>3393</v>
      </c>
      <c r="E354" s="1">
        <v>45610</v>
      </c>
      <c r="F354" t="s">
        <v>115</v>
      </c>
      <c r="G354" t="s">
        <v>66</v>
      </c>
      <c r="H354" t="s">
        <v>114</v>
      </c>
      <c r="I354" t="s">
        <v>2663</v>
      </c>
      <c r="J354" t="s">
        <v>2670</v>
      </c>
      <c r="K354" t="s">
        <v>25</v>
      </c>
      <c r="L354">
        <v>32</v>
      </c>
      <c r="M354">
        <v>2</v>
      </c>
      <c r="N354">
        <v>15</v>
      </c>
      <c r="O354" t="s">
        <v>758</v>
      </c>
      <c r="P354" t="s">
        <v>44</v>
      </c>
      <c r="Q354" t="s">
        <v>58</v>
      </c>
      <c r="R354" t="s">
        <v>32</v>
      </c>
      <c r="S354" t="s">
        <v>116</v>
      </c>
      <c r="T354">
        <v>2</v>
      </c>
      <c r="U354">
        <v>991.84</v>
      </c>
      <c r="V354">
        <v>1175.06</v>
      </c>
      <c r="W354">
        <v>6</v>
      </c>
      <c r="X354" t="s">
        <v>94</v>
      </c>
      <c r="Y354">
        <v>2024</v>
      </c>
      <c r="AA354" s="5" t="s">
        <v>2620</v>
      </c>
      <c r="AB354" s="3">
        <v>120000</v>
      </c>
    </row>
    <row r="355" spans="1:29" x14ac:dyDescent="0.3">
      <c r="A355" t="s">
        <v>1057</v>
      </c>
      <c r="B355" s="1">
        <v>45424</v>
      </c>
      <c r="C355" t="s">
        <v>1058</v>
      </c>
      <c r="D355" t="s">
        <v>3392</v>
      </c>
      <c r="E355" s="1">
        <v>45425</v>
      </c>
      <c r="F355" t="s">
        <v>122</v>
      </c>
      <c r="G355" t="s">
        <v>120</v>
      </c>
      <c r="H355" t="s">
        <v>121</v>
      </c>
      <c r="I355" t="s">
        <v>2625</v>
      </c>
      <c r="J355" t="s">
        <v>2651</v>
      </c>
      <c r="K355" t="s">
        <v>52</v>
      </c>
      <c r="L355">
        <v>20</v>
      </c>
      <c r="M355">
        <v>5</v>
      </c>
      <c r="N355">
        <v>25</v>
      </c>
      <c r="O355" t="s">
        <v>1059</v>
      </c>
      <c r="P355" t="s">
        <v>33</v>
      </c>
      <c r="Q355" t="s">
        <v>42</v>
      </c>
      <c r="R355" t="s">
        <v>62</v>
      </c>
      <c r="S355" t="s">
        <v>123</v>
      </c>
      <c r="T355">
        <v>5</v>
      </c>
      <c r="U355">
        <v>383.3</v>
      </c>
      <c r="V355">
        <v>1043.9100000000001</v>
      </c>
      <c r="W355">
        <v>1</v>
      </c>
      <c r="X355" t="s">
        <v>49</v>
      </c>
      <c r="Y355">
        <v>2024</v>
      </c>
      <c r="AA355" s="5" t="s">
        <v>2621</v>
      </c>
      <c r="AB355" s="3">
        <v>140000</v>
      </c>
      <c r="AC355" s="3">
        <v>140000</v>
      </c>
    </row>
    <row r="356" spans="1:29" x14ac:dyDescent="0.3">
      <c r="A356" t="s">
        <v>1060</v>
      </c>
      <c r="B356" s="1">
        <v>45604</v>
      </c>
      <c r="C356" t="s">
        <v>1061</v>
      </c>
      <c r="D356" t="s">
        <v>3391</v>
      </c>
      <c r="E356" s="1">
        <v>45609</v>
      </c>
      <c r="F356" t="s">
        <v>56</v>
      </c>
      <c r="G356" t="s">
        <v>54</v>
      </c>
      <c r="H356" t="s">
        <v>55</v>
      </c>
      <c r="I356" t="s">
        <v>2659</v>
      </c>
      <c r="J356" t="s">
        <v>2718</v>
      </c>
      <c r="K356" t="s">
        <v>52</v>
      </c>
      <c r="L356">
        <v>44</v>
      </c>
      <c r="M356">
        <v>4</v>
      </c>
      <c r="N356">
        <v>30</v>
      </c>
      <c r="O356" t="s">
        <v>1062</v>
      </c>
      <c r="P356" t="s">
        <v>75</v>
      </c>
      <c r="Q356" t="s">
        <v>70</v>
      </c>
      <c r="R356" t="s">
        <v>43</v>
      </c>
      <c r="S356" t="s">
        <v>57</v>
      </c>
      <c r="T356">
        <v>2</v>
      </c>
      <c r="U356">
        <v>588.14</v>
      </c>
      <c r="V356">
        <v>1150.6500000000001</v>
      </c>
      <c r="W356">
        <v>5</v>
      </c>
      <c r="X356" t="s">
        <v>94</v>
      </c>
      <c r="Y356">
        <v>2024</v>
      </c>
    </row>
    <row r="357" spans="1:29" x14ac:dyDescent="0.3">
      <c r="A357" t="s">
        <v>1063</v>
      </c>
      <c r="B357" s="1">
        <v>45741</v>
      </c>
      <c r="C357" t="s">
        <v>1064</v>
      </c>
      <c r="D357" t="s">
        <v>3390</v>
      </c>
      <c r="E357" s="1">
        <v>45746</v>
      </c>
      <c r="F357" t="s">
        <v>122</v>
      </c>
      <c r="G357" t="s">
        <v>120</v>
      </c>
      <c r="H357" t="s">
        <v>121</v>
      </c>
      <c r="I357" t="s">
        <v>2631</v>
      </c>
      <c r="J357" t="s">
        <v>2694</v>
      </c>
      <c r="K357" t="s">
        <v>25</v>
      </c>
      <c r="L357">
        <v>19</v>
      </c>
      <c r="M357">
        <v>1</v>
      </c>
      <c r="N357">
        <v>20</v>
      </c>
      <c r="O357" t="s">
        <v>1065</v>
      </c>
      <c r="P357" t="s">
        <v>33</v>
      </c>
      <c r="Q357" t="s">
        <v>117</v>
      </c>
      <c r="R357" t="s">
        <v>71</v>
      </c>
      <c r="S357" t="s">
        <v>123</v>
      </c>
      <c r="T357">
        <v>1</v>
      </c>
      <c r="U357">
        <v>23.62</v>
      </c>
      <c r="V357">
        <v>9.84</v>
      </c>
      <c r="W357">
        <v>5</v>
      </c>
      <c r="X357" t="s">
        <v>34</v>
      </c>
      <c r="Y357">
        <v>2025</v>
      </c>
    </row>
    <row r="358" spans="1:29" x14ac:dyDescent="0.3">
      <c r="A358" t="s">
        <v>1066</v>
      </c>
      <c r="B358" s="1">
        <v>45405</v>
      </c>
      <c r="C358" t="s">
        <v>1067</v>
      </c>
      <c r="D358" t="s">
        <v>3389</v>
      </c>
      <c r="E358" s="1">
        <v>45406</v>
      </c>
      <c r="F358" t="s">
        <v>100</v>
      </c>
      <c r="G358" t="s">
        <v>98</v>
      </c>
      <c r="H358" t="s">
        <v>99</v>
      </c>
      <c r="I358" t="s">
        <v>2661</v>
      </c>
      <c r="J358" t="s">
        <v>2662</v>
      </c>
      <c r="K358" t="s">
        <v>25</v>
      </c>
      <c r="L358">
        <v>30</v>
      </c>
      <c r="M358">
        <v>1</v>
      </c>
      <c r="N358">
        <v>15</v>
      </c>
      <c r="O358" t="s">
        <v>461</v>
      </c>
      <c r="P358" t="s">
        <v>75</v>
      </c>
      <c r="Q358" t="s">
        <v>31</v>
      </c>
      <c r="R358" t="s">
        <v>32</v>
      </c>
      <c r="S358" t="s">
        <v>101</v>
      </c>
      <c r="T358">
        <v>5</v>
      </c>
      <c r="U358">
        <v>829.4</v>
      </c>
      <c r="V358">
        <v>421.76</v>
      </c>
      <c r="W358">
        <v>1</v>
      </c>
      <c r="X358" t="s">
        <v>49</v>
      </c>
      <c r="Y358">
        <v>2024</v>
      </c>
    </row>
    <row r="359" spans="1:29" x14ac:dyDescent="0.3">
      <c r="A359" t="s">
        <v>1068</v>
      </c>
      <c r="B359" s="1">
        <v>45772</v>
      </c>
      <c r="C359" t="s">
        <v>1069</v>
      </c>
      <c r="D359" t="s">
        <v>3388</v>
      </c>
      <c r="E359" s="1">
        <v>45777</v>
      </c>
      <c r="F359" t="s">
        <v>68</v>
      </c>
      <c r="G359" t="s">
        <v>66</v>
      </c>
      <c r="H359" t="s">
        <v>67</v>
      </c>
      <c r="I359" t="s">
        <v>2672</v>
      </c>
      <c r="J359" t="s">
        <v>2716</v>
      </c>
      <c r="K359" t="s">
        <v>25</v>
      </c>
      <c r="L359">
        <v>23</v>
      </c>
      <c r="M359">
        <v>3</v>
      </c>
      <c r="N359">
        <v>30</v>
      </c>
      <c r="O359" t="s">
        <v>1070</v>
      </c>
      <c r="P359" t="s">
        <v>33</v>
      </c>
      <c r="Q359" t="s">
        <v>117</v>
      </c>
      <c r="R359" t="s">
        <v>32</v>
      </c>
      <c r="S359" t="s">
        <v>69</v>
      </c>
      <c r="T359">
        <v>2</v>
      </c>
      <c r="U359">
        <v>702.78</v>
      </c>
      <c r="V359">
        <v>1190.57</v>
      </c>
      <c r="W359">
        <v>5</v>
      </c>
      <c r="X359" t="s">
        <v>49</v>
      </c>
      <c r="Y359">
        <v>2025</v>
      </c>
    </row>
    <row r="360" spans="1:29" x14ac:dyDescent="0.3">
      <c r="A360" t="s">
        <v>1071</v>
      </c>
      <c r="B360" s="1">
        <v>45921</v>
      </c>
      <c r="C360" t="s">
        <v>1072</v>
      </c>
      <c r="D360" t="s">
        <v>3387</v>
      </c>
      <c r="E360" s="1">
        <v>45923</v>
      </c>
      <c r="F360" t="s">
        <v>68</v>
      </c>
      <c r="G360" t="s">
        <v>66</v>
      </c>
      <c r="H360" t="s">
        <v>67</v>
      </c>
      <c r="I360" t="s">
        <v>2629</v>
      </c>
      <c r="J360" t="s">
        <v>2630</v>
      </c>
      <c r="K360" t="s">
        <v>25</v>
      </c>
      <c r="L360">
        <v>49</v>
      </c>
      <c r="M360">
        <v>3</v>
      </c>
      <c r="N360">
        <v>20</v>
      </c>
      <c r="O360" t="s">
        <v>1073</v>
      </c>
      <c r="P360" t="s">
        <v>75</v>
      </c>
      <c r="Q360" t="s">
        <v>42</v>
      </c>
      <c r="R360" t="s">
        <v>32</v>
      </c>
      <c r="S360" t="s">
        <v>69</v>
      </c>
      <c r="T360">
        <v>4</v>
      </c>
      <c r="U360">
        <v>167</v>
      </c>
      <c r="V360">
        <v>201.57</v>
      </c>
      <c r="W360">
        <v>2</v>
      </c>
      <c r="X360" t="s">
        <v>45</v>
      </c>
      <c r="Y360">
        <v>2025</v>
      </c>
    </row>
    <row r="361" spans="1:29" x14ac:dyDescent="0.3">
      <c r="A361" t="s">
        <v>1074</v>
      </c>
      <c r="B361" s="1">
        <v>45398</v>
      </c>
      <c r="C361" t="s">
        <v>1075</v>
      </c>
      <c r="D361" t="s">
        <v>3386</v>
      </c>
      <c r="E361" s="1">
        <v>45404</v>
      </c>
      <c r="F361" t="s">
        <v>115</v>
      </c>
      <c r="G361" t="s">
        <v>66</v>
      </c>
      <c r="H361" t="s">
        <v>114</v>
      </c>
      <c r="I361" t="s">
        <v>2663</v>
      </c>
      <c r="J361" t="s">
        <v>2664</v>
      </c>
      <c r="K361" t="s">
        <v>25</v>
      </c>
      <c r="L361">
        <v>50</v>
      </c>
      <c r="M361">
        <v>5</v>
      </c>
      <c r="N361">
        <v>5</v>
      </c>
      <c r="O361" t="s">
        <v>1076</v>
      </c>
      <c r="P361" t="s">
        <v>33</v>
      </c>
      <c r="Q361" t="s">
        <v>70</v>
      </c>
      <c r="R361" t="s">
        <v>71</v>
      </c>
      <c r="S361" t="s">
        <v>116</v>
      </c>
      <c r="T361">
        <v>2</v>
      </c>
      <c r="U361">
        <v>788.76</v>
      </c>
      <c r="V361">
        <v>2473.92</v>
      </c>
      <c r="W361">
        <v>6</v>
      </c>
      <c r="X361" t="s">
        <v>49</v>
      </c>
      <c r="Y361">
        <v>2024</v>
      </c>
    </row>
    <row r="362" spans="1:29" x14ac:dyDescent="0.3">
      <c r="A362" t="s">
        <v>1077</v>
      </c>
      <c r="B362" s="1">
        <v>45449</v>
      </c>
      <c r="C362" t="s">
        <v>1078</v>
      </c>
      <c r="D362" t="s">
        <v>3385</v>
      </c>
      <c r="E362" s="1">
        <v>45455</v>
      </c>
      <c r="F362" t="s">
        <v>122</v>
      </c>
      <c r="G362" t="s">
        <v>120</v>
      </c>
      <c r="H362" t="s">
        <v>121</v>
      </c>
      <c r="I362" t="s">
        <v>2641</v>
      </c>
      <c r="J362" t="s">
        <v>2642</v>
      </c>
      <c r="K362" t="s">
        <v>25</v>
      </c>
      <c r="L362">
        <v>25</v>
      </c>
      <c r="M362">
        <v>2</v>
      </c>
      <c r="N362">
        <v>15</v>
      </c>
      <c r="O362" t="s">
        <v>1079</v>
      </c>
      <c r="P362" t="s">
        <v>33</v>
      </c>
      <c r="Q362" t="s">
        <v>31</v>
      </c>
      <c r="R362" t="s">
        <v>32</v>
      </c>
      <c r="S362" t="s">
        <v>123</v>
      </c>
      <c r="T362">
        <v>5</v>
      </c>
      <c r="U362">
        <v>979.52</v>
      </c>
      <c r="V362">
        <v>976.44</v>
      </c>
      <c r="W362">
        <v>6</v>
      </c>
      <c r="X362" t="s">
        <v>49</v>
      </c>
      <c r="Y362">
        <v>2024</v>
      </c>
    </row>
    <row r="363" spans="1:29" x14ac:dyDescent="0.3">
      <c r="A363" t="s">
        <v>1080</v>
      </c>
      <c r="B363" s="1">
        <v>45599</v>
      </c>
      <c r="C363" t="s">
        <v>1081</v>
      </c>
      <c r="D363" t="s">
        <v>3384</v>
      </c>
      <c r="E363" s="1">
        <v>45606</v>
      </c>
      <c r="F363" t="s">
        <v>115</v>
      </c>
      <c r="G363" t="s">
        <v>66</v>
      </c>
      <c r="H363" t="s">
        <v>114</v>
      </c>
      <c r="I363" t="s">
        <v>2625</v>
      </c>
      <c r="J363" t="s">
        <v>2667</v>
      </c>
      <c r="K363" t="s">
        <v>52</v>
      </c>
      <c r="L363">
        <v>35</v>
      </c>
      <c r="M363">
        <v>5</v>
      </c>
      <c r="N363">
        <v>20</v>
      </c>
      <c r="O363" t="s">
        <v>1082</v>
      </c>
      <c r="P363" t="s">
        <v>75</v>
      </c>
      <c r="Q363" t="s">
        <v>117</v>
      </c>
      <c r="R363" t="s">
        <v>62</v>
      </c>
      <c r="S363" t="s">
        <v>116</v>
      </c>
      <c r="T363">
        <v>3</v>
      </c>
      <c r="U363">
        <v>957.29</v>
      </c>
      <c r="V363">
        <v>2523.84</v>
      </c>
      <c r="W363">
        <v>7</v>
      </c>
      <c r="X363" t="s">
        <v>94</v>
      </c>
      <c r="Y363">
        <v>2024</v>
      </c>
    </row>
    <row r="364" spans="1:29" x14ac:dyDescent="0.3">
      <c r="A364" t="s">
        <v>1083</v>
      </c>
      <c r="B364" s="1">
        <v>45818</v>
      </c>
      <c r="C364" t="s">
        <v>416</v>
      </c>
      <c r="D364" t="s">
        <v>3383</v>
      </c>
      <c r="E364" s="1">
        <v>45825</v>
      </c>
      <c r="F364" t="s">
        <v>140</v>
      </c>
      <c r="G364" t="s">
        <v>38</v>
      </c>
      <c r="H364" t="s">
        <v>139</v>
      </c>
      <c r="I364" t="s">
        <v>2631</v>
      </c>
      <c r="J364" t="s">
        <v>2694</v>
      </c>
      <c r="K364" t="s">
        <v>25</v>
      </c>
      <c r="L364">
        <v>30</v>
      </c>
      <c r="M364">
        <v>3</v>
      </c>
      <c r="N364">
        <v>30</v>
      </c>
      <c r="O364" t="s">
        <v>1084</v>
      </c>
      <c r="P364" t="s">
        <v>44</v>
      </c>
      <c r="Q364" t="s">
        <v>117</v>
      </c>
      <c r="R364" t="s">
        <v>32</v>
      </c>
      <c r="S364" t="s">
        <v>141</v>
      </c>
      <c r="T364">
        <v>3</v>
      </c>
      <c r="U364">
        <v>298.79000000000002</v>
      </c>
      <c r="V364">
        <v>467.82</v>
      </c>
      <c r="W364">
        <v>7</v>
      </c>
      <c r="X364" t="s">
        <v>49</v>
      </c>
      <c r="Y364">
        <v>2025</v>
      </c>
    </row>
    <row r="365" spans="1:29" x14ac:dyDescent="0.3">
      <c r="A365" t="s">
        <v>1085</v>
      </c>
      <c r="B365" s="1">
        <v>45840</v>
      </c>
      <c r="C365" t="s">
        <v>1086</v>
      </c>
      <c r="D365" t="s">
        <v>3382</v>
      </c>
      <c r="E365" s="1">
        <v>45847</v>
      </c>
      <c r="F365" t="s">
        <v>122</v>
      </c>
      <c r="G365" t="s">
        <v>120</v>
      </c>
      <c r="H365" t="s">
        <v>121</v>
      </c>
      <c r="I365" t="s">
        <v>2629</v>
      </c>
      <c r="J365" t="s">
        <v>2697</v>
      </c>
      <c r="K365" t="s">
        <v>52</v>
      </c>
      <c r="L365">
        <v>20</v>
      </c>
      <c r="M365">
        <v>4</v>
      </c>
      <c r="N365">
        <v>25</v>
      </c>
      <c r="O365" t="s">
        <v>1087</v>
      </c>
      <c r="P365" t="s">
        <v>44</v>
      </c>
      <c r="Q365" t="s">
        <v>70</v>
      </c>
      <c r="R365" t="s">
        <v>32</v>
      </c>
      <c r="S365" t="s">
        <v>123</v>
      </c>
      <c r="T365">
        <v>1</v>
      </c>
      <c r="U365">
        <v>187.45</v>
      </c>
      <c r="V365">
        <v>392.03</v>
      </c>
      <c r="W365">
        <v>7</v>
      </c>
      <c r="X365" t="s">
        <v>45</v>
      </c>
      <c r="Y365">
        <v>2025</v>
      </c>
    </row>
    <row r="366" spans="1:29" x14ac:dyDescent="0.3">
      <c r="A366" t="s">
        <v>1088</v>
      </c>
      <c r="B366" s="1">
        <v>45849</v>
      </c>
      <c r="C366" t="s">
        <v>1089</v>
      </c>
      <c r="D366" t="s">
        <v>2773</v>
      </c>
      <c r="E366" s="1">
        <v>45855</v>
      </c>
      <c r="F366" t="s">
        <v>29</v>
      </c>
      <c r="G366" t="s">
        <v>27</v>
      </c>
      <c r="H366" t="s">
        <v>28</v>
      </c>
      <c r="I366" t="s">
        <v>2631</v>
      </c>
      <c r="J366" t="s">
        <v>2711</v>
      </c>
      <c r="K366" t="s">
        <v>25</v>
      </c>
      <c r="L366">
        <v>58</v>
      </c>
      <c r="M366">
        <v>2</v>
      </c>
      <c r="N366">
        <v>20</v>
      </c>
      <c r="O366" t="s">
        <v>1090</v>
      </c>
      <c r="P366" t="s">
        <v>44</v>
      </c>
      <c r="Q366" t="s">
        <v>58</v>
      </c>
      <c r="R366" t="s">
        <v>32</v>
      </c>
      <c r="S366" t="s">
        <v>30</v>
      </c>
      <c r="T366">
        <v>3</v>
      </c>
      <c r="U366">
        <v>882.21</v>
      </c>
      <c r="V366">
        <v>1181.9100000000001</v>
      </c>
      <c r="W366">
        <v>6</v>
      </c>
      <c r="X366" t="s">
        <v>45</v>
      </c>
      <c r="Y366">
        <v>2025</v>
      </c>
    </row>
    <row r="367" spans="1:29" x14ac:dyDescent="0.3">
      <c r="A367" t="s">
        <v>1091</v>
      </c>
      <c r="B367" s="1">
        <v>45735</v>
      </c>
      <c r="C367" t="s">
        <v>1092</v>
      </c>
      <c r="D367" t="s">
        <v>2772</v>
      </c>
      <c r="E367" s="1">
        <v>45737</v>
      </c>
      <c r="F367" t="s">
        <v>128</v>
      </c>
      <c r="G367" t="s">
        <v>98</v>
      </c>
      <c r="H367" t="s">
        <v>127</v>
      </c>
      <c r="I367" t="s">
        <v>2661</v>
      </c>
      <c r="J367" t="s">
        <v>2662</v>
      </c>
      <c r="K367" t="s">
        <v>52</v>
      </c>
      <c r="L367">
        <v>20</v>
      </c>
      <c r="M367">
        <v>1</v>
      </c>
      <c r="N367">
        <v>20</v>
      </c>
      <c r="O367" t="s">
        <v>1093</v>
      </c>
      <c r="P367" t="s">
        <v>44</v>
      </c>
      <c r="Q367" t="s">
        <v>42</v>
      </c>
      <c r="R367" t="s">
        <v>43</v>
      </c>
      <c r="S367" t="s">
        <v>129</v>
      </c>
      <c r="T367">
        <v>2</v>
      </c>
      <c r="U367">
        <v>593.19000000000005</v>
      </c>
      <c r="V367">
        <v>343.22</v>
      </c>
      <c r="W367">
        <v>2</v>
      </c>
      <c r="X367" t="s">
        <v>34</v>
      </c>
      <c r="Y367">
        <v>2025</v>
      </c>
    </row>
    <row r="368" spans="1:29" x14ac:dyDescent="0.3">
      <c r="A368" t="s">
        <v>1094</v>
      </c>
      <c r="B368" s="1">
        <v>45921</v>
      </c>
      <c r="C368" t="s">
        <v>1095</v>
      </c>
      <c r="D368" t="s">
        <v>2771</v>
      </c>
      <c r="E368" s="1">
        <v>45924</v>
      </c>
      <c r="F368" t="s">
        <v>40</v>
      </c>
      <c r="G368" t="s">
        <v>38</v>
      </c>
      <c r="H368" t="s">
        <v>39</v>
      </c>
      <c r="I368" t="s">
        <v>2641</v>
      </c>
      <c r="J368" t="s">
        <v>2713</v>
      </c>
      <c r="K368" t="s">
        <v>25</v>
      </c>
      <c r="L368">
        <v>32</v>
      </c>
      <c r="M368">
        <v>1</v>
      </c>
      <c r="N368">
        <v>10</v>
      </c>
      <c r="O368" t="s">
        <v>1096</v>
      </c>
      <c r="P368" t="s">
        <v>33</v>
      </c>
      <c r="Q368" t="s">
        <v>42</v>
      </c>
      <c r="R368" t="s">
        <v>62</v>
      </c>
      <c r="S368" t="s">
        <v>41</v>
      </c>
      <c r="T368">
        <v>1</v>
      </c>
      <c r="U368">
        <v>239.91</v>
      </c>
      <c r="V368">
        <v>169.56</v>
      </c>
      <c r="W368">
        <v>3</v>
      </c>
      <c r="X368" t="s">
        <v>45</v>
      </c>
      <c r="Y368">
        <v>2025</v>
      </c>
    </row>
    <row r="369" spans="1:25" x14ac:dyDescent="0.3">
      <c r="A369" t="s">
        <v>1097</v>
      </c>
      <c r="B369" s="1">
        <v>46113</v>
      </c>
      <c r="C369" t="s">
        <v>1098</v>
      </c>
      <c r="D369" t="s">
        <v>2770</v>
      </c>
      <c r="E369" s="1">
        <v>46116</v>
      </c>
      <c r="F369" t="s">
        <v>40</v>
      </c>
      <c r="G369" t="s">
        <v>38</v>
      </c>
      <c r="H369" t="s">
        <v>39</v>
      </c>
      <c r="I369" t="s">
        <v>2627</v>
      </c>
      <c r="J369" t="s">
        <v>2628</v>
      </c>
      <c r="K369" t="s">
        <v>25</v>
      </c>
      <c r="L369">
        <v>25</v>
      </c>
      <c r="M369">
        <v>2</v>
      </c>
      <c r="N369">
        <v>10</v>
      </c>
      <c r="O369" t="s">
        <v>1099</v>
      </c>
      <c r="P369" t="s">
        <v>33</v>
      </c>
      <c r="Q369" t="s">
        <v>58</v>
      </c>
      <c r="R369" t="s">
        <v>62</v>
      </c>
      <c r="S369" t="s">
        <v>41</v>
      </c>
      <c r="T369">
        <v>4</v>
      </c>
      <c r="U369">
        <v>141.13999999999999</v>
      </c>
      <c r="V369">
        <v>172.48</v>
      </c>
      <c r="W369">
        <v>3</v>
      </c>
      <c r="X369" t="s">
        <v>49</v>
      </c>
      <c r="Y369">
        <v>2026</v>
      </c>
    </row>
    <row r="370" spans="1:25" x14ac:dyDescent="0.3">
      <c r="A370" t="s">
        <v>1100</v>
      </c>
      <c r="B370" s="1">
        <v>45652</v>
      </c>
      <c r="C370" t="s">
        <v>1101</v>
      </c>
      <c r="D370" t="s">
        <v>3381</v>
      </c>
      <c r="E370" s="1">
        <v>45659</v>
      </c>
      <c r="F370" t="s">
        <v>115</v>
      </c>
      <c r="G370" t="s">
        <v>66</v>
      </c>
      <c r="H370" t="s">
        <v>114</v>
      </c>
      <c r="I370" t="s">
        <v>2623</v>
      </c>
      <c r="J370" t="s">
        <v>2701</v>
      </c>
      <c r="K370" t="s">
        <v>25</v>
      </c>
      <c r="L370">
        <v>34</v>
      </c>
      <c r="M370">
        <v>4</v>
      </c>
      <c r="N370">
        <v>15</v>
      </c>
      <c r="O370" t="s">
        <v>247</v>
      </c>
      <c r="P370" t="s">
        <v>33</v>
      </c>
      <c r="Q370" t="s">
        <v>42</v>
      </c>
      <c r="R370" t="s">
        <v>71</v>
      </c>
      <c r="S370" t="s">
        <v>116</v>
      </c>
      <c r="T370">
        <v>4</v>
      </c>
      <c r="U370">
        <v>933.24</v>
      </c>
      <c r="V370">
        <v>1979.72</v>
      </c>
      <c r="W370">
        <v>7</v>
      </c>
      <c r="X370" t="s">
        <v>94</v>
      </c>
      <c r="Y370">
        <v>2024</v>
      </c>
    </row>
    <row r="371" spans="1:25" x14ac:dyDescent="0.3">
      <c r="A371" t="s">
        <v>1102</v>
      </c>
      <c r="B371" s="1">
        <v>45997</v>
      </c>
      <c r="C371" t="s">
        <v>1103</v>
      </c>
      <c r="D371" t="s">
        <v>3380</v>
      </c>
      <c r="E371" s="1">
        <v>46000</v>
      </c>
      <c r="F371" t="s">
        <v>140</v>
      </c>
      <c r="G371" t="s">
        <v>38</v>
      </c>
      <c r="H371" t="s">
        <v>139</v>
      </c>
      <c r="I371" t="s">
        <v>2654</v>
      </c>
      <c r="J371" t="s">
        <v>2702</v>
      </c>
      <c r="K371" t="s">
        <v>52</v>
      </c>
      <c r="L371">
        <v>36</v>
      </c>
      <c r="M371">
        <v>2</v>
      </c>
      <c r="N371">
        <v>5</v>
      </c>
      <c r="O371" t="s">
        <v>700</v>
      </c>
      <c r="P371" t="s">
        <v>75</v>
      </c>
      <c r="Q371" t="s">
        <v>70</v>
      </c>
      <c r="R371" t="s">
        <v>32</v>
      </c>
      <c r="S371" t="s">
        <v>141</v>
      </c>
      <c r="T371">
        <v>1</v>
      </c>
      <c r="U371">
        <v>694.91</v>
      </c>
      <c r="V371">
        <v>1092.19</v>
      </c>
      <c r="W371">
        <v>3</v>
      </c>
      <c r="X371" t="s">
        <v>94</v>
      </c>
      <c r="Y371">
        <v>2025</v>
      </c>
    </row>
    <row r="372" spans="1:25" x14ac:dyDescent="0.3">
      <c r="A372" t="s">
        <v>1104</v>
      </c>
      <c r="B372" s="1">
        <v>45710</v>
      </c>
      <c r="C372" t="s">
        <v>1105</v>
      </c>
      <c r="D372" t="s">
        <v>3379</v>
      </c>
      <c r="E372" s="1">
        <v>45716</v>
      </c>
      <c r="F372" t="s">
        <v>29</v>
      </c>
      <c r="G372" t="s">
        <v>27</v>
      </c>
      <c r="H372" t="s">
        <v>28</v>
      </c>
      <c r="I372" t="s">
        <v>2654</v>
      </c>
      <c r="J372" t="s">
        <v>2702</v>
      </c>
      <c r="K372" t="s">
        <v>52</v>
      </c>
      <c r="L372">
        <v>63</v>
      </c>
      <c r="M372">
        <v>4</v>
      </c>
      <c r="N372">
        <v>15</v>
      </c>
      <c r="O372" t="s">
        <v>1106</v>
      </c>
      <c r="P372" t="s">
        <v>33</v>
      </c>
      <c r="Q372" t="s">
        <v>31</v>
      </c>
      <c r="R372" t="s">
        <v>43</v>
      </c>
      <c r="S372" t="s">
        <v>30</v>
      </c>
      <c r="T372">
        <v>1</v>
      </c>
      <c r="U372">
        <v>994.83</v>
      </c>
      <c r="V372">
        <v>1991.93</v>
      </c>
      <c r="W372">
        <v>6</v>
      </c>
      <c r="X372" t="s">
        <v>34</v>
      </c>
      <c r="Y372">
        <v>2025</v>
      </c>
    </row>
    <row r="373" spans="1:25" x14ac:dyDescent="0.3">
      <c r="A373" t="s">
        <v>1107</v>
      </c>
      <c r="B373" s="1">
        <v>45603</v>
      </c>
      <c r="C373" t="s">
        <v>1108</v>
      </c>
      <c r="D373" t="s">
        <v>3378</v>
      </c>
      <c r="E373" s="1">
        <v>45608</v>
      </c>
      <c r="F373" t="s">
        <v>29</v>
      </c>
      <c r="G373" t="s">
        <v>27</v>
      </c>
      <c r="H373" t="s">
        <v>28</v>
      </c>
      <c r="I373" t="s">
        <v>2654</v>
      </c>
      <c r="J373" t="s">
        <v>2684</v>
      </c>
      <c r="K373" t="s">
        <v>52</v>
      </c>
      <c r="L373">
        <v>59</v>
      </c>
      <c r="M373">
        <v>4</v>
      </c>
      <c r="N373">
        <v>0</v>
      </c>
      <c r="O373" t="s">
        <v>1109</v>
      </c>
      <c r="P373" t="s">
        <v>44</v>
      </c>
      <c r="Q373" t="s">
        <v>58</v>
      </c>
      <c r="R373" t="s">
        <v>32</v>
      </c>
      <c r="S373" t="s">
        <v>30</v>
      </c>
      <c r="T373">
        <v>3</v>
      </c>
      <c r="U373">
        <v>143.15</v>
      </c>
      <c r="V373">
        <v>468.26</v>
      </c>
      <c r="W373">
        <v>5</v>
      </c>
      <c r="X373" t="s">
        <v>94</v>
      </c>
      <c r="Y373">
        <v>2024</v>
      </c>
    </row>
    <row r="374" spans="1:25" x14ac:dyDescent="0.3">
      <c r="A374" t="s">
        <v>1110</v>
      </c>
      <c r="B374" s="1">
        <v>45892</v>
      </c>
      <c r="C374" t="s">
        <v>1111</v>
      </c>
      <c r="D374" t="s">
        <v>3377</v>
      </c>
      <c r="E374" s="1">
        <v>45899</v>
      </c>
      <c r="F374" t="s">
        <v>29</v>
      </c>
      <c r="G374" t="s">
        <v>27</v>
      </c>
      <c r="H374" t="s">
        <v>28</v>
      </c>
      <c r="I374" t="s">
        <v>2623</v>
      </c>
      <c r="J374" t="s">
        <v>2624</v>
      </c>
      <c r="K374" t="s">
        <v>52</v>
      </c>
      <c r="L374">
        <v>48</v>
      </c>
      <c r="M374">
        <v>3</v>
      </c>
      <c r="N374">
        <v>20</v>
      </c>
      <c r="O374" t="s">
        <v>144</v>
      </c>
      <c r="P374" t="s">
        <v>33</v>
      </c>
      <c r="Q374" t="s">
        <v>70</v>
      </c>
      <c r="R374" t="s">
        <v>43</v>
      </c>
      <c r="S374" t="s">
        <v>30</v>
      </c>
      <c r="T374">
        <v>3</v>
      </c>
      <c r="U374">
        <v>986.15</v>
      </c>
      <c r="V374">
        <v>1773.61</v>
      </c>
      <c r="W374">
        <v>7</v>
      </c>
      <c r="X374" t="s">
        <v>45</v>
      </c>
      <c r="Y374">
        <v>2025</v>
      </c>
    </row>
    <row r="375" spans="1:25" x14ac:dyDescent="0.3">
      <c r="A375" t="s">
        <v>1112</v>
      </c>
      <c r="B375" s="1">
        <v>45863</v>
      </c>
      <c r="C375" t="s">
        <v>1113</v>
      </c>
      <c r="D375" t="s">
        <v>3376</v>
      </c>
      <c r="E375" s="1">
        <v>45866</v>
      </c>
      <c r="F375" t="s">
        <v>40</v>
      </c>
      <c r="G375" t="s">
        <v>38</v>
      </c>
      <c r="H375" t="s">
        <v>39</v>
      </c>
      <c r="I375" t="s">
        <v>2663</v>
      </c>
      <c r="J375" t="s">
        <v>2664</v>
      </c>
      <c r="K375" t="s">
        <v>25</v>
      </c>
      <c r="L375">
        <v>24</v>
      </c>
      <c r="M375">
        <v>3</v>
      </c>
      <c r="N375">
        <v>0</v>
      </c>
      <c r="O375" t="s">
        <v>1114</v>
      </c>
      <c r="P375" t="s">
        <v>44</v>
      </c>
      <c r="Q375" t="s">
        <v>31</v>
      </c>
      <c r="R375" t="s">
        <v>71</v>
      </c>
      <c r="S375" t="s">
        <v>41</v>
      </c>
      <c r="T375">
        <v>4</v>
      </c>
      <c r="U375">
        <v>25.04</v>
      </c>
      <c r="V375">
        <v>59.23</v>
      </c>
      <c r="W375">
        <v>3</v>
      </c>
      <c r="X375" t="s">
        <v>45</v>
      </c>
      <c r="Y375">
        <v>2025</v>
      </c>
    </row>
    <row r="376" spans="1:25" x14ac:dyDescent="0.3">
      <c r="A376" t="s">
        <v>1115</v>
      </c>
      <c r="B376" s="1">
        <v>45704</v>
      </c>
      <c r="C376" t="s">
        <v>1116</v>
      </c>
      <c r="D376" t="s">
        <v>3375</v>
      </c>
      <c r="E376" s="1">
        <v>45709</v>
      </c>
      <c r="F376" t="s">
        <v>122</v>
      </c>
      <c r="G376" t="s">
        <v>120</v>
      </c>
      <c r="H376" t="s">
        <v>121</v>
      </c>
      <c r="I376" t="s">
        <v>2625</v>
      </c>
      <c r="J376" t="s">
        <v>2626</v>
      </c>
      <c r="K376" t="s">
        <v>52</v>
      </c>
      <c r="L376">
        <v>65</v>
      </c>
      <c r="M376">
        <v>5</v>
      </c>
      <c r="N376">
        <v>20</v>
      </c>
      <c r="O376" t="s">
        <v>1117</v>
      </c>
      <c r="P376" t="s">
        <v>33</v>
      </c>
      <c r="Q376" t="s">
        <v>42</v>
      </c>
      <c r="R376" t="s">
        <v>62</v>
      </c>
      <c r="S376" t="s">
        <v>123</v>
      </c>
      <c r="T376">
        <v>5</v>
      </c>
      <c r="U376">
        <v>994.52</v>
      </c>
      <c r="V376">
        <v>2178.91</v>
      </c>
      <c r="W376">
        <v>5</v>
      </c>
      <c r="X376" t="s">
        <v>34</v>
      </c>
      <c r="Y376">
        <v>2025</v>
      </c>
    </row>
    <row r="377" spans="1:25" x14ac:dyDescent="0.3">
      <c r="A377" t="s">
        <v>1118</v>
      </c>
      <c r="B377" s="1">
        <v>46127</v>
      </c>
      <c r="C377" t="s">
        <v>1119</v>
      </c>
      <c r="D377" t="s">
        <v>3374</v>
      </c>
      <c r="E377" s="1">
        <v>46131</v>
      </c>
      <c r="F377" t="s">
        <v>68</v>
      </c>
      <c r="G377" t="s">
        <v>66</v>
      </c>
      <c r="H377" t="s">
        <v>67</v>
      </c>
      <c r="I377" t="s">
        <v>2668</v>
      </c>
      <c r="J377" t="s">
        <v>2669</v>
      </c>
      <c r="K377" t="s">
        <v>25</v>
      </c>
      <c r="L377">
        <v>23</v>
      </c>
      <c r="M377">
        <v>2</v>
      </c>
      <c r="N377">
        <v>0</v>
      </c>
      <c r="O377" t="s">
        <v>192</v>
      </c>
      <c r="P377" t="s">
        <v>44</v>
      </c>
      <c r="Q377" t="s">
        <v>70</v>
      </c>
      <c r="R377" t="s">
        <v>62</v>
      </c>
      <c r="S377" t="s">
        <v>69</v>
      </c>
      <c r="T377">
        <v>5</v>
      </c>
      <c r="U377">
        <v>328.67</v>
      </c>
      <c r="V377">
        <v>383.62</v>
      </c>
      <c r="W377">
        <v>4</v>
      </c>
      <c r="X377" t="s">
        <v>49</v>
      </c>
      <c r="Y377">
        <v>2026</v>
      </c>
    </row>
    <row r="378" spans="1:25" x14ac:dyDescent="0.3">
      <c r="A378" t="s">
        <v>1120</v>
      </c>
      <c r="B378" s="1">
        <v>45768</v>
      </c>
      <c r="C378" t="s">
        <v>1121</v>
      </c>
      <c r="D378" t="s">
        <v>3373</v>
      </c>
      <c r="E378" s="1">
        <v>45770</v>
      </c>
      <c r="F378" t="s">
        <v>122</v>
      </c>
      <c r="G378" t="s">
        <v>120</v>
      </c>
      <c r="H378" t="s">
        <v>121</v>
      </c>
      <c r="I378" t="s">
        <v>2652</v>
      </c>
      <c r="J378" t="s">
        <v>2653</v>
      </c>
      <c r="K378" t="s">
        <v>25</v>
      </c>
      <c r="L378">
        <v>42</v>
      </c>
      <c r="M378">
        <v>4</v>
      </c>
      <c r="N378">
        <v>20</v>
      </c>
      <c r="O378" t="s">
        <v>1122</v>
      </c>
      <c r="P378" t="s">
        <v>33</v>
      </c>
      <c r="Q378" t="s">
        <v>117</v>
      </c>
      <c r="R378" t="s">
        <v>62</v>
      </c>
      <c r="S378" t="s">
        <v>123</v>
      </c>
      <c r="T378">
        <v>4</v>
      </c>
      <c r="U378">
        <v>148.18</v>
      </c>
      <c r="V378">
        <v>377.59</v>
      </c>
      <c r="W378">
        <v>2</v>
      </c>
      <c r="X378" t="s">
        <v>49</v>
      </c>
      <c r="Y378">
        <v>2025</v>
      </c>
    </row>
    <row r="379" spans="1:25" x14ac:dyDescent="0.3">
      <c r="A379" t="s">
        <v>1123</v>
      </c>
      <c r="B379" s="1">
        <v>45759</v>
      </c>
      <c r="C379" t="s">
        <v>1124</v>
      </c>
      <c r="D379" t="s">
        <v>3372</v>
      </c>
      <c r="E379" s="1">
        <v>45764</v>
      </c>
      <c r="F379" t="s">
        <v>100</v>
      </c>
      <c r="G379" t="s">
        <v>98</v>
      </c>
      <c r="H379" t="s">
        <v>99</v>
      </c>
      <c r="I379" t="s">
        <v>2623</v>
      </c>
      <c r="J379" t="s">
        <v>2624</v>
      </c>
      <c r="K379" t="s">
        <v>25</v>
      </c>
      <c r="L379">
        <v>33</v>
      </c>
      <c r="M379">
        <v>5</v>
      </c>
      <c r="N379">
        <v>10</v>
      </c>
      <c r="O379" t="s">
        <v>829</v>
      </c>
      <c r="P379" t="s">
        <v>33</v>
      </c>
      <c r="Q379" t="s">
        <v>42</v>
      </c>
      <c r="R379" t="s">
        <v>43</v>
      </c>
      <c r="S379" t="s">
        <v>101</v>
      </c>
      <c r="T379">
        <v>4</v>
      </c>
      <c r="U379">
        <v>948.45</v>
      </c>
      <c r="V379">
        <v>2886.33</v>
      </c>
      <c r="W379">
        <v>5</v>
      </c>
      <c r="X379" t="s">
        <v>49</v>
      </c>
      <c r="Y379">
        <v>2025</v>
      </c>
    </row>
    <row r="380" spans="1:25" x14ac:dyDescent="0.3">
      <c r="A380" t="s">
        <v>1125</v>
      </c>
      <c r="B380" s="1">
        <v>45880</v>
      </c>
      <c r="C380" t="s">
        <v>1126</v>
      </c>
      <c r="D380" t="s">
        <v>3371</v>
      </c>
      <c r="E380" s="1">
        <v>45887</v>
      </c>
      <c r="F380" t="s">
        <v>128</v>
      </c>
      <c r="G380" t="s">
        <v>98</v>
      </c>
      <c r="H380" t="s">
        <v>127</v>
      </c>
      <c r="I380" t="s">
        <v>2622</v>
      </c>
      <c r="J380" t="s">
        <v>2705</v>
      </c>
      <c r="K380" t="s">
        <v>25</v>
      </c>
      <c r="L380">
        <v>49</v>
      </c>
      <c r="M380">
        <v>3</v>
      </c>
      <c r="N380">
        <v>25</v>
      </c>
      <c r="O380" t="s">
        <v>1127</v>
      </c>
      <c r="P380" t="s">
        <v>75</v>
      </c>
      <c r="Q380" t="s">
        <v>31</v>
      </c>
      <c r="R380" t="s">
        <v>32</v>
      </c>
      <c r="S380" t="s">
        <v>129</v>
      </c>
      <c r="T380">
        <v>2</v>
      </c>
      <c r="U380">
        <v>517.88</v>
      </c>
      <c r="V380">
        <v>653.11</v>
      </c>
      <c r="W380">
        <v>7</v>
      </c>
      <c r="X380" t="s">
        <v>45</v>
      </c>
      <c r="Y380">
        <v>2025</v>
      </c>
    </row>
    <row r="381" spans="1:25" x14ac:dyDescent="0.3">
      <c r="A381" t="s">
        <v>1128</v>
      </c>
      <c r="B381" s="1">
        <v>45455</v>
      </c>
      <c r="C381" t="s">
        <v>1129</v>
      </c>
      <c r="D381" t="s">
        <v>3370</v>
      </c>
      <c r="E381" s="1">
        <v>45457</v>
      </c>
      <c r="F381" t="s">
        <v>40</v>
      </c>
      <c r="G381" t="s">
        <v>38</v>
      </c>
      <c r="H381" t="s">
        <v>39</v>
      </c>
      <c r="I381" t="s">
        <v>2629</v>
      </c>
      <c r="J381" t="s">
        <v>2697</v>
      </c>
      <c r="K381" t="s">
        <v>25</v>
      </c>
      <c r="L381">
        <v>38</v>
      </c>
      <c r="M381">
        <v>2</v>
      </c>
      <c r="N381">
        <v>15</v>
      </c>
      <c r="O381" t="s">
        <v>1130</v>
      </c>
      <c r="P381" t="s">
        <v>75</v>
      </c>
      <c r="Q381" t="s">
        <v>117</v>
      </c>
      <c r="R381" t="s">
        <v>62</v>
      </c>
      <c r="S381" t="s">
        <v>41</v>
      </c>
      <c r="T381">
        <v>4</v>
      </c>
      <c r="U381">
        <v>440.09</v>
      </c>
      <c r="V381">
        <v>543.27</v>
      </c>
      <c r="W381">
        <v>2</v>
      </c>
      <c r="X381" t="s">
        <v>49</v>
      </c>
      <c r="Y381">
        <v>2024</v>
      </c>
    </row>
    <row r="382" spans="1:25" x14ac:dyDescent="0.3">
      <c r="A382" t="s">
        <v>1131</v>
      </c>
      <c r="B382" s="1">
        <v>45773</v>
      </c>
      <c r="C382" t="s">
        <v>1132</v>
      </c>
      <c r="D382" t="s">
        <v>3369</v>
      </c>
      <c r="E382" s="1">
        <v>45774</v>
      </c>
      <c r="F382" t="s">
        <v>56</v>
      </c>
      <c r="G382" t="s">
        <v>54</v>
      </c>
      <c r="H382" t="s">
        <v>55</v>
      </c>
      <c r="I382" t="s">
        <v>2622</v>
      </c>
      <c r="J382" t="s">
        <v>2705</v>
      </c>
      <c r="K382" t="s">
        <v>52</v>
      </c>
      <c r="L382">
        <v>23</v>
      </c>
      <c r="M382">
        <v>3</v>
      </c>
      <c r="N382">
        <v>20</v>
      </c>
      <c r="O382" t="s">
        <v>479</v>
      </c>
      <c r="P382" t="s">
        <v>44</v>
      </c>
      <c r="Q382" t="s">
        <v>117</v>
      </c>
      <c r="R382" t="s">
        <v>43</v>
      </c>
      <c r="S382" t="s">
        <v>57</v>
      </c>
      <c r="T382">
        <v>1</v>
      </c>
      <c r="U382">
        <v>837</v>
      </c>
      <c r="V382">
        <v>1315.56</v>
      </c>
      <c r="W382">
        <v>1</v>
      </c>
      <c r="X382" t="s">
        <v>49</v>
      </c>
      <c r="Y382">
        <v>2025</v>
      </c>
    </row>
    <row r="383" spans="1:25" x14ac:dyDescent="0.3">
      <c r="A383" t="s">
        <v>1133</v>
      </c>
      <c r="B383" s="1">
        <v>46143</v>
      </c>
      <c r="C383" t="s">
        <v>1134</v>
      </c>
      <c r="D383" t="s">
        <v>3368</v>
      </c>
      <c r="E383" s="1">
        <v>46147</v>
      </c>
      <c r="F383" t="s">
        <v>115</v>
      </c>
      <c r="G383" t="s">
        <v>66</v>
      </c>
      <c r="H383" t="s">
        <v>114</v>
      </c>
      <c r="I383" t="s">
        <v>2631</v>
      </c>
      <c r="J383" t="s">
        <v>2711</v>
      </c>
      <c r="K383" t="s">
        <v>52</v>
      </c>
      <c r="L383">
        <v>46</v>
      </c>
      <c r="M383">
        <v>5</v>
      </c>
      <c r="N383">
        <v>5</v>
      </c>
      <c r="O383" t="s">
        <v>1135</v>
      </c>
      <c r="P383" t="s">
        <v>44</v>
      </c>
      <c r="Q383" t="s">
        <v>31</v>
      </c>
      <c r="R383" t="s">
        <v>71</v>
      </c>
      <c r="S383" t="s">
        <v>116</v>
      </c>
      <c r="T383">
        <v>5</v>
      </c>
      <c r="U383">
        <v>493.33</v>
      </c>
      <c r="V383">
        <v>1678.65</v>
      </c>
      <c r="W383">
        <v>4</v>
      </c>
      <c r="X383" t="s">
        <v>49</v>
      </c>
      <c r="Y383">
        <v>2026</v>
      </c>
    </row>
    <row r="384" spans="1:25" x14ac:dyDescent="0.3">
      <c r="A384" t="s">
        <v>1136</v>
      </c>
      <c r="B384" s="1">
        <v>45799</v>
      </c>
      <c r="C384" t="s">
        <v>1137</v>
      </c>
      <c r="D384" t="s">
        <v>3367</v>
      </c>
      <c r="E384" s="1">
        <v>45806</v>
      </c>
      <c r="F384" t="s">
        <v>100</v>
      </c>
      <c r="G384" t="s">
        <v>98</v>
      </c>
      <c r="H384" t="s">
        <v>99</v>
      </c>
      <c r="I384" t="s">
        <v>2672</v>
      </c>
      <c r="J384" t="s">
        <v>2716</v>
      </c>
      <c r="K384" t="s">
        <v>25</v>
      </c>
      <c r="L384">
        <v>45</v>
      </c>
      <c r="M384">
        <v>4</v>
      </c>
      <c r="N384">
        <v>20</v>
      </c>
      <c r="O384" t="s">
        <v>1138</v>
      </c>
      <c r="P384" t="s">
        <v>33</v>
      </c>
      <c r="Q384" t="s">
        <v>117</v>
      </c>
      <c r="R384" t="s">
        <v>32</v>
      </c>
      <c r="S384" t="s">
        <v>101</v>
      </c>
      <c r="T384">
        <v>4</v>
      </c>
      <c r="U384">
        <v>410.49</v>
      </c>
      <c r="V384">
        <v>907.93</v>
      </c>
      <c r="W384">
        <v>7</v>
      </c>
      <c r="X384" t="s">
        <v>49</v>
      </c>
      <c r="Y384">
        <v>2025</v>
      </c>
    </row>
    <row r="385" spans="1:25" x14ac:dyDescent="0.3">
      <c r="A385" t="s">
        <v>1139</v>
      </c>
      <c r="B385" s="1">
        <v>45557</v>
      </c>
      <c r="C385" t="s">
        <v>1140</v>
      </c>
      <c r="D385" t="s">
        <v>3366</v>
      </c>
      <c r="E385" s="1">
        <v>45559</v>
      </c>
      <c r="F385" t="s">
        <v>40</v>
      </c>
      <c r="G385" t="s">
        <v>38</v>
      </c>
      <c r="H385" t="s">
        <v>39</v>
      </c>
      <c r="I385" t="s">
        <v>2665</v>
      </c>
      <c r="J385" t="s">
        <v>2666</v>
      </c>
      <c r="K385" t="s">
        <v>25</v>
      </c>
      <c r="L385">
        <v>65</v>
      </c>
      <c r="M385">
        <v>5</v>
      </c>
      <c r="N385">
        <v>25</v>
      </c>
      <c r="O385" t="s">
        <v>1079</v>
      </c>
      <c r="P385" t="s">
        <v>44</v>
      </c>
      <c r="Q385" t="s">
        <v>70</v>
      </c>
      <c r="R385" t="s">
        <v>32</v>
      </c>
      <c r="S385" t="s">
        <v>41</v>
      </c>
      <c r="T385">
        <v>5</v>
      </c>
      <c r="U385">
        <v>881.14</v>
      </c>
      <c r="V385">
        <v>2157.38</v>
      </c>
      <c r="W385">
        <v>2</v>
      </c>
      <c r="X385" t="s">
        <v>45</v>
      </c>
      <c r="Y385">
        <v>2024</v>
      </c>
    </row>
    <row r="386" spans="1:25" x14ac:dyDescent="0.3">
      <c r="A386" t="s">
        <v>1141</v>
      </c>
      <c r="B386" s="1">
        <v>45678</v>
      </c>
      <c r="C386" t="s">
        <v>1142</v>
      </c>
      <c r="D386" t="s">
        <v>3365</v>
      </c>
      <c r="E386" s="1">
        <v>45685</v>
      </c>
      <c r="F386" t="s">
        <v>40</v>
      </c>
      <c r="G386" t="s">
        <v>38</v>
      </c>
      <c r="H386" t="s">
        <v>39</v>
      </c>
      <c r="I386" t="s">
        <v>2625</v>
      </c>
      <c r="J386" t="s">
        <v>2703</v>
      </c>
      <c r="K386" t="s">
        <v>25</v>
      </c>
      <c r="L386">
        <v>26</v>
      </c>
      <c r="M386">
        <v>4</v>
      </c>
      <c r="N386">
        <v>15</v>
      </c>
      <c r="O386" t="s">
        <v>1143</v>
      </c>
      <c r="P386" t="s">
        <v>33</v>
      </c>
      <c r="Q386" t="s">
        <v>31</v>
      </c>
      <c r="R386" t="s">
        <v>71</v>
      </c>
      <c r="S386" t="s">
        <v>41</v>
      </c>
      <c r="T386">
        <v>4</v>
      </c>
      <c r="U386">
        <v>428.73</v>
      </c>
      <c r="V386">
        <v>1071.81</v>
      </c>
      <c r="W386">
        <v>7</v>
      </c>
      <c r="X386" t="s">
        <v>34</v>
      </c>
      <c r="Y386">
        <v>2025</v>
      </c>
    </row>
    <row r="387" spans="1:25" x14ac:dyDescent="0.3">
      <c r="A387" t="s">
        <v>1144</v>
      </c>
      <c r="B387" s="1">
        <v>45891</v>
      </c>
      <c r="C387" t="s">
        <v>1145</v>
      </c>
      <c r="D387" t="s">
        <v>3364</v>
      </c>
      <c r="E387" s="1">
        <v>45898</v>
      </c>
      <c r="F387" t="s">
        <v>40</v>
      </c>
      <c r="G387" t="s">
        <v>38</v>
      </c>
      <c r="H387" t="s">
        <v>39</v>
      </c>
      <c r="I387" t="s">
        <v>2641</v>
      </c>
      <c r="J387" t="s">
        <v>2642</v>
      </c>
      <c r="K387" t="s">
        <v>25</v>
      </c>
      <c r="L387">
        <v>57</v>
      </c>
      <c r="M387">
        <v>3</v>
      </c>
      <c r="N387">
        <v>25</v>
      </c>
      <c r="O387" t="s">
        <v>1146</v>
      </c>
      <c r="P387" t="s">
        <v>44</v>
      </c>
      <c r="Q387" t="s">
        <v>42</v>
      </c>
      <c r="R387" t="s">
        <v>43</v>
      </c>
      <c r="S387" t="s">
        <v>41</v>
      </c>
      <c r="T387">
        <v>4</v>
      </c>
      <c r="U387">
        <v>393.18</v>
      </c>
      <c r="V387">
        <v>666.89</v>
      </c>
      <c r="W387">
        <v>7</v>
      </c>
      <c r="X387" t="s">
        <v>45</v>
      </c>
      <c r="Y387">
        <v>2025</v>
      </c>
    </row>
    <row r="388" spans="1:25" x14ac:dyDescent="0.3">
      <c r="A388" t="s">
        <v>1147</v>
      </c>
      <c r="B388" s="1">
        <v>46047</v>
      </c>
      <c r="C388" t="s">
        <v>1148</v>
      </c>
      <c r="D388" t="s">
        <v>3363</v>
      </c>
      <c r="E388" s="1">
        <v>46050</v>
      </c>
      <c r="F388" t="s">
        <v>122</v>
      </c>
      <c r="G388" t="s">
        <v>120</v>
      </c>
      <c r="H388" t="s">
        <v>121</v>
      </c>
      <c r="I388" t="s">
        <v>2661</v>
      </c>
      <c r="J388" t="s">
        <v>2662</v>
      </c>
      <c r="K388" t="s">
        <v>52</v>
      </c>
      <c r="L388">
        <v>22</v>
      </c>
      <c r="M388">
        <v>3</v>
      </c>
      <c r="N388">
        <v>25</v>
      </c>
      <c r="O388" t="s">
        <v>1149</v>
      </c>
      <c r="P388" t="s">
        <v>44</v>
      </c>
      <c r="Q388" t="s">
        <v>31</v>
      </c>
      <c r="R388" t="s">
        <v>62</v>
      </c>
      <c r="S388" t="s">
        <v>123</v>
      </c>
      <c r="T388">
        <v>2</v>
      </c>
      <c r="U388">
        <v>736.19</v>
      </c>
      <c r="V388">
        <v>1028.95</v>
      </c>
      <c r="W388">
        <v>3</v>
      </c>
      <c r="X388" t="s">
        <v>34</v>
      </c>
      <c r="Y388">
        <v>2026</v>
      </c>
    </row>
    <row r="389" spans="1:25" x14ac:dyDescent="0.3">
      <c r="A389" t="s">
        <v>1150</v>
      </c>
      <c r="B389" s="1">
        <v>45999</v>
      </c>
      <c r="C389" t="s">
        <v>1151</v>
      </c>
      <c r="D389" t="s">
        <v>3362</v>
      </c>
      <c r="E389" s="1">
        <v>46001</v>
      </c>
      <c r="F389" t="s">
        <v>128</v>
      </c>
      <c r="G389" t="s">
        <v>98</v>
      </c>
      <c r="H389" t="s">
        <v>127</v>
      </c>
      <c r="I389" t="s">
        <v>2668</v>
      </c>
      <c r="J389" t="s">
        <v>2708</v>
      </c>
      <c r="K389" t="s">
        <v>52</v>
      </c>
      <c r="L389">
        <v>21</v>
      </c>
      <c r="M389">
        <v>1</v>
      </c>
      <c r="N389">
        <v>30</v>
      </c>
      <c r="O389" t="s">
        <v>1152</v>
      </c>
      <c r="P389" t="s">
        <v>33</v>
      </c>
      <c r="Q389" t="s">
        <v>42</v>
      </c>
      <c r="R389" t="s">
        <v>43</v>
      </c>
      <c r="S389" t="s">
        <v>129</v>
      </c>
      <c r="T389">
        <v>3</v>
      </c>
      <c r="U389">
        <v>724.84</v>
      </c>
      <c r="V389">
        <v>384.91</v>
      </c>
      <c r="W389">
        <v>2</v>
      </c>
      <c r="X389" t="s">
        <v>94</v>
      </c>
      <c r="Y389">
        <v>2025</v>
      </c>
    </row>
    <row r="390" spans="1:25" x14ac:dyDescent="0.3">
      <c r="A390" t="s">
        <v>1153</v>
      </c>
      <c r="B390" s="1">
        <v>45660</v>
      </c>
      <c r="C390" t="s">
        <v>1154</v>
      </c>
      <c r="D390" t="s">
        <v>3361</v>
      </c>
      <c r="E390" s="1">
        <v>45665</v>
      </c>
      <c r="F390" t="s">
        <v>140</v>
      </c>
      <c r="G390" t="s">
        <v>38</v>
      </c>
      <c r="H390" t="s">
        <v>139</v>
      </c>
      <c r="I390" t="s">
        <v>2629</v>
      </c>
      <c r="J390" t="s">
        <v>2709</v>
      </c>
      <c r="K390" t="s">
        <v>25</v>
      </c>
      <c r="L390">
        <v>33</v>
      </c>
      <c r="M390">
        <v>5</v>
      </c>
      <c r="N390">
        <v>30</v>
      </c>
      <c r="O390" t="s">
        <v>1155</v>
      </c>
      <c r="P390" t="s">
        <v>33</v>
      </c>
      <c r="Q390" t="s">
        <v>42</v>
      </c>
      <c r="R390" t="s">
        <v>71</v>
      </c>
      <c r="S390" t="s">
        <v>141</v>
      </c>
      <c r="T390">
        <v>3</v>
      </c>
      <c r="U390">
        <v>413.27</v>
      </c>
      <c r="V390">
        <v>779.09</v>
      </c>
      <c r="W390">
        <v>5</v>
      </c>
      <c r="X390" t="s">
        <v>34</v>
      </c>
      <c r="Y390">
        <v>2025</v>
      </c>
    </row>
    <row r="391" spans="1:25" x14ac:dyDescent="0.3">
      <c r="A391" t="s">
        <v>1156</v>
      </c>
      <c r="B391" s="1">
        <v>45944</v>
      </c>
      <c r="C391" t="s">
        <v>1157</v>
      </c>
      <c r="D391" t="s">
        <v>3360</v>
      </c>
      <c r="E391" s="1">
        <v>45950</v>
      </c>
      <c r="F391" t="s">
        <v>68</v>
      </c>
      <c r="G391" t="s">
        <v>66</v>
      </c>
      <c r="H391" t="s">
        <v>67</v>
      </c>
      <c r="I391" t="s">
        <v>2663</v>
      </c>
      <c r="J391" t="s">
        <v>2664</v>
      </c>
      <c r="K391" t="s">
        <v>25</v>
      </c>
      <c r="L391">
        <v>58</v>
      </c>
      <c r="M391">
        <v>2</v>
      </c>
      <c r="N391">
        <v>0</v>
      </c>
      <c r="O391" t="s">
        <v>1158</v>
      </c>
      <c r="P391" t="s">
        <v>44</v>
      </c>
      <c r="Q391" t="s">
        <v>70</v>
      </c>
      <c r="R391" t="s">
        <v>43</v>
      </c>
      <c r="S391" t="s">
        <v>69</v>
      </c>
      <c r="T391">
        <v>1</v>
      </c>
      <c r="U391">
        <v>413.63</v>
      </c>
      <c r="V391">
        <v>494.42</v>
      </c>
      <c r="W391">
        <v>6</v>
      </c>
      <c r="X391" t="s">
        <v>94</v>
      </c>
      <c r="Y391">
        <v>2025</v>
      </c>
    </row>
    <row r="392" spans="1:25" x14ac:dyDescent="0.3">
      <c r="A392" t="s">
        <v>1159</v>
      </c>
      <c r="B392" s="1">
        <v>46074</v>
      </c>
      <c r="C392" t="s">
        <v>1160</v>
      </c>
      <c r="D392" t="s">
        <v>3359</v>
      </c>
      <c r="E392" s="1">
        <v>46077</v>
      </c>
      <c r="F392" t="s">
        <v>122</v>
      </c>
      <c r="G392" t="s">
        <v>120</v>
      </c>
      <c r="H392" t="s">
        <v>121</v>
      </c>
      <c r="I392" t="s">
        <v>2622</v>
      </c>
      <c r="J392" t="s">
        <v>2622</v>
      </c>
      <c r="K392" t="s">
        <v>52</v>
      </c>
      <c r="L392">
        <v>65</v>
      </c>
      <c r="M392">
        <v>2</v>
      </c>
      <c r="N392">
        <v>5</v>
      </c>
      <c r="O392" t="s">
        <v>1161</v>
      </c>
      <c r="P392" t="s">
        <v>33</v>
      </c>
      <c r="Q392" t="s">
        <v>42</v>
      </c>
      <c r="R392" t="s">
        <v>71</v>
      </c>
      <c r="S392" t="s">
        <v>123</v>
      </c>
      <c r="T392">
        <v>1</v>
      </c>
      <c r="U392">
        <v>848.3</v>
      </c>
      <c r="V392">
        <v>1326.02</v>
      </c>
      <c r="W392">
        <v>3</v>
      </c>
      <c r="X392" t="s">
        <v>34</v>
      </c>
      <c r="Y392">
        <v>2026</v>
      </c>
    </row>
    <row r="393" spans="1:25" x14ac:dyDescent="0.3">
      <c r="A393" t="s">
        <v>1162</v>
      </c>
      <c r="B393" s="1">
        <v>45736</v>
      </c>
      <c r="C393" t="s">
        <v>1163</v>
      </c>
      <c r="D393" t="s">
        <v>3358</v>
      </c>
      <c r="E393" s="1">
        <v>45742</v>
      </c>
      <c r="F393" t="s">
        <v>122</v>
      </c>
      <c r="G393" t="s">
        <v>120</v>
      </c>
      <c r="H393" t="s">
        <v>121</v>
      </c>
      <c r="I393" t="s">
        <v>2625</v>
      </c>
      <c r="J393" t="s">
        <v>2703</v>
      </c>
      <c r="K393" t="s">
        <v>52</v>
      </c>
      <c r="L393">
        <v>35</v>
      </c>
      <c r="M393">
        <v>5</v>
      </c>
      <c r="N393">
        <v>25</v>
      </c>
      <c r="O393" t="s">
        <v>1164</v>
      </c>
      <c r="P393" t="s">
        <v>44</v>
      </c>
      <c r="Q393" t="s">
        <v>31</v>
      </c>
      <c r="R393" t="s">
        <v>71</v>
      </c>
      <c r="S393" t="s">
        <v>123</v>
      </c>
      <c r="T393">
        <v>1</v>
      </c>
      <c r="U393">
        <v>802</v>
      </c>
      <c r="V393">
        <v>1859.31</v>
      </c>
      <c r="W393">
        <v>6</v>
      </c>
      <c r="X393" t="s">
        <v>34</v>
      </c>
      <c r="Y393">
        <v>2025</v>
      </c>
    </row>
    <row r="394" spans="1:25" x14ac:dyDescent="0.3">
      <c r="A394" t="s">
        <v>1165</v>
      </c>
      <c r="B394" s="1">
        <v>45559</v>
      </c>
      <c r="C394" t="s">
        <v>1166</v>
      </c>
      <c r="D394" t="s">
        <v>3357</v>
      </c>
      <c r="E394" s="1">
        <v>45560</v>
      </c>
      <c r="F394" t="s">
        <v>40</v>
      </c>
      <c r="G394" t="s">
        <v>38</v>
      </c>
      <c r="H394" t="s">
        <v>39</v>
      </c>
      <c r="I394" t="s">
        <v>2635</v>
      </c>
      <c r="J394" t="s">
        <v>2643</v>
      </c>
      <c r="K394" t="s">
        <v>52</v>
      </c>
      <c r="L394">
        <v>51</v>
      </c>
      <c r="M394">
        <v>3</v>
      </c>
      <c r="N394">
        <v>30</v>
      </c>
      <c r="O394" t="s">
        <v>1167</v>
      </c>
      <c r="P394" t="s">
        <v>44</v>
      </c>
      <c r="Q394" t="s">
        <v>117</v>
      </c>
      <c r="R394" t="s">
        <v>43</v>
      </c>
      <c r="S394" t="s">
        <v>41</v>
      </c>
      <c r="T394">
        <v>4</v>
      </c>
      <c r="U394">
        <v>591.41</v>
      </c>
      <c r="V394">
        <v>796.32</v>
      </c>
      <c r="W394">
        <v>1</v>
      </c>
      <c r="X394" t="s">
        <v>45</v>
      </c>
      <c r="Y394">
        <v>2024</v>
      </c>
    </row>
    <row r="395" spans="1:25" x14ac:dyDescent="0.3">
      <c r="A395" t="s">
        <v>1168</v>
      </c>
      <c r="B395" s="1">
        <v>45637</v>
      </c>
      <c r="C395" t="s">
        <v>1169</v>
      </c>
      <c r="D395" t="s">
        <v>3356</v>
      </c>
      <c r="E395" s="1">
        <v>45642</v>
      </c>
      <c r="F395" t="s">
        <v>115</v>
      </c>
      <c r="G395" t="s">
        <v>66</v>
      </c>
      <c r="H395" t="s">
        <v>114</v>
      </c>
      <c r="I395" t="s">
        <v>2623</v>
      </c>
      <c r="J395" t="s">
        <v>2624</v>
      </c>
      <c r="K395" t="s">
        <v>52</v>
      </c>
      <c r="L395">
        <v>46</v>
      </c>
      <c r="M395">
        <v>1</v>
      </c>
      <c r="N395">
        <v>25</v>
      </c>
      <c r="O395" t="s">
        <v>755</v>
      </c>
      <c r="P395" t="s">
        <v>75</v>
      </c>
      <c r="Q395" t="s">
        <v>117</v>
      </c>
      <c r="R395" t="s">
        <v>71</v>
      </c>
      <c r="S395" t="s">
        <v>116</v>
      </c>
      <c r="T395">
        <v>3</v>
      </c>
      <c r="U395">
        <v>878.04</v>
      </c>
      <c r="V395">
        <v>374.24</v>
      </c>
      <c r="W395">
        <v>5</v>
      </c>
      <c r="X395" t="s">
        <v>94</v>
      </c>
      <c r="Y395">
        <v>2024</v>
      </c>
    </row>
    <row r="396" spans="1:25" x14ac:dyDescent="0.3">
      <c r="A396" t="s">
        <v>1170</v>
      </c>
      <c r="B396" s="1">
        <v>45997</v>
      </c>
      <c r="C396" t="s">
        <v>1171</v>
      </c>
      <c r="D396" t="s">
        <v>3355</v>
      </c>
      <c r="E396" s="1">
        <v>45998</v>
      </c>
      <c r="F396" t="s">
        <v>56</v>
      </c>
      <c r="G396" t="s">
        <v>54</v>
      </c>
      <c r="H396" t="s">
        <v>55</v>
      </c>
      <c r="I396" t="s">
        <v>2665</v>
      </c>
      <c r="J396" t="s">
        <v>2719</v>
      </c>
      <c r="K396" t="s">
        <v>52</v>
      </c>
      <c r="L396">
        <v>31</v>
      </c>
      <c r="M396">
        <v>2</v>
      </c>
      <c r="N396">
        <v>25</v>
      </c>
      <c r="O396" t="s">
        <v>1172</v>
      </c>
      <c r="P396" t="s">
        <v>33</v>
      </c>
      <c r="Q396" t="s">
        <v>58</v>
      </c>
      <c r="R396" t="s">
        <v>32</v>
      </c>
      <c r="S396" t="s">
        <v>57</v>
      </c>
      <c r="T396">
        <v>5</v>
      </c>
      <c r="U396">
        <v>506.51</v>
      </c>
      <c r="V396">
        <v>485.27</v>
      </c>
      <c r="W396">
        <v>1</v>
      </c>
      <c r="X396" t="s">
        <v>94</v>
      </c>
      <c r="Y396">
        <v>2025</v>
      </c>
    </row>
    <row r="397" spans="1:25" x14ac:dyDescent="0.3">
      <c r="A397" t="s">
        <v>1173</v>
      </c>
      <c r="B397" s="1">
        <v>45725</v>
      </c>
      <c r="C397" t="s">
        <v>1174</v>
      </c>
      <c r="D397" t="s">
        <v>3354</v>
      </c>
      <c r="E397" s="1">
        <v>45732</v>
      </c>
      <c r="F397" t="s">
        <v>56</v>
      </c>
      <c r="G397" t="s">
        <v>54</v>
      </c>
      <c r="H397" t="s">
        <v>55</v>
      </c>
      <c r="I397" t="s">
        <v>2631</v>
      </c>
      <c r="J397" t="s">
        <v>2674</v>
      </c>
      <c r="K397" t="s">
        <v>25</v>
      </c>
      <c r="L397">
        <v>24</v>
      </c>
      <c r="M397">
        <v>3</v>
      </c>
      <c r="N397">
        <v>5</v>
      </c>
      <c r="O397" t="s">
        <v>1175</v>
      </c>
      <c r="P397" t="s">
        <v>44</v>
      </c>
      <c r="Q397" t="s">
        <v>70</v>
      </c>
      <c r="R397" t="s">
        <v>43</v>
      </c>
      <c r="S397" t="s">
        <v>57</v>
      </c>
      <c r="T397">
        <v>2</v>
      </c>
      <c r="U397">
        <v>573.71</v>
      </c>
      <c r="V397">
        <v>865.33</v>
      </c>
      <c r="W397">
        <v>7</v>
      </c>
      <c r="X397" t="s">
        <v>34</v>
      </c>
      <c r="Y397">
        <v>2025</v>
      </c>
    </row>
    <row r="398" spans="1:25" x14ac:dyDescent="0.3">
      <c r="A398" t="s">
        <v>1176</v>
      </c>
      <c r="B398" s="1">
        <v>45401</v>
      </c>
      <c r="C398" t="s">
        <v>1177</v>
      </c>
      <c r="D398" t="s">
        <v>3353</v>
      </c>
      <c r="E398" s="1">
        <v>45408</v>
      </c>
      <c r="F398" t="s">
        <v>40</v>
      </c>
      <c r="G398" t="s">
        <v>38</v>
      </c>
      <c r="H398" t="s">
        <v>39</v>
      </c>
      <c r="I398" t="s">
        <v>2625</v>
      </c>
      <c r="J398" t="s">
        <v>2703</v>
      </c>
      <c r="K398" t="s">
        <v>52</v>
      </c>
      <c r="L398">
        <v>65</v>
      </c>
      <c r="M398">
        <v>4</v>
      </c>
      <c r="N398">
        <v>5</v>
      </c>
      <c r="O398" t="s">
        <v>634</v>
      </c>
      <c r="P398" t="s">
        <v>33</v>
      </c>
      <c r="Q398" t="s">
        <v>31</v>
      </c>
      <c r="R398" t="s">
        <v>71</v>
      </c>
      <c r="S398" t="s">
        <v>41</v>
      </c>
      <c r="T398">
        <v>1</v>
      </c>
      <c r="U398">
        <v>28.67</v>
      </c>
      <c r="V398">
        <v>64.47</v>
      </c>
      <c r="W398">
        <v>7</v>
      </c>
      <c r="X398" t="s">
        <v>49</v>
      </c>
      <c r="Y398">
        <v>2024</v>
      </c>
    </row>
    <row r="399" spans="1:25" x14ac:dyDescent="0.3">
      <c r="A399" t="s">
        <v>1178</v>
      </c>
      <c r="B399" s="1">
        <v>45409</v>
      </c>
      <c r="C399" t="s">
        <v>1179</v>
      </c>
      <c r="D399" t="s">
        <v>3352</v>
      </c>
      <c r="E399" s="1">
        <v>45412</v>
      </c>
      <c r="F399" t="s">
        <v>29</v>
      </c>
      <c r="G399" t="s">
        <v>27</v>
      </c>
      <c r="H399" t="s">
        <v>28</v>
      </c>
      <c r="I399" t="s">
        <v>2625</v>
      </c>
      <c r="J399" t="s">
        <v>2703</v>
      </c>
      <c r="K399" t="s">
        <v>25</v>
      </c>
      <c r="L399">
        <v>18</v>
      </c>
      <c r="M399">
        <v>4</v>
      </c>
      <c r="N399">
        <v>20</v>
      </c>
      <c r="O399" t="s">
        <v>1180</v>
      </c>
      <c r="P399" t="s">
        <v>33</v>
      </c>
      <c r="Q399" t="s">
        <v>42</v>
      </c>
      <c r="R399" t="s">
        <v>71</v>
      </c>
      <c r="S399" t="s">
        <v>30</v>
      </c>
      <c r="T399">
        <v>5</v>
      </c>
      <c r="U399">
        <v>133.53</v>
      </c>
      <c r="V399">
        <v>324.86</v>
      </c>
      <c r="W399">
        <v>3</v>
      </c>
      <c r="X399" t="s">
        <v>49</v>
      </c>
      <c r="Y399">
        <v>2024</v>
      </c>
    </row>
    <row r="400" spans="1:25" x14ac:dyDescent="0.3">
      <c r="A400" t="s">
        <v>1181</v>
      </c>
      <c r="B400" s="1">
        <v>45374</v>
      </c>
      <c r="C400" t="s">
        <v>1182</v>
      </c>
      <c r="D400" t="s">
        <v>3351</v>
      </c>
      <c r="E400" s="1">
        <v>45375</v>
      </c>
      <c r="F400" t="s">
        <v>56</v>
      </c>
      <c r="G400" t="s">
        <v>54</v>
      </c>
      <c r="H400" t="s">
        <v>55</v>
      </c>
      <c r="I400" t="s">
        <v>2641</v>
      </c>
      <c r="J400" t="s">
        <v>2642</v>
      </c>
      <c r="K400" t="s">
        <v>25</v>
      </c>
      <c r="L400">
        <v>55</v>
      </c>
      <c r="M400">
        <v>2</v>
      </c>
      <c r="N400">
        <v>10</v>
      </c>
      <c r="O400" t="s">
        <v>1183</v>
      </c>
      <c r="P400" t="s">
        <v>33</v>
      </c>
      <c r="Q400" t="s">
        <v>31</v>
      </c>
      <c r="R400" t="s">
        <v>32</v>
      </c>
      <c r="S400" t="s">
        <v>57</v>
      </c>
      <c r="T400">
        <v>1</v>
      </c>
      <c r="U400">
        <v>614.16999999999996</v>
      </c>
      <c r="V400">
        <v>655.77</v>
      </c>
      <c r="W400">
        <v>1</v>
      </c>
      <c r="X400" t="s">
        <v>34</v>
      </c>
      <c r="Y400">
        <v>2024</v>
      </c>
    </row>
    <row r="401" spans="1:25" x14ac:dyDescent="0.3">
      <c r="A401" t="s">
        <v>1184</v>
      </c>
      <c r="B401" s="1">
        <v>45639</v>
      </c>
      <c r="C401" t="s">
        <v>134</v>
      </c>
      <c r="D401" t="s">
        <v>3350</v>
      </c>
      <c r="E401" s="1">
        <v>45643</v>
      </c>
      <c r="F401" t="s">
        <v>100</v>
      </c>
      <c r="G401" t="s">
        <v>98</v>
      </c>
      <c r="H401" t="s">
        <v>99</v>
      </c>
      <c r="I401" t="s">
        <v>2622</v>
      </c>
      <c r="J401" t="s">
        <v>2704</v>
      </c>
      <c r="K401" t="s">
        <v>52</v>
      </c>
      <c r="L401">
        <v>36</v>
      </c>
      <c r="M401">
        <v>5</v>
      </c>
      <c r="N401">
        <v>20</v>
      </c>
      <c r="O401" t="s">
        <v>1185</v>
      </c>
      <c r="P401" t="s">
        <v>33</v>
      </c>
      <c r="Q401" t="s">
        <v>70</v>
      </c>
      <c r="R401" t="s">
        <v>62</v>
      </c>
      <c r="S401" t="s">
        <v>101</v>
      </c>
      <c r="T401">
        <v>2</v>
      </c>
      <c r="U401">
        <v>358.06</v>
      </c>
      <c r="V401">
        <v>938.22</v>
      </c>
      <c r="W401">
        <v>4</v>
      </c>
      <c r="X401" t="s">
        <v>94</v>
      </c>
      <c r="Y401">
        <v>2024</v>
      </c>
    </row>
    <row r="402" spans="1:25" x14ac:dyDescent="0.3">
      <c r="A402" t="s">
        <v>1186</v>
      </c>
      <c r="B402" s="1">
        <v>45310</v>
      </c>
      <c r="C402" t="s">
        <v>1187</v>
      </c>
      <c r="D402" t="s">
        <v>3349</v>
      </c>
      <c r="E402" s="1">
        <v>45316</v>
      </c>
      <c r="F402" t="s">
        <v>140</v>
      </c>
      <c r="G402" t="s">
        <v>38</v>
      </c>
      <c r="H402" t="s">
        <v>139</v>
      </c>
      <c r="I402" t="s">
        <v>2663</v>
      </c>
      <c r="J402" t="s">
        <v>2670</v>
      </c>
      <c r="K402" t="s">
        <v>52</v>
      </c>
      <c r="L402">
        <v>24</v>
      </c>
      <c r="M402">
        <v>5</v>
      </c>
      <c r="N402">
        <v>20</v>
      </c>
      <c r="O402" t="s">
        <v>1188</v>
      </c>
      <c r="P402" t="s">
        <v>33</v>
      </c>
      <c r="Q402" t="s">
        <v>42</v>
      </c>
      <c r="R402" t="s">
        <v>32</v>
      </c>
      <c r="S402" t="s">
        <v>141</v>
      </c>
      <c r="T402">
        <v>5</v>
      </c>
      <c r="U402">
        <v>218.55</v>
      </c>
      <c r="V402">
        <v>658.03</v>
      </c>
      <c r="W402">
        <v>6</v>
      </c>
      <c r="X402" t="s">
        <v>34</v>
      </c>
      <c r="Y402">
        <v>2024</v>
      </c>
    </row>
    <row r="403" spans="1:25" x14ac:dyDescent="0.3">
      <c r="A403" t="s">
        <v>1189</v>
      </c>
      <c r="B403" s="1">
        <v>45513</v>
      </c>
      <c r="C403" t="s">
        <v>1190</v>
      </c>
      <c r="D403" t="s">
        <v>3348</v>
      </c>
      <c r="E403" s="1">
        <v>45516</v>
      </c>
      <c r="F403" t="s">
        <v>56</v>
      </c>
      <c r="G403" t="s">
        <v>54</v>
      </c>
      <c r="H403" t="s">
        <v>55</v>
      </c>
      <c r="I403" t="s">
        <v>2661</v>
      </c>
      <c r="J403" t="s">
        <v>2671</v>
      </c>
      <c r="K403" t="s">
        <v>52</v>
      </c>
      <c r="L403">
        <v>61</v>
      </c>
      <c r="M403">
        <v>2</v>
      </c>
      <c r="N403">
        <v>10</v>
      </c>
      <c r="O403" t="s">
        <v>889</v>
      </c>
      <c r="P403" t="s">
        <v>44</v>
      </c>
      <c r="Q403" t="s">
        <v>58</v>
      </c>
      <c r="R403" t="s">
        <v>32</v>
      </c>
      <c r="S403" t="s">
        <v>57</v>
      </c>
      <c r="T403">
        <v>1</v>
      </c>
      <c r="U403">
        <v>533</v>
      </c>
      <c r="V403">
        <v>698.24</v>
      </c>
      <c r="W403">
        <v>3</v>
      </c>
      <c r="X403" t="s">
        <v>45</v>
      </c>
      <c r="Y403">
        <v>2024</v>
      </c>
    </row>
    <row r="404" spans="1:25" x14ac:dyDescent="0.3">
      <c r="A404" t="s">
        <v>1191</v>
      </c>
      <c r="B404" s="1">
        <v>45460</v>
      </c>
      <c r="C404" t="s">
        <v>1192</v>
      </c>
      <c r="D404" t="s">
        <v>3347</v>
      </c>
      <c r="E404" s="1">
        <v>45465</v>
      </c>
      <c r="F404" t="s">
        <v>68</v>
      </c>
      <c r="G404" t="s">
        <v>66</v>
      </c>
      <c r="H404" t="s">
        <v>67</v>
      </c>
      <c r="I404" t="s">
        <v>2634</v>
      </c>
      <c r="J404" t="s">
        <v>2644</v>
      </c>
      <c r="K404" t="s">
        <v>25</v>
      </c>
      <c r="L404">
        <v>31</v>
      </c>
      <c r="M404">
        <v>5</v>
      </c>
      <c r="N404">
        <v>0</v>
      </c>
      <c r="O404" t="s">
        <v>1193</v>
      </c>
      <c r="P404" t="s">
        <v>44</v>
      </c>
      <c r="Q404" t="s">
        <v>31</v>
      </c>
      <c r="R404" t="s">
        <v>71</v>
      </c>
      <c r="S404" t="s">
        <v>69</v>
      </c>
      <c r="T404">
        <v>2</v>
      </c>
      <c r="U404">
        <v>695.67</v>
      </c>
      <c r="V404">
        <v>2078.62</v>
      </c>
      <c r="W404">
        <v>5</v>
      </c>
      <c r="X404" t="s">
        <v>49</v>
      </c>
      <c r="Y404">
        <v>2024</v>
      </c>
    </row>
    <row r="405" spans="1:25" x14ac:dyDescent="0.3">
      <c r="A405" t="s">
        <v>1194</v>
      </c>
      <c r="B405" s="1">
        <v>45728</v>
      </c>
      <c r="C405" t="s">
        <v>1195</v>
      </c>
      <c r="D405" t="s">
        <v>3346</v>
      </c>
      <c r="E405" s="1">
        <v>45734</v>
      </c>
      <c r="F405" t="s">
        <v>56</v>
      </c>
      <c r="G405" t="s">
        <v>54</v>
      </c>
      <c r="H405" t="s">
        <v>55</v>
      </c>
      <c r="I405" t="s">
        <v>2622</v>
      </c>
      <c r="J405" t="s">
        <v>2704</v>
      </c>
      <c r="K405" t="s">
        <v>52</v>
      </c>
      <c r="L405">
        <v>41</v>
      </c>
      <c r="M405">
        <v>4</v>
      </c>
      <c r="N405">
        <v>5</v>
      </c>
      <c r="O405" t="s">
        <v>1196</v>
      </c>
      <c r="P405" t="s">
        <v>75</v>
      </c>
      <c r="Q405" t="s">
        <v>70</v>
      </c>
      <c r="R405" t="s">
        <v>32</v>
      </c>
      <c r="S405" t="s">
        <v>57</v>
      </c>
      <c r="T405">
        <v>3</v>
      </c>
      <c r="U405">
        <v>447.95</v>
      </c>
      <c r="V405">
        <v>1388.66</v>
      </c>
      <c r="W405">
        <v>6</v>
      </c>
      <c r="X405" t="s">
        <v>34</v>
      </c>
      <c r="Y405">
        <v>2025</v>
      </c>
    </row>
    <row r="406" spans="1:25" x14ac:dyDescent="0.3">
      <c r="A406" t="s">
        <v>1197</v>
      </c>
      <c r="B406" s="1">
        <v>45514</v>
      </c>
      <c r="C406" t="s">
        <v>1198</v>
      </c>
      <c r="D406" t="s">
        <v>3345</v>
      </c>
      <c r="E406" s="1">
        <v>45519</v>
      </c>
      <c r="F406" t="s">
        <v>29</v>
      </c>
      <c r="G406" t="s">
        <v>27</v>
      </c>
      <c r="H406" t="s">
        <v>28</v>
      </c>
      <c r="I406" t="s">
        <v>2665</v>
      </c>
      <c r="J406" t="s">
        <v>2666</v>
      </c>
      <c r="K406" t="s">
        <v>25</v>
      </c>
      <c r="L406">
        <v>43</v>
      </c>
      <c r="M406">
        <v>4</v>
      </c>
      <c r="N406">
        <v>10</v>
      </c>
      <c r="O406" t="s">
        <v>217</v>
      </c>
      <c r="P406" t="s">
        <v>44</v>
      </c>
      <c r="Q406" t="s">
        <v>31</v>
      </c>
      <c r="R406" t="s">
        <v>32</v>
      </c>
      <c r="S406" t="s">
        <v>30</v>
      </c>
      <c r="T406">
        <v>1</v>
      </c>
      <c r="U406">
        <v>242.47</v>
      </c>
      <c r="V406">
        <v>511.92</v>
      </c>
      <c r="W406">
        <v>5</v>
      </c>
      <c r="X406" t="s">
        <v>45</v>
      </c>
      <c r="Y406">
        <v>2024</v>
      </c>
    </row>
    <row r="407" spans="1:25" x14ac:dyDescent="0.3">
      <c r="A407" t="s">
        <v>1199</v>
      </c>
      <c r="B407" s="1">
        <v>45658</v>
      </c>
      <c r="C407" t="s">
        <v>1200</v>
      </c>
      <c r="D407" t="s">
        <v>3344</v>
      </c>
      <c r="E407" s="1">
        <v>45659</v>
      </c>
      <c r="F407" t="s">
        <v>140</v>
      </c>
      <c r="G407" t="s">
        <v>38</v>
      </c>
      <c r="H407" t="s">
        <v>139</v>
      </c>
      <c r="I407" t="s">
        <v>2629</v>
      </c>
      <c r="J407" t="s">
        <v>2689</v>
      </c>
      <c r="K407" t="s">
        <v>25</v>
      </c>
      <c r="L407">
        <v>47</v>
      </c>
      <c r="M407">
        <v>1</v>
      </c>
      <c r="N407">
        <v>0</v>
      </c>
      <c r="O407" t="s">
        <v>1201</v>
      </c>
      <c r="P407" t="s">
        <v>75</v>
      </c>
      <c r="Q407" t="s">
        <v>58</v>
      </c>
      <c r="R407" t="s">
        <v>62</v>
      </c>
      <c r="S407" t="s">
        <v>141</v>
      </c>
      <c r="T407">
        <v>4</v>
      </c>
      <c r="U407">
        <v>240.8</v>
      </c>
      <c r="V407">
        <v>139.88999999999999</v>
      </c>
      <c r="W407">
        <v>1</v>
      </c>
      <c r="X407" t="s">
        <v>34</v>
      </c>
      <c r="Y407">
        <v>2025</v>
      </c>
    </row>
    <row r="408" spans="1:25" x14ac:dyDescent="0.3">
      <c r="A408" t="s">
        <v>1202</v>
      </c>
      <c r="B408" s="1">
        <v>45846</v>
      </c>
      <c r="C408" t="s">
        <v>1203</v>
      </c>
      <c r="D408" t="s">
        <v>3343</v>
      </c>
      <c r="E408" s="1">
        <v>45851</v>
      </c>
      <c r="F408" t="s">
        <v>29</v>
      </c>
      <c r="G408" t="s">
        <v>27</v>
      </c>
      <c r="H408" t="s">
        <v>28</v>
      </c>
      <c r="I408" t="s">
        <v>2668</v>
      </c>
      <c r="J408" t="s">
        <v>2669</v>
      </c>
      <c r="K408" t="s">
        <v>52</v>
      </c>
      <c r="L408">
        <v>27</v>
      </c>
      <c r="M408">
        <v>1</v>
      </c>
      <c r="N408">
        <v>0</v>
      </c>
      <c r="O408" t="s">
        <v>207</v>
      </c>
      <c r="P408" t="s">
        <v>75</v>
      </c>
      <c r="Q408" t="s">
        <v>42</v>
      </c>
      <c r="R408" t="s">
        <v>32</v>
      </c>
      <c r="S408" t="s">
        <v>30</v>
      </c>
      <c r="T408">
        <v>3</v>
      </c>
      <c r="U408">
        <v>297.97000000000003</v>
      </c>
      <c r="V408">
        <v>193.77</v>
      </c>
      <c r="W408">
        <v>5</v>
      </c>
      <c r="X408" t="s">
        <v>45</v>
      </c>
      <c r="Y408">
        <v>2025</v>
      </c>
    </row>
    <row r="409" spans="1:25" x14ac:dyDescent="0.3">
      <c r="A409" t="s">
        <v>1204</v>
      </c>
      <c r="B409" s="1">
        <v>45648</v>
      </c>
      <c r="C409" t="s">
        <v>1205</v>
      </c>
      <c r="D409" t="s">
        <v>3342</v>
      </c>
      <c r="E409" s="1">
        <v>45649</v>
      </c>
      <c r="F409" t="s">
        <v>122</v>
      </c>
      <c r="G409" t="s">
        <v>120</v>
      </c>
      <c r="H409" t="s">
        <v>121</v>
      </c>
      <c r="I409" t="s">
        <v>2629</v>
      </c>
      <c r="J409" t="s">
        <v>2689</v>
      </c>
      <c r="K409" t="s">
        <v>52</v>
      </c>
      <c r="L409">
        <v>59</v>
      </c>
      <c r="M409">
        <v>4</v>
      </c>
      <c r="N409">
        <v>20</v>
      </c>
      <c r="O409" t="s">
        <v>1206</v>
      </c>
      <c r="P409" t="s">
        <v>33</v>
      </c>
      <c r="Q409" t="s">
        <v>117</v>
      </c>
      <c r="R409" t="s">
        <v>62</v>
      </c>
      <c r="S409" t="s">
        <v>123</v>
      </c>
      <c r="T409">
        <v>4</v>
      </c>
      <c r="U409">
        <v>497.17</v>
      </c>
      <c r="V409">
        <v>1326.17</v>
      </c>
      <c r="W409">
        <v>1</v>
      </c>
      <c r="X409" t="s">
        <v>94</v>
      </c>
      <c r="Y409">
        <v>2024</v>
      </c>
    </row>
    <row r="410" spans="1:25" x14ac:dyDescent="0.3">
      <c r="A410" t="s">
        <v>1207</v>
      </c>
      <c r="B410" s="1">
        <v>45928</v>
      </c>
      <c r="C410" t="s">
        <v>1208</v>
      </c>
      <c r="D410" t="s">
        <v>3341</v>
      </c>
      <c r="E410" s="1">
        <v>45933</v>
      </c>
      <c r="F410" t="s">
        <v>29</v>
      </c>
      <c r="G410" t="s">
        <v>27</v>
      </c>
      <c r="H410" t="s">
        <v>28</v>
      </c>
      <c r="I410" t="s">
        <v>2625</v>
      </c>
      <c r="J410" t="s">
        <v>2651</v>
      </c>
      <c r="K410" t="s">
        <v>52</v>
      </c>
      <c r="L410">
        <v>39</v>
      </c>
      <c r="M410">
        <v>3</v>
      </c>
      <c r="N410">
        <v>10</v>
      </c>
      <c r="O410" t="s">
        <v>1209</v>
      </c>
      <c r="P410" t="s">
        <v>44</v>
      </c>
      <c r="Q410" t="s">
        <v>117</v>
      </c>
      <c r="R410" t="s">
        <v>62</v>
      </c>
      <c r="S410" t="s">
        <v>30</v>
      </c>
      <c r="T410">
        <v>5</v>
      </c>
      <c r="U410">
        <v>20.37</v>
      </c>
      <c r="V410">
        <v>37.86</v>
      </c>
      <c r="W410">
        <v>5</v>
      </c>
      <c r="X410" t="s">
        <v>45</v>
      </c>
      <c r="Y410">
        <v>2025</v>
      </c>
    </row>
    <row r="411" spans="1:25" x14ac:dyDescent="0.3">
      <c r="A411" t="s">
        <v>1210</v>
      </c>
      <c r="B411" s="1">
        <v>45959</v>
      </c>
      <c r="C411" t="s">
        <v>1211</v>
      </c>
      <c r="D411" t="s">
        <v>3340</v>
      </c>
      <c r="E411" s="1">
        <v>45966</v>
      </c>
      <c r="F411" t="s">
        <v>29</v>
      </c>
      <c r="G411" t="s">
        <v>27</v>
      </c>
      <c r="H411" t="s">
        <v>28</v>
      </c>
      <c r="I411" t="s">
        <v>2634</v>
      </c>
      <c r="J411" t="s">
        <v>2650</v>
      </c>
      <c r="K411" t="s">
        <v>52</v>
      </c>
      <c r="L411">
        <v>32</v>
      </c>
      <c r="M411">
        <v>1</v>
      </c>
      <c r="N411">
        <v>10</v>
      </c>
      <c r="O411" t="s">
        <v>1212</v>
      </c>
      <c r="P411" t="s">
        <v>75</v>
      </c>
      <c r="Q411" t="s">
        <v>70</v>
      </c>
      <c r="R411" t="s">
        <v>71</v>
      </c>
      <c r="S411" t="s">
        <v>30</v>
      </c>
      <c r="T411">
        <v>1</v>
      </c>
      <c r="U411">
        <v>566.73</v>
      </c>
      <c r="V411">
        <v>317.60000000000002</v>
      </c>
      <c r="W411">
        <v>7</v>
      </c>
      <c r="X411" t="s">
        <v>94</v>
      </c>
      <c r="Y411">
        <v>2025</v>
      </c>
    </row>
    <row r="412" spans="1:25" x14ac:dyDescent="0.3">
      <c r="A412" t="s">
        <v>1213</v>
      </c>
      <c r="B412" s="1">
        <v>45629</v>
      </c>
      <c r="C412" t="s">
        <v>1214</v>
      </c>
      <c r="D412" t="s">
        <v>3339</v>
      </c>
      <c r="E412" s="1">
        <v>45630</v>
      </c>
      <c r="F412" t="s">
        <v>68</v>
      </c>
      <c r="G412" t="s">
        <v>66</v>
      </c>
      <c r="H412" t="s">
        <v>67</v>
      </c>
      <c r="I412" t="s">
        <v>2629</v>
      </c>
      <c r="J412" t="s">
        <v>2697</v>
      </c>
      <c r="K412" t="s">
        <v>52</v>
      </c>
      <c r="L412">
        <v>52</v>
      </c>
      <c r="M412">
        <v>2</v>
      </c>
      <c r="N412">
        <v>15</v>
      </c>
      <c r="O412" t="s">
        <v>934</v>
      </c>
      <c r="P412" t="s">
        <v>75</v>
      </c>
      <c r="Q412" t="s">
        <v>70</v>
      </c>
      <c r="R412" t="s">
        <v>71</v>
      </c>
      <c r="S412" t="s">
        <v>69</v>
      </c>
      <c r="T412">
        <v>2</v>
      </c>
      <c r="U412">
        <v>607.12</v>
      </c>
      <c r="V412">
        <v>806.7</v>
      </c>
      <c r="W412">
        <v>1</v>
      </c>
      <c r="X412" t="s">
        <v>94</v>
      </c>
      <c r="Y412">
        <v>2024</v>
      </c>
    </row>
    <row r="413" spans="1:25" x14ac:dyDescent="0.3">
      <c r="A413" t="s">
        <v>1215</v>
      </c>
      <c r="B413" s="1">
        <v>45500</v>
      </c>
      <c r="C413" t="s">
        <v>1216</v>
      </c>
      <c r="D413" t="s">
        <v>3338</v>
      </c>
      <c r="E413" s="1">
        <v>45501</v>
      </c>
      <c r="F413" t="s">
        <v>122</v>
      </c>
      <c r="G413" t="s">
        <v>120</v>
      </c>
      <c r="H413" t="s">
        <v>121</v>
      </c>
      <c r="I413" t="s">
        <v>2656</v>
      </c>
      <c r="J413" t="s">
        <v>2683</v>
      </c>
      <c r="K413" t="s">
        <v>52</v>
      </c>
      <c r="L413">
        <v>61</v>
      </c>
      <c r="M413">
        <v>3</v>
      </c>
      <c r="N413">
        <v>30</v>
      </c>
      <c r="O413" t="s">
        <v>1055</v>
      </c>
      <c r="P413" t="s">
        <v>33</v>
      </c>
      <c r="Q413" t="s">
        <v>31</v>
      </c>
      <c r="R413" t="s">
        <v>43</v>
      </c>
      <c r="S413" t="s">
        <v>123</v>
      </c>
      <c r="T413">
        <v>2</v>
      </c>
      <c r="U413">
        <v>476.8</v>
      </c>
      <c r="V413">
        <v>721.64</v>
      </c>
      <c r="W413">
        <v>1</v>
      </c>
      <c r="X413" t="s">
        <v>45</v>
      </c>
      <c r="Y413">
        <v>2024</v>
      </c>
    </row>
    <row r="414" spans="1:25" x14ac:dyDescent="0.3">
      <c r="A414" t="s">
        <v>1217</v>
      </c>
      <c r="B414" s="1">
        <v>46117</v>
      </c>
      <c r="C414" t="s">
        <v>1218</v>
      </c>
      <c r="D414" t="s">
        <v>3337</v>
      </c>
      <c r="E414" s="1">
        <v>46121</v>
      </c>
      <c r="F414" t="s">
        <v>100</v>
      </c>
      <c r="G414" t="s">
        <v>98</v>
      </c>
      <c r="H414" t="s">
        <v>99</v>
      </c>
      <c r="I414" t="s">
        <v>2633</v>
      </c>
      <c r="J414" t="s">
        <v>2695</v>
      </c>
      <c r="K414" t="s">
        <v>52</v>
      </c>
      <c r="L414">
        <v>60</v>
      </c>
      <c r="M414">
        <v>3</v>
      </c>
      <c r="N414">
        <v>25</v>
      </c>
      <c r="O414" t="s">
        <v>1219</v>
      </c>
      <c r="P414" t="s">
        <v>44</v>
      </c>
      <c r="Q414" t="s">
        <v>58</v>
      </c>
      <c r="R414" t="s">
        <v>62</v>
      </c>
      <c r="S414" t="s">
        <v>101</v>
      </c>
      <c r="T414">
        <v>1</v>
      </c>
      <c r="U414">
        <v>588.16</v>
      </c>
      <c r="V414">
        <v>1104.78</v>
      </c>
      <c r="W414">
        <v>4</v>
      </c>
      <c r="X414" t="s">
        <v>49</v>
      </c>
      <c r="Y414">
        <v>2026</v>
      </c>
    </row>
    <row r="415" spans="1:25" x14ac:dyDescent="0.3">
      <c r="A415" t="s">
        <v>1220</v>
      </c>
      <c r="B415" s="1">
        <v>46162</v>
      </c>
      <c r="C415" t="s">
        <v>1221</v>
      </c>
      <c r="D415" t="s">
        <v>3336</v>
      </c>
      <c r="E415" s="1">
        <v>46165</v>
      </c>
      <c r="F415" t="s">
        <v>29</v>
      </c>
      <c r="G415" t="s">
        <v>27</v>
      </c>
      <c r="H415" t="s">
        <v>28</v>
      </c>
      <c r="I415" t="s">
        <v>2665</v>
      </c>
      <c r="J415" t="s">
        <v>2719</v>
      </c>
      <c r="K415" t="s">
        <v>25</v>
      </c>
      <c r="L415">
        <v>31</v>
      </c>
      <c r="M415">
        <v>5</v>
      </c>
      <c r="N415">
        <v>5</v>
      </c>
      <c r="O415" t="s">
        <v>1222</v>
      </c>
      <c r="P415" t="s">
        <v>33</v>
      </c>
      <c r="Q415" t="s">
        <v>117</v>
      </c>
      <c r="R415" t="s">
        <v>71</v>
      </c>
      <c r="S415" t="s">
        <v>30</v>
      </c>
      <c r="T415">
        <v>1</v>
      </c>
      <c r="U415">
        <v>822.34</v>
      </c>
      <c r="V415">
        <v>2244.29</v>
      </c>
      <c r="W415">
        <v>3</v>
      </c>
      <c r="X415" t="s">
        <v>49</v>
      </c>
      <c r="Y415">
        <v>2026</v>
      </c>
    </row>
    <row r="416" spans="1:25" x14ac:dyDescent="0.3">
      <c r="A416" t="s">
        <v>1223</v>
      </c>
      <c r="B416" s="1">
        <v>45982</v>
      </c>
      <c r="C416" t="s">
        <v>1224</v>
      </c>
      <c r="D416" t="s">
        <v>3335</v>
      </c>
      <c r="E416" s="1">
        <v>45985</v>
      </c>
      <c r="F416" t="s">
        <v>100</v>
      </c>
      <c r="G416" t="s">
        <v>98</v>
      </c>
      <c r="H416" t="s">
        <v>99</v>
      </c>
      <c r="I416" t="s">
        <v>2672</v>
      </c>
      <c r="J416" t="s">
        <v>2716</v>
      </c>
      <c r="K416" t="s">
        <v>25</v>
      </c>
      <c r="L416">
        <v>23</v>
      </c>
      <c r="M416">
        <v>2</v>
      </c>
      <c r="N416">
        <v>5</v>
      </c>
      <c r="O416" t="s">
        <v>1225</v>
      </c>
      <c r="P416" t="s">
        <v>75</v>
      </c>
      <c r="Q416" t="s">
        <v>42</v>
      </c>
      <c r="R416" t="s">
        <v>32</v>
      </c>
      <c r="S416" t="s">
        <v>101</v>
      </c>
      <c r="T416">
        <v>4</v>
      </c>
      <c r="U416">
        <v>782.61</v>
      </c>
      <c r="V416">
        <v>1005.79</v>
      </c>
      <c r="W416">
        <v>3</v>
      </c>
      <c r="X416" t="s">
        <v>94</v>
      </c>
      <c r="Y416">
        <v>2025</v>
      </c>
    </row>
    <row r="417" spans="1:25" x14ac:dyDescent="0.3">
      <c r="A417" t="s">
        <v>1226</v>
      </c>
      <c r="B417" s="1">
        <v>45987</v>
      </c>
      <c r="C417" t="s">
        <v>1227</v>
      </c>
      <c r="D417" t="s">
        <v>3334</v>
      </c>
      <c r="E417" s="1">
        <v>45992</v>
      </c>
      <c r="F417" t="s">
        <v>56</v>
      </c>
      <c r="G417" t="s">
        <v>54</v>
      </c>
      <c r="H417" t="s">
        <v>55</v>
      </c>
      <c r="I417" t="s">
        <v>2632</v>
      </c>
      <c r="J417" t="s">
        <v>2646</v>
      </c>
      <c r="K417" t="s">
        <v>25</v>
      </c>
      <c r="L417">
        <v>40</v>
      </c>
      <c r="M417">
        <v>2</v>
      </c>
      <c r="N417">
        <v>15</v>
      </c>
      <c r="O417" t="s">
        <v>1228</v>
      </c>
      <c r="P417" t="s">
        <v>44</v>
      </c>
      <c r="Q417" t="s">
        <v>58</v>
      </c>
      <c r="R417" t="s">
        <v>43</v>
      </c>
      <c r="S417" t="s">
        <v>57</v>
      </c>
      <c r="T417">
        <v>2</v>
      </c>
      <c r="U417">
        <v>724.2</v>
      </c>
      <c r="V417">
        <v>976.17</v>
      </c>
      <c r="W417">
        <v>5</v>
      </c>
      <c r="X417" t="s">
        <v>94</v>
      </c>
      <c r="Y417">
        <v>2025</v>
      </c>
    </row>
    <row r="418" spans="1:25" x14ac:dyDescent="0.3">
      <c r="A418" t="s">
        <v>1229</v>
      </c>
      <c r="B418" s="1">
        <v>45724</v>
      </c>
      <c r="C418" t="s">
        <v>1230</v>
      </c>
      <c r="D418" t="s">
        <v>3333</v>
      </c>
      <c r="E418" s="1">
        <v>45731</v>
      </c>
      <c r="F418" t="s">
        <v>68</v>
      </c>
      <c r="G418" t="s">
        <v>66</v>
      </c>
      <c r="H418" t="s">
        <v>67</v>
      </c>
      <c r="I418" t="s">
        <v>2672</v>
      </c>
      <c r="J418" t="s">
        <v>2716</v>
      </c>
      <c r="K418" t="s">
        <v>25</v>
      </c>
      <c r="L418">
        <v>38</v>
      </c>
      <c r="M418">
        <v>2</v>
      </c>
      <c r="N418">
        <v>5</v>
      </c>
      <c r="O418" t="s">
        <v>555</v>
      </c>
      <c r="P418" t="s">
        <v>33</v>
      </c>
      <c r="Q418" t="s">
        <v>42</v>
      </c>
      <c r="R418" t="s">
        <v>32</v>
      </c>
      <c r="S418" t="s">
        <v>69</v>
      </c>
      <c r="T418">
        <v>2</v>
      </c>
      <c r="U418">
        <v>806.17</v>
      </c>
      <c r="V418">
        <v>1171.28</v>
      </c>
      <c r="W418">
        <v>7</v>
      </c>
      <c r="X418" t="s">
        <v>34</v>
      </c>
      <c r="Y418">
        <v>2025</v>
      </c>
    </row>
    <row r="419" spans="1:25" x14ac:dyDescent="0.3">
      <c r="A419" t="s">
        <v>1231</v>
      </c>
      <c r="B419" s="1">
        <v>46048</v>
      </c>
      <c r="C419" t="s">
        <v>1232</v>
      </c>
      <c r="D419" t="s">
        <v>3332</v>
      </c>
      <c r="E419" s="1">
        <v>46053</v>
      </c>
      <c r="F419" t="s">
        <v>140</v>
      </c>
      <c r="G419" t="s">
        <v>38</v>
      </c>
      <c r="H419" t="s">
        <v>139</v>
      </c>
      <c r="I419" t="s">
        <v>2631</v>
      </c>
      <c r="J419" t="s">
        <v>2694</v>
      </c>
      <c r="K419" t="s">
        <v>52</v>
      </c>
      <c r="L419">
        <v>46</v>
      </c>
      <c r="M419">
        <v>1</v>
      </c>
      <c r="N419">
        <v>20</v>
      </c>
      <c r="O419" t="s">
        <v>1233</v>
      </c>
      <c r="P419" t="s">
        <v>75</v>
      </c>
      <c r="Q419" t="s">
        <v>70</v>
      </c>
      <c r="R419" t="s">
        <v>71</v>
      </c>
      <c r="S419" t="s">
        <v>141</v>
      </c>
      <c r="T419">
        <v>2</v>
      </c>
      <c r="U419">
        <v>701.76</v>
      </c>
      <c r="V419">
        <v>361.39</v>
      </c>
      <c r="W419">
        <v>5</v>
      </c>
      <c r="X419" t="s">
        <v>34</v>
      </c>
      <c r="Y419">
        <v>2026</v>
      </c>
    </row>
    <row r="420" spans="1:25" x14ac:dyDescent="0.3">
      <c r="A420" t="s">
        <v>1234</v>
      </c>
      <c r="B420" s="1">
        <v>45952</v>
      </c>
      <c r="C420" t="s">
        <v>1235</v>
      </c>
      <c r="D420" t="s">
        <v>3331</v>
      </c>
      <c r="E420" s="1">
        <v>45955</v>
      </c>
      <c r="F420" t="s">
        <v>29</v>
      </c>
      <c r="G420" t="s">
        <v>27</v>
      </c>
      <c r="H420" t="s">
        <v>28</v>
      </c>
      <c r="I420" t="s">
        <v>2625</v>
      </c>
      <c r="J420" t="s">
        <v>2703</v>
      </c>
      <c r="K420" t="s">
        <v>25</v>
      </c>
      <c r="L420">
        <v>33</v>
      </c>
      <c r="M420">
        <v>4</v>
      </c>
      <c r="N420">
        <v>10</v>
      </c>
      <c r="O420" t="s">
        <v>1236</v>
      </c>
      <c r="P420" t="s">
        <v>44</v>
      </c>
      <c r="Q420" t="s">
        <v>31</v>
      </c>
      <c r="R420" t="s">
        <v>71</v>
      </c>
      <c r="S420" t="s">
        <v>30</v>
      </c>
      <c r="T420">
        <v>1</v>
      </c>
      <c r="U420">
        <v>337.07</v>
      </c>
      <c r="V420">
        <v>988.78</v>
      </c>
      <c r="W420">
        <v>3</v>
      </c>
      <c r="X420" t="s">
        <v>94</v>
      </c>
      <c r="Y420">
        <v>2025</v>
      </c>
    </row>
    <row r="421" spans="1:25" x14ac:dyDescent="0.3">
      <c r="A421" t="s">
        <v>1237</v>
      </c>
      <c r="B421" s="1">
        <v>45964</v>
      </c>
      <c r="C421" t="s">
        <v>1238</v>
      </c>
      <c r="D421" t="s">
        <v>3330</v>
      </c>
      <c r="E421" s="1">
        <v>45965</v>
      </c>
      <c r="F421" t="s">
        <v>56</v>
      </c>
      <c r="G421" t="s">
        <v>54</v>
      </c>
      <c r="H421" t="s">
        <v>55</v>
      </c>
      <c r="I421" t="s">
        <v>2672</v>
      </c>
      <c r="J421" t="s">
        <v>2690</v>
      </c>
      <c r="K421" t="s">
        <v>25</v>
      </c>
      <c r="L421">
        <v>18</v>
      </c>
      <c r="M421">
        <v>2</v>
      </c>
      <c r="N421">
        <v>15</v>
      </c>
      <c r="O421" t="s">
        <v>1239</v>
      </c>
      <c r="P421" t="s">
        <v>44</v>
      </c>
      <c r="Q421" t="s">
        <v>31</v>
      </c>
      <c r="R421" t="s">
        <v>62</v>
      </c>
      <c r="S421" t="s">
        <v>57</v>
      </c>
      <c r="T421">
        <v>1</v>
      </c>
      <c r="U421">
        <v>897.94</v>
      </c>
      <c r="V421">
        <v>1215.69</v>
      </c>
      <c r="W421">
        <v>1</v>
      </c>
      <c r="X421" t="s">
        <v>94</v>
      </c>
      <c r="Y421">
        <v>2025</v>
      </c>
    </row>
    <row r="422" spans="1:25" x14ac:dyDescent="0.3">
      <c r="A422" t="s">
        <v>1240</v>
      </c>
      <c r="B422" s="1">
        <v>45909</v>
      </c>
      <c r="C422" t="s">
        <v>1241</v>
      </c>
      <c r="D422" t="s">
        <v>2769</v>
      </c>
      <c r="E422" s="1">
        <v>45910</v>
      </c>
      <c r="F422" t="s">
        <v>128</v>
      </c>
      <c r="G422" t="s">
        <v>98</v>
      </c>
      <c r="H422" t="s">
        <v>127</v>
      </c>
      <c r="I422" t="s">
        <v>2633</v>
      </c>
      <c r="J422" t="s">
        <v>2636</v>
      </c>
      <c r="K422" t="s">
        <v>25</v>
      </c>
      <c r="L422">
        <v>27</v>
      </c>
      <c r="M422">
        <v>1</v>
      </c>
      <c r="N422">
        <v>5</v>
      </c>
      <c r="O422" t="s">
        <v>1242</v>
      </c>
      <c r="P422" t="s">
        <v>75</v>
      </c>
      <c r="Q422" t="s">
        <v>31</v>
      </c>
      <c r="R422" t="s">
        <v>32</v>
      </c>
      <c r="S422" t="s">
        <v>129</v>
      </c>
      <c r="T422">
        <v>4</v>
      </c>
      <c r="U422">
        <v>391.83</v>
      </c>
      <c r="V422">
        <v>202.07</v>
      </c>
      <c r="W422">
        <v>1</v>
      </c>
      <c r="X422" t="s">
        <v>45</v>
      </c>
      <c r="Y422">
        <v>2025</v>
      </c>
    </row>
    <row r="423" spans="1:25" x14ac:dyDescent="0.3">
      <c r="A423" t="s">
        <v>1243</v>
      </c>
      <c r="B423" s="1">
        <v>45820</v>
      </c>
      <c r="C423" t="s">
        <v>1244</v>
      </c>
      <c r="D423" t="s">
        <v>2768</v>
      </c>
      <c r="E423" s="1">
        <v>45821</v>
      </c>
      <c r="F423" t="s">
        <v>56</v>
      </c>
      <c r="G423" t="s">
        <v>54</v>
      </c>
      <c r="H423" t="s">
        <v>55</v>
      </c>
      <c r="I423" t="s">
        <v>2625</v>
      </c>
      <c r="J423" t="s">
        <v>2626</v>
      </c>
      <c r="K423" t="s">
        <v>25</v>
      </c>
      <c r="L423">
        <v>43</v>
      </c>
      <c r="M423">
        <v>3</v>
      </c>
      <c r="N423">
        <v>15</v>
      </c>
      <c r="O423" t="s">
        <v>1245</v>
      </c>
      <c r="P423" t="s">
        <v>75</v>
      </c>
      <c r="Q423" t="s">
        <v>58</v>
      </c>
      <c r="R423" t="s">
        <v>32</v>
      </c>
      <c r="S423" t="s">
        <v>57</v>
      </c>
      <c r="T423">
        <v>2</v>
      </c>
      <c r="U423">
        <v>230.79</v>
      </c>
      <c r="V423">
        <v>470.85</v>
      </c>
      <c r="W423">
        <v>1</v>
      </c>
      <c r="X423" t="s">
        <v>49</v>
      </c>
      <c r="Y423">
        <v>2025</v>
      </c>
    </row>
    <row r="424" spans="1:25" x14ac:dyDescent="0.3">
      <c r="A424" t="s">
        <v>1246</v>
      </c>
      <c r="B424" s="1">
        <v>45480</v>
      </c>
      <c r="C424" t="s">
        <v>1247</v>
      </c>
      <c r="D424" t="s">
        <v>2767</v>
      </c>
      <c r="E424" s="1">
        <v>45486</v>
      </c>
      <c r="F424" t="s">
        <v>29</v>
      </c>
      <c r="G424" t="s">
        <v>27</v>
      </c>
      <c r="H424" t="s">
        <v>28</v>
      </c>
      <c r="I424" t="s">
        <v>2652</v>
      </c>
      <c r="J424" t="s">
        <v>2706</v>
      </c>
      <c r="K424" t="s">
        <v>25</v>
      </c>
      <c r="L424">
        <v>58</v>
      </c>
      <c r="M424">
        <v>5</v>
      </c>
      <c r="N424">
        <v>20</v>
      </c>
      <c r="O424" t="s">
        <v>1248</v>
      </c>
      <c r="P424" t="s">
        <v>33</v>
      </c>
      <c r="Q424" t="s">
        <v>58</v>
      </c>
      <c r="R424" t="s">
        <v>71</v>
      </c>
      <c r="S424" t="s">
        <v>30</v>
      </c>
      <c r="T424">
        <v>2</v>
      </c>
      <c r="U424">
        <v>162.41999999999999</v>
      </c>
      <c r="V424">
        <v>436.26</v>
      </c>
      <c r="W424">
        <v>6</v>
      </c>
      <c r="X424" t="s">
        <v>45</v>
      </c>
      <c r="Y424">
        <v>2024</v>
      </c>
    </row>
    <row r="425" spans="1:25" x14ac:dyDescent="0.3">
      <c r="A425" t="s">
        <v>1249</v>
      </c>
      <c r="B425" s="1">
        <v>45525</v>
      </c>
      <c r="C425" t="s">
        <v>149</v>
      </c>
      <c r="D425" t="s">
        <v>2766</v>
      </c>
      <c r="E425" s="1">
        <v>45528</v>
      </c>
      <c r="F425" t="s">
        <v>140</v>
      </c>
      <c r="G425" t="s">
        <v>38</v>
      </c>
      <c r="H425" t="s">
        <v>139</v>
      </c>
      <c r="I425" t="s">
        <v>2623</v>
      </c>
      <c r="J425" t="s">
        <v>2696</v>
      </c>
      <c r="K425" t="s">
        <v>52</v>
      </c>
      <c r="L425">
        <v>57</v>
      </c>
      <c r="M425">
        <v>1</v>
      </c>
      <c r="N425">
        <v>15</v>
      </c>
      <c r="O425" t="s">
        <v>1250</v>
      </c>
      <c r="P425" t="s">
        <v>33</v>
      </c>
      <c r="Q425" t="s">
        <v>58</v>
      </c>
      <c r="R425" t="s">
        <v>32</v>
      </c>
      <c r="S425" t="s">
        <v>141</v>
      </c>
      <c r="T425">
        <v>2</v>
      </c>
      <c r="U425">
        <v>245.51</v>
      </c>
      <c r="V425">
        <v>152.71</v>
      </c>
      <c r="W425">
        <v>3</v>
      </c>
      <c r="X425" t="s">
        <v>45</v>
      </c>
      <c r="Y425">
        <v>2024</v>
      </c>
    </row>
    <row r="426" spans="1:25" x14ac:dyDescent="0.3">
      <c r="A426" t="s">
        <v>1251</v>
      </c>
      <c r="B426" s="1">
        <v>45950</v>
      </c>
      <c r="C426" t="s">
        <v>1252</v>
      </c>
      <c r="D426" t="s">
        <v>3329</v>
      </c>
      <c r="E426" s="1">
        <v>45954</v>
      </c>
      <c r="F426" t="s">
        <v>122</v>
      </c>
      <c r="G426" t="s">
        <v>120</v>
      </c>
      <c r="H426" t="s">
        <v>121</v>
      </c>
      <c r="I426" t="s">
        <v>2622</v>
      </c>
      <c r="J426" t="s">
        <v>2705</v>
      </c>
      <c r="K426" t="s">
        <v>25</v>
      </c>
      <c r="L426">
        <v>36</v>
      </c>
      <c r="M426">
        <v>4</v>
      </c>
      <c r="N426">
        <v>0</v>
      </c>
      <c r="O426" t="s">
        <v>1253</v>
      </c>
      <c r="P426" t="s">
        <v>75</v>
      </c>
      <c r="Q426" t="s">
        <v>31</v>
      </c>
      <c r="R426" t="s">
        <v>71</v>
      </c>
      <c r="S426" t="s">
        <v>123</v>
      </c>
      <c r="T426">
        <v>3</v>
      </c>
      <c r="U426">
        <v>887.23</v>
      </c>
      <c r="V426">
        <v>2471.46</v>
      </c>
      <c r="W426">
        <v>4</v>
      </c>
      <c r="X426" t="s">
        <v>94</v>
      </c>
      <c r="Y426">
        <v>2025</v>
      </c>
    </row>
    <row r="427" spans="1:25" x14ac:dyDescent="0.3">
      <c r="A427" t="s">
        <v>1254</v>
      </c>
      <c r="B427" s="1">
        <v>45559</v>
      </c>
      <c r="C427" t="s">
        <v>1007</v>
      </c>
      <c r="D427" t="s">
        <v>3328</v>
      </c>
      <c r="E427" s="1">
        <v>45560</v>
      </c>
      <c r="F427" t="s">
        <v>29</v>
      </c>
      <c r="G427" t="s">
        <v>27</v>
      </c>
      <c r="H427" t="s">
        <v>28</v>
      </c>
      <c r="I427" t="s">
        <v>2668</v>
      </c>
      <c r="J427" t="s">
        <v>2682</v>
      </c>
      <c r="K427" t="s">
        <v>52</v>
      </c>
      <c r="L427">
        <v>61</v>
      </c>
      <c r="M427">
        <v>4</v>
      </c>
      <c r="N427">
        <v>10</v>
      </c>
      <c r="O427" t="s">
        <v>1228</v>
      </c>
      <c r="P427" t="s">
        <v>44</v>
      </c>
      <c r="Q427" t="s">
        <v>31</v>
      </c>
      <c r="R427" t="s">
        <v>43</v>
      </c>
      <c r="S427" t="s">
        <v>30</v>
      </c>
      <c r="T427">
        <v>2</v>
      </c>
      <c r="U427">
        <v>876.3</v>
      </c>
      <c r="V427">
        <v>2659.66</v>
      </c>
      <c r="W427">
        <v>1</v>
      </c>
      <c r="X427" t="s">
        <v>45</v>
      </c>
      <c r="Y427">
        <v>2024</v>
      </c>
    </row>
    <row r="428" spans="1:25" x14ac:dyDescent="0.3">
      <c r="A428" t="s">
        <v>1255</v>
      </c>
      <c r="B428" s="1">
        <v>45603</v>
      </c>
      <c r="C428" t="s">
        <v>1256</v>
      </c>
      <c r="D428" t="s">
        <v>3327</v>
      </c>
      <c r="E428" s="1">
        <v>45605</v>
      </c>
      <c r="F428" t="s">
        <v>56</v>
      </c>
      <c r="G428" t="s">
        <v>54</v>
      </c>
      <c r="H428" t="s">
        <v>55</v>
      </c>
      <c r="I428" t="s">
        <v>2625</v>
      </c>
      <c r="J428" t="s">
        <v>2703</v>
      </c>
      <c r="K428" t="s">
        <v>52</v>
      </c>
      <c r="L428">
        <v>18</v>
      </c>
      <c r="M428">
        <v>3</v>
      </c>
      <c r="N428">
        <v>15</v>
      </c>
      <c r="O428" t="s">
        <v>1257</v>
      </c>
      <c r="P428" t="s">
        <v>44</v>
      </c>
      <c r="Q428" t="s">
        <v>117</v>
      </c>
      <c r="R428" t="s">
        <v>43</v>
      </c>
      <c r="S428" t="s">
        <v>57</v>
      </c>
      <c r="T428">
        <v>2</v>
      </c>
      <c r="U428">
        <v>783.39</v>
      </c>
      <c r="V428">
        <v>1553.16</v>
      </c>
      <c r="W428">
        <v>2</v>
      </c>
      <c r="X428" t="s">
        <v>94</v>
      </c>
      <c r="Y428">
        <v>2024</v>
      </c>
    </row>
    <row r="429" spans="1:25" x14ac:dyDescent="0.3">
      <c r="A429" t="s">
        <v>1258</v>
      </c>
      <c r="B429" s="1">
        <v>45474</v>
      </c>
      <c r="C429" t="s">
        <v>1259</v>
      </c>
      <c r="D429" t="s">
        <v>3326</v>
      </c>
      <c r="E429" s="1">
        <v>45478</v>
      </c>
      <c r="F429" t="s">
        <v>115</v>
      </c>
      <c r="G429" t="s">
        <v>66</v>
      </c>
      <c r="H429" t="s">
        <v>114</v>
      </c>
      <c r="I429" t="s">
        <v>2668</v>
      </c>
      <c r="J429" t="s">
        <v>2708</v>
      </c>
      <c r="K429" t="s">
        <v>52</v>
      </c>
      <c r="L429">
        <v>52</v>
      </c>
      <c r="M429">
        <v>1</v>
      </c>
      <c r="N429">
        <v>25</v>
      </c>
      <c r="O429" t="s">
        <v>1260</v>
      </c>
      <c r="P429" t="s">
        <v>75</v>
      </c>
      <c r="Q429" t="s">
        <v>58</v>
      </c>
      <c r="R429" t="s">
        <v>71</v>
      </c>
      <c r="S429" t="s">
        <v>116</v>
      </c>
      <c r="T429">
        <v>5</v>
      </c>
      <c r="U429">
        <v>614.20000000000005</v>
      </c>
      <c r="V429">
        <v>362.01</v>
      </c>
      <c r="W429">
        <v>4</v>
      </c>
      <c r="X429" t="s">
        <v>45</v>
      </c>
      <c r="Y429">
        <v>2024</v>
      </c>
    </row>
    <row r="430" spans="1:25" x14ac:dyDescent="0.3">
      <c r="A430" t="s">
        <v>1261</v>
      </c>
      <c r="B430" s="1">
        <v>46156</v>
      </c>
      <c r="C430" t="s">
        <v>1262</v>
      </c>
      <c r="D430" t="s">
        <v>3325</v>
      </c>
      <c r="E430" s="1">
        <v>46158</v>
      </c>
      <c r="F430" t="s">
        <v>122</v>
      </c>
      <c r="G430" t="s">
        <v>120</v>
      </c>
      <c r="H430" t="s">
        <v>121</v>
      </c>
      <c r="I430" t="s">
        <v>2635</v>
      </c>
      <c r="J430" t="s">
        <v>2643</v>
      </c>
      <c r="K430" t="s">
        <v>25</v>
      </c>
      <c r="L430">
        <v>26</v>
      </c>
      <c r="M430">
        <v>3</v>
      </c>
      <c r="N430">
        <v>15</v>
      </c>
      <c r="O430" t="s">
        <v>802</v>
      </c>
      <c r="P430" t="s">
        <v>33</v>
      </c>
      <c r="Q430" t="s">
        <v>42</v>
      </c>
      <c r="R430" t="s">
        <v>43</v>
      </c>
      <c r="S430" t="s">
        <v>123</v>
      </c>
      <c r="T430">
        <v>1</v>
      </c>
      <c r="U430">
        <v>219.3</v>
      </c>
      <c r="V430">
        <v>315.64</v>
      </c>
      <c r="W430">
        <v>2</v>
      </c>
      <c r="X430" t="s">
        <v>49</v>
      </c>
      <c r="Y430">
        <v>2026</v>
      </c>
    </row>
    <row r="431" spans="1:25" x14ac:dyDescent="0.3">
      <c r="A431" t="s">
        <v>1263</v>
      </c>
      <c r="B431" s="1">
        <v>45773</v>
      </c>
      <c r="C431" t="s">
        <v>1264</v>
      </c>
      <c r="D431" t="s">
        <v>3324</v>
      </c>
      <c r="E431" s="1">
        <v>45774</v>
      </c>
      <c r="F431" t="s">
        <v>115</v>
      </c>
      <c r="G431" t="s">
        <v>66</v>
      </c>
      <c r="H431" t="s">
        <v>114</v>
      </c>
      <c r="I431" t="s">
        <v>2639</v>
      </c>
      <c r="J431" t="s">
        <v>2704</v>
      </c>
      <c r="K431" t="s">
        <v>52</v>
      </c>
      <c r="L431">
        <v>19</v>
      </c>
      <c r="M431">
        <v>3</v>
      </c>
      <c r="N431">
        <v>20</v>
      </c>
      <c r="O431" t="s">
        <v>1265</v>
      </c>
      <c r="P431" t="s">
        <v>44</v>
      </c>
      <c r="Q431" t="s">
        <v>42</v>
      </c>
      <c r="R431" t="s">
        <v>71</v>
      </c>
      <c r="S431" t="s">
        <v>116</v>
      </c>
      <c r="T431">
        <v>4</v>
      </c>
      <c r="U431">
        <v>474.2</v>
      </c>
      <c r="V431">
        <v>714.49</v>
      </c>
      <c r="W431">
        <v>1</v>
      </c>
      <c r="X431" t="s">
        <v>49</v>
      </c>
      <c r="Y431">
        <v>2025</v>
      </c>
    </row>
    <row r="432" spans="1:25" x14ac:dyDescent="0.3">
      <c r="A432" t="s">
        <v>1266</v>
      </c>
      <c r="B432" s="1">
        <v>45601</v>
      </c>
      <c r="C432" t="s">
        <v>1267</v>
      </c>
      <c r="D432" t="s">
        <v>3323</v>
      </c>
      <c r="E432" s="1">
        <v>45608</v>
      </c>
      <c r="F432" t="s">
        <v>140</v>
      </c>
      <c r="G432" t="s">
        <v>38</v>
      </c>
      <c r="H432" t="s">
        <v>139</v>
      </c>
      <c r="I432" t="s">
        <v>2652</v>
      </c>
      <c r="J432" t="s">
        <v>2706</v>
      </c>
      <c r="K432" t="s">
        <v>25</v>
      </c>
      <c r="L432">
        <v>54</v>
      </c>
      <c r="M432">
        <v>4</v>
      </c>
      <c r="N432">
        <v>0</v>
      </c>
      <c r="O432" t="s">
        <v>1268</v>
      </c>
      <c r="P432" t="s">
        <v>44</v>
      </c>
      <c r="Q432" t="s">
        <v>31</v>
      </c>
      <c r="R432" t="s">
        <v>62</v>
      </c>
      <c r="S432" t="s">
        <v>141</v>
      </c>
      <c r="T432">
        <v>2</v>
      </c>
      <c r="U432">
        <v>498.65</v>
      </c>
      <c r="V432">
        <v>1635.96</v>
      </c>
      <c r="W432">
        <v>7</v>
      </c>
      <c r="X432" t="s">
        <v>94</v>
      </c>
      <c r="Y432">
        <v>2024</v>
      </c>
    </row>
    <row r="433" spans="1:25" x14ac:dyDescent="0.3">
      <c r="A433" t="s">
        <v>1269</v>
      </c>
      <c r="B433" s="1">
        <v>46140</v>
      </c>
      <c r="C433" t="s">
        <v>1270</v>
      </c>
      <c r="D433" t="s">
        <v>3322</v>
      </c>
      <c r="E433" s="1">
        <v>46147</v>
      </c>
      <c r="F433" t="s">
        <v>115</v>
      </c>
      <c r="G433" t="s">
        <v>66</v>
      </c>
      <c r="H433" t="s">
        <v>114</v>
      </c>
      <c r="I433" t="s">
        <v>2633</v>
      </c>
      <c r="J433" t="s">
        <v>2678</v>
      </c>
      <c r="K433" t="s">
        <v>25</v>
      </c>
      <c r="L433">
        <v>28</v>
      </c>
      <c r="M433">
        <v>1</v>
      </c>
      <c r="N433">
        <v>25</v>
      </c>
      <c r="O433" t="s">
        <v>1271</v>
      </c>
      <c r="P433" t="s">
        <v>33</v>
      </c>
      <c r="Q433" t="s">
        <v>42</v>
      </c>
      <c r="R433" t="s">
        <v>43</v>
      </c>
      <c r="S433" t="s">
        <v>116</v>
      </c>
      <c r="T433">
        <v>2</v>
      </c>
      <c r="U433">
        <v>40.69</v>
      </c>
      <c r="V433">
        <v>16.3</v>
      </c>
      <c r="W433">
        <v>7</v>
      </c>
      <c r="X433" t="s">
        <v>49</v>
      </c>
      <c r="Y433">
        <v>2026</v>
      </c>
    </row>
    <row r="434" spans="1:25" x14ac:dyDescent="0.3">
      <c r="A434" t="s">
        <v>1272</v>
      </c>
      <c r="B434" s="1">
        <v>45793</v>
      </c>
      <c r="C434" t="s">
        <v>1273</v>
      </c>
      <c r="D434" t="s">
        <v>3321</v>
      </c>
      <c r="E434" s="1">
        <v>45794</v>
      </c>
      <c r="F434" t="s">
        <v>140</v>
      </c>
      <c r="G434" t="s">
        <v>38</v>
      </c>
      <c r="H434" t="s">
        <v>139</v>
      </c>
      <c r="I434" t="s">
        <v>2652</v>
      </c>
      <c r="J434" t="s">
        <v>2688</v>
      </c>
      <c r="K434" t="s">
        <v>25</v>
      </c>
      <c r="L434">
        <v>55</v>
      </c>
      <c r="M434">
        <v>1</v>
      </c>
      <c r="N434">
        <v>15</v>
      </c>
      <c r="O434" t="s">
        <v>1274</v>
      </c>
      <c r="P434" t="s">
        <v>33</v>
      </c>
      <c r="Q434" t="s">
        <v>70</v>
      </c>
      <c r="R434" t="s">
        <v>32</v>
      </c>
      <c r="S434" t="s">
        <v>141</v>
      </c>
      <c r="T434">
        <v>4</v>
      </c>
      <c r="U434">
        <v>869.03</v>
      </c>
      <c r="V434">
        <v>555.48</v>
      </c>
      <c r="W434">
        <v>1</v>
      </c>
      <c r="X434" t="s">
        <v>49</v>
      </c>
      <c r="Y434">
        <v>2025</v>
      </c>
    </row>
    <row r="435" spans="1:25" x14ac:dyDescent="0.3">
      <c r="A435" t="s">
        <v>1275</v>
      </c>
      <c r="B435" s="1">
        <v>45850</v>
      </c>
      <c r="C435" t="s">
        <v>1276</v>
      </c>
      <c r="D435" t="s">
        <v>3320</v>
      </c>
      <c r="E435" s="1">
        <v>45852</v>
      </c>
      <c r="F435" t="s">
        <v>40</v>
      </c>
      <c r="G435" t="s">
        <v>38</v>
      </c>
      <c r="H435" t="s">
        <v>39</v>
      </c>
      <c r="I435" t="s">
        <v>2623</v>
      </c>
      <c r="J435" t="s">
        <v>2701</v>
      </c>
      <c r="K435" t="s">
        <v>25</v>
      </c>
      <c r="L435">
        <v>38</v>
      </c>
      <c r="M435">
        <v>5</v>
      </c>
      <c r="N435">
        <v>15</v>
      </c>
      <c r="O435" t="s">
        <v>1277</v>
      </c>
      <c r="P435" t="s">
        <v>44</v>
      </c>
      <c r="Q435" t="s">
        <v>117</v>
      </c>
      <c r="R435" t="s">
        <v>43</v>
      </c>
      <c r="S435" t="s">
        <v>41</v>
      </c>
      <c r="T435">
        <v>4</v>
      </c>
      <c r="U435">
        <v>578.84</v>
      </c>
      <c r="V435">
        <v>1304.22</v>
      </c>
      <c r="W435">
        <v>2</v>
      </c>
      <c r="X435" t="s">
        <v>45</v>
      </c>
      <c r="Y435">
        <v>2025</v>
      </c>
    </row>
    <row r="436" spans="1:25" x14ac:dyDescent="0.3">
      <c r="A436" t="s">
        <v>1278</v>
      </c>
      <c r="B436" s="1">
        <v>45439</v>
      </c>
      <c r="C436" t="s">
        <v>1279</v>
      </c>
      <c r="D436" t="s">
        <v>3319</v>
      </c>
      <c r="E436" s="1">
        <v>45446</v>
      </c>
      <c r="F436" t="s">
        <v>115</v>
      </c>
      <c r="G436" t="s">
        <v>66</v>
      </c>
      <c r="H436" t="s">
        <v>114</v>
      </c>
      <c r="I436" t="s">
        <v>2647</v>
      </c>
      <c r="J436" t="s">
        <v>2721</v>
      </c>
      <c r="K436" t="s">
        <v>25</v>
      </c>
      <c r="L436">
        <v>23</v>
      </c>
      <c r="M436">
        <v>1</v>
      </c>
      <c r="N436">
        <v>30</v>
      </c>
      <c r="O436" t="s">
        <v>332</v>
      </c>
      <c r="P436" t="s">
        <v>33</v>
      </c>
      <c r="Q436" t="s">
        <v>31</v>
      </c>
      <c r="R436" t="s">
        <v>43</v>
      </c>
      <c r="S436" t="s">
        <v>116</v>
      </c>
      <c r="T436">
        <v>1</v>
      </c>
      <c r="U436">
        <v>380.8</v>
      </c>
      <c r="V436">
        <v>185.69</v>
      </c>
      <c r="W436">
        <v>7</v>
      </c>
      <c r="X436" t="s">
        <v>49</v>
      </c>
      <c r="Y436">
        <v>2024</v>
      </c>
    </row>
    <row r="437" spans="1:25" x14ac:dyDescent="0.3">
      <c r="A437" t="s">
        <v>1280</v>
      </c>
      <c r="B437" s="1">
        <v>45584</v>
      </c>
      <c r="C437" t="s">
        <v>1281</v>
      </c>
      <c r="D437" t="s">
        <v>3318</v>
      </c>
      <c r="E437" s="1">
        <v>45587</v>
      </c>
      <c r="F437" t="s">
        <v>68</v>
      </c>
      <c r="G437" t="s">
        <v>66</v>
      </c>
      <c r="H437" t="s">
        <v>67</v>
      </c>
      <c r="I437" t="s">
        <v>2679</v>
      </c>
      <c r="J437" t="s">
        <v>2685</v>
      </c>
      <c r="K437" t="s">
        <v>25</v>
      </c>
      <c r="L437">
        <v>53</v>
      </c>
      <c r="M437">
        <v>1</v>
      </c>
      <c r="N437">
        <v>20</v>
      </c>
      <c r="O437" t="s">
        <v>1282</v>
      </c>
      <c r="P437" t="s">
        <v>75</v>
      </c>
      <c r="Q437" t="s">
        <v>58</v>
      </c>
      <c r="R437" t="s">
        <v>62</v>
      </c>
      <c r="S437" t="s">
        <v>69</v>
      </c>
      <c r="T437">
        <v>4</v>
      </c>
      <c r="U437">
        <v>398.1</v>
      </c>
      <c r="V437">
        <v>254.8</v>
      </c>
      <c r="W437">
        <v>3</v>
      </c>
      <c r="X437" t="s">
        <v>94</v>
      </c>
      <c r="Y437">
        <v>2024</v>
      </c>
    </row>
    <row r="438" spans="1:25" x14ac:dyDescent="0.3">
      <c r="A438" t="s">
        <v>1283</v>
      </c>
      <c r="B438" s="1">
        <v>45992</v>
      </c>
      <c r="C438" t="s">
        <v>1284</v>
      </c>
      <c r="D438" t="s">
        <v>3317</v>
      </c>
      <c r="E438" s="1">
        <v>45995</v>
      </c>
      <c r="F438" t="s">
        <v>100</v>
      </c>
      <c r="G438" t="s">
        <v>98</v>
      </c>
      <c r="H438" t="s">
        <v>99</v>
      </c>
      <c r="I438" t="s">
        <v>2631</v>
      </c>
      <c r="J438" t="s">
        <v>2694</v>
      </c>
      <c r="K438" t="s">
        <v>25</v>
      </c>
      <c r="L438">
        <v>47</v>
      </c>
      <c r="M438">
        <v>4</v>
      </c>
      <c r="N438">
        <v>5</v>
      </c>
      <c r="O438" t="s">
        <v>350</v>
      </c>
      <c r="P438" t="s">
        <v>33</v>
      </c>
      <c r="Q438" t="s">
        <v>42</v>
      </c>
      <c r="R438" t="s">
        <v>62</v>
      </c>
      <c r="S438" t="s">
        <v>101</v>
      </c>
      <c r="T438">
        <v>5</v>
      </c>
      <c r="U438">
        <v>41.19</v>
      </c>
      <c r="V438">
        <v>80.72</v>
      </c>
      <c r="W438">
        <v>3</v>
      </c>
      <c r="X438" t="s">
        <v>94</v>
      </c>
      <c r="Y438">
        <v>2025</v>
      </c>
    </row>
    <row r="439" spans="1:25" x14ac:dyDescent="0.3">
      <c r="A439" t="s">
        <v>1285</v>
      </c>
      <c r="B439" s="1">
        <v>45526</v>
      </c>
      <c r="C439" t="s">
        <v>1286</v>
      </c>
      <c r="D439" t="s">
        <v>3316</v>
      </c>
      <c r="E439" s="1">
        <v>45527</v>
      </c>
      <c r="F439" t="s">
        <v>56</v>
      </c>
      <c r="G439" t="s">
        <v>54</v>
      </c>
      <c r="H439" t="s">
        <v>55</v>
      </c>
      <c r="I439" t="s">
        <v>2634</v>
      </c>
      <c r="J439" t="s">
        <v>2650</v>
      </c>
      <c r="K439" t="s">
        <v>52</v>
      </c>
      <c r="L439">
        <v>59</v>
      </c>
      <c r="M439">
        <v>5</v>
      </c>
      <c r="N439">
        <v>10</v>
      </c>
      <c r="O439" t="s">
        <v>1287</v>
      </c>
      <c r="P439" t="s">
        <v>75</v>
      </c>
      <c r="Q439" t="s">
        <v>42</v>
      </c>
      <c r="R439" t="s">
        <v>32</v>
      </c>
      <c r="S439" t="s">
        <v>57</v>
      </c>
      <c r="T439">
        <v>1</v>
      </c>
      <c r="U439">
        <v>400.22</v>
      </c>
      <c r="V439">
        <v>1163.0899999999999</v>
      </c>
      <c r="W439">
        <v>1</v>
      </c>
      <c r="X439" t="s">
        <v>45</v>
      </c>
      <c r="Y439">
        <v>2024</v>
      </c>
    </row>
    <row r="440" spans="1:25" x14ac:dyDescent="0.3">
      <c r="A440" t="s">
        <v>1288</v>
      </c>
      <c r="B440" s="1">
        <v>45856</v>
      </c>
      <c r="C440" t="s">
        <v>1289</v>
      </c>
      <c r="D440" t="s">
        <v>3315</v>
      </c>
      <c r="E440" s="1">
        <v>45858</v>
      </c>
      <c r="F440" t="s">
        <v>140</v>
      </c>
      <c r="G440" t="s">
        <v>38</v>
      </c>
      <c r="H440" t="s">
        <v>139</v>
      </c>
      <c r="I440" t="s">
        <v>2656</v>
      </c>
      <c r="J440" t="s">
        <v>2683</v>
      </c>
      <c r="K440" t="s">
        <v>25</v>
      </c>
      <c r="L440">
        <v>31</v>
      </c>
      <c r="M440">
        <v>4</v>
      </c>
      <c r="N440">
        <v>5</v>
      </c>
      <c r="O440" t="s">
        <v>512</v>
      </c>
      <c r="P440" t="s">
        <v>44</v>
      </c>
      <c r="Q440" t="s">
        <v>42</v>
      </c>
      <c r="R440" t="s">
        <v>43</v>
      </c>
      <c r="S440" t="s">
        <v>141</v>
      </c>
      <c r="T440">
        <v>1</v>
      </c>
      <c r="U440">
        <v>388.01</v>
      </c>
      <c r="V440">
        <v>1221.3</v>
      </c>
      <c r="W440">
        <v>2</v>
      </c>
      <c r="X440" t="s">
        <v>45</v>
      </c>
      <c r="Y440">
        <v>2025</v>
      </c>
    </row>
    <row r="441" spans="1:25" x14ac:dyDescent="0.3">
      <c r="A441" t="s">
        <v>1290</v>
      </c>
      <c r="B441" s="1">
        <v>46079</v>
      </c>
      <c r="C441" t="s">
        <v>1291</v>
      </c>
      <c r="D441" t="s">
        <v>3314</v>
      </c>
      <c r="E441" s="1">
        <v>46085</v>
      </c>
      <c r="F441" t="s">
        <v>122</v>
      </c>
      <c r="G441" t="s">
        <v>120</v>
      </c>
      <c r="H441" t="s">
        <v>121</v>
      </c>
      <c r="I441" t="s">
        <v>2629</v>
      </c>
      <c r="J441" t="s">
        <v>2689</v>
      </c>
      <c r="K441" t="s">
        <v>25</v>
      </c>
      <c r="L441">
        <v>28</v>
      </c>
      <c r="M441">
        <v>2</v>
      </c>
      <c r="N441">
        <v>15</v>
      </c>
      <c r="O441" t="s">
        <v>1292</v>
      </c>
      <c r="P441" t="s">
        <v>44</v>
      </c>
      <c r="Q441" t="s">
        <v>117</v>
      </c>
      <c r="R441" t="s">
        <v>32</v>
      </c>
      <c r="S441" t="s">
        <v>123</v>
      </c>
      <c r="T441">
        <v>4</v>
      </c>
      <c r="U441">
        <v>237.05</v>
      </c>
      <c r="V441">
        <v>213.98</v>
      </c>
      <c r="W441">
        <v>6</v>
      </c>
      <c r="X441" t="s">
        <v>34</v>
      </c>
      <c r="Y441">
        <v>2026</v>
      </c>
    </row>
    <row r="442" spans="1:25" x14ac:dyDescent="0.3">
      <c r="A442" t="s">
        <v>1293</v>
      </c>
      <c r="B442" s="1">
        <v>45898</v>
      </c>
      <c r="C442" t="s">
        <v>1294</v>
      </c>
      <c r="D442" t="s">
        <v>3313</v>
      </c>
      <c r="E442" s="1">
        <v>45904</v>
      </c>
      <c r="F442" t="s">
        <v>56</v>
      </c>
      <c r="G442" t="s">
        <v>54</v>
      </c>
      <c r="H442" t="s">
        <v>55</v>
      </c>
      <c r="I442" t="s">
        <v>2634</v>
      </c>
      <c r="J442" t="s">
        <v>2650</v>
      </c>
      <c r="K442" t="s">
        <v>52</v>
      </c>
      <c r="L442">
        <v>44</v>
      </c>
      <c r="M442">
        <v>4</v>
      </c>
      <c r="N442">
        <v>30</v>
      </c>
      <c r="O442" t="s">
        <v>1295</v>
      </c>
      <c r="P442" t="s">
        <v>33</v>
      </c>
      <c r="Q442" t="s">
        <v>117</v>
      </c>
      <c r="R442" t="s">
        <v>43</v>
      </c>
      <c r="S442" t="s">
        <v>57</v>
      </c>
      <c r="T442">
        <v>3</v>
      </c>
      <c r="U442">
        <v>715.42</v>
      </c>
      <c r="V442">
        <v>1163.4100000000001</v>
      </c>
      <c r="W442">
        <v>6</v>
      </c>
      <c r="X442" t="s">
        <v>45</v>
      </c>
      <c r="Y442">
        <v>2025</v>
      </c>
    </row>
    <row r="443" spans="1:25" x14ac:dyDescent="0.3">
      <c r="A443" t="s">
        <v>1296</v>
      </c>
      <c r="B443" s="1">
        <v>45955</v>
      </c>
      <c r="C443" t="s">
        <v>1297</v>
      </c>
      <c r="D443" t="s">
        <v>3312</v>
      </c>
      <c r="E443" s="1">
        <v>45961</v>
      </c>
      <c r="F443" t="s">
        <v>68</v>
      </c>
      <c r="G443" t="s">
        <v>66</v>
      </c>
      <c r="H443" t="s">
        <v>67</v>
      </c>
      <c r="I443" t="s">
        <v>2656</v>
      </c>
      <c r="J443" t="s">
        <v>2657</v>
      </c>
      <c r="K443" t="s">
        <v>52</v>
      </c>
      <c r="L443">
        <v>51</v>
      </c>
      <c r="M443">
        <v>2</v>
      </c>
      <c r="N443">
        <v>5</v>
      </c>
      <c r="O443" t="s">
        <v>1298</v>
      </c>
      <c r="P443" t="s">
        <v>75</v>
      </c>
      <c r="Q443" t="s">
        <v>117</v>
      </c>
      <c r="R443" t="s">
        <v>32</v>
      </c>
      <c r="S443" t="s">
        <v>69</v>
      </c>
      <c r="T443">
        <v>1</v>
      </c>
      <c r="U443">
        <v>547.72</v>
      </c>
      <c r="V443">
        <v>524.76</v>
      </c>
      <c r="W443">
        <v>6</v>
      </c>
      <c r="X443" t="s">
        <v>94</v>
      </c>
      <c r="Y443">
        <v>2025</v>
      </c>
    </row>
    <row r="444" spans="1:25" x14ac:dyDescent="0.3">
      <c r="A444" t="s">
        <v>1299</v>
      </c>
      <c r="B444" s="1">
        <v>45676</v>
      </c>
      <c r="C444" t="s">
        <v>1300</v>
      </c>
      <c r="D444" t="s">
        <v>3311</v>
      </c>
      <c r="E444" s="1">
        <v>45679</v>
      </c>
      <c r="F444" t="s">
        <v>29</v>
      </c>
      <c r="G444" t="s">
        <v>27</v>
      </c>
      <c r="H444" t="s">
        <v>28</v>
      </c>
      <c r="I444" t="s">
        <v>2652</v>
      </c>
      <c r="J444" t="s">
        <v>2653</v>
      </c>
      <c r="K444" t="s">
        <v>25</v>
      </c>
      <c r="L444">
        <v>18</v>
      </c>
      <c r="M444">
        <v>2</v>
      </c>
      <c r="N444">
        <v>15</v>
      </c>
      <c r="O444" t="s">
        <v>1301</v>
      </c>
      <c r="P444" t="s">
        <v>44</v>
      </c>
      <c r="Q444" t="s">
        <v>117</v>
      </c>
      <c r="R444" t="s">
        <v>71</v>
      </c>
      <c r="S444" t="s">
        <v>30</v>
      </c>
      <c r="T444">
        <v>5</v>
      </c>
      <c r="U444">
        <v>706.08</v>
      </c>
      <c r="V444">
        <v>781.81</v>
      </c>
      <c r="W444">
        <v>3</v>
      </c>
      <c r="X444" t="s">
        <v>34</v>
      </c>
      <c r="Y444">
        <v>2025</v>
      </c>
    </row>
    <row r="445" spans="1:25" x14ac:dyDescent="0.3">
      <c r="A445" t="s">
        <v>1302</v>
      </c>
      <c r="B445" s="1">
        <v>45655</v>
      </c>
      <c r="C445" t="s">
        <v>1303</v>
      </c>
      <c r="D445" t="s">
        <v>3310</v>
      </c>
      <c r="E445" s="1">
        <v>45661</v>
      </c>
      <c r="F445" t="s">
        <v>40</v>
      </c>
      <c r="G445" t="s">
        <v>38</v>
      </c>
      <c r="H445" t="s">
        <v>39</v>
      </c>
      <c r="I445" t="s">
        <v>2665</v>
      </c>
      <c r="J445" t="s">
        <v>2666</v>
      </c>
      <c r="K445" t="s">
        <v>52</v>
      </c>
      <c r="L445">
        <v>57</v>
      </c>
      <c r="M445">
        <v>3</v>
      </c>
      <c r="N445">
        <v>20</v>
      </c>
      <c r="O445" t="s">
        <v>1304</v>
      </c>
      <c r="P445" t="s">
        <v>44</v>
      </c>
      <c r="Q445" t="s">
        <v>117</v>
      </c>
      <c r="R445" t="s">
        <v>62</v>
      </c>
      <c r="S445" t="s">
        <v>41</v>
      </c>
      <c r="T445">
        <v>5</v>
      </c>
      <c r="U445">
        <v>96.99</v>
      </c>
      <c r="V445">
        <v>186.86</v>
      </c>
      <c r="W445">
        <v>6</v>
      </c>
      <c r="X445" t="s">
        <v>94</v>
      </c>
      <c r="Y445">
        <v>2024</v>
      </c>
    </row>
    <row r="446" spans="1:25" x14ac:dyDescent="0.3">
      <c r="A446" t="s">
        <v>1305</v>
      </c>
      <c r="B446" s="1">
        <v>45470</v>
      </c>
      <c r="C446" t="s">
        <v>1306</v>
      </c>
      <c r="D446" t="s">
        <v>3309</v>
      </c>
      <c r="E446" s="1">
        <v>45475</v>
      </c>
      <c r="F446" t="s">
        <v>128</v>
      </c>
      <c r="G446" t="s">
        <v>98</v>
      </c>
      <c r="H446" t="s">
        <v>127</v>
      </c>
      <c r="I446" t="s">
        <v>2679</v>
      </c>
      <c r="J446" t="s">
        <v>2707</v>
      </c>
      <c r="K446" t="s">
        <v>52</v>
      </c>
      <c r="L446">
        <v>39</v>
      </c>
      <c r="M446">
        <v>2</v>
      </c>
      <c r="N446">
        <v>10</v>
      </c>
      <c r="O446" t="s">
        <v>1307</v>
      </c>
      <c r="P446" t="s">
        <v>44</v>
      </c>
      <c r="Q446" t="s">
        <v>31</v>
      </c>
      <c r="R446" t="s">
        <v>62</v>
      </c>
      <c r="S446" t="s">
        <v>129</v>
      </c>
      <c r="T446">
        <v>4</v>
      </c>
      <c r="U446">
        <v>752.46</v>
      </c>
      <c r="V446">
        <v>750.65</v>
      </c>
      <c r="W446">
        <v>5</v>
      </c>
      <c r="X446" t="s">
        <v>49</v>
      </c>
      <c r="Y446">
        <v>2024</v>
      </c>
    </row>
    <row r="447" spans="1:25" x14ac:dyDescent="0.3">
      <c r="A447" t="s">
        <v>1308</v>
      </c>
      <c r="B447" s="1">
        <v>46067</v>
      </c>
      <c r="C447" t="s">
        <v>1309</v>
      </c>
      <c r="D447" t="s">
        <v>3308</v>
      </c>
      <c r="E447" s="1">
        <v>46068</v>
      </c>
      <c r="F447" t="s">
        <v>122</v>
      </c>
      <c r="G447" t="s">
        <v>120</v>
      </c>
      <c r="H447" t="s">
        <v>121</v>
      </c>
      <c r="I447" t="s">
        <v>2625</v>
      </c>
      <c r="J447" t="s">
        <v>2626</v>
      </c>
      <c r="K447" t="s">
        <v>52</v>
      </c>
      <c r="L447">
        <v>33</v>
      </c>
      <c r="M447">
        <v>2</v>
      </c>
      <c r="N447">
        <v>5</v>
      </c>
      <c r="O447" t="s">
        <v>1096</v>
      </c>
      <c r="P447" t="s">
        <v>44</v>
      </c>
      <c r="Q447" t="s">
        <v>117</v>
      </c>
      <c r="R447" t="s">
        <v>71</v>
      </c>
      <c r="S447" t="s">
        <v>123</v>
      </c>
      <c r="T447">
        <v>5</v>
      </c>
      <c r="U447">
        <v>256.10000000000002</v>
      </c>
      <c r="V447">
        <v>413.02</v>
      </c>
      <c r="W447">
        <v>1</v>
      </c>
      <c r="X447" t="s">
        <v>34</v>
      </c>
      <c r="Y447">
        <v>2026</v>
      </c>
    </row>
    <row r="448" spans="1:25" x14ac:dyDescent="0.3">
      <c r="A448" t="s">
        <v>1310</v>
      </c>
      <c r="B448" s="1">
        <v>45674</v>
      </c>
      <c r="C448" t="s">
        <v>1311</v>
      </c>
      <c r="D448" t="s">
        <v>3307</v>
      </c>
      <c r="E448" s="1">
        <v>45677</v>
      </c>
      <c r="F448" t="s">
        <v>29</v>
      </c>
      <c r="G448" t="s">
        <v>27</v>
      </c>
      <c r="H448" t="s">
        <v>28</v>
      </c>
      <c r="I448" t="s">
        <v>2637</v>
      </c>
      <c r="J448" t="s">
        <v>99</v>
      </c>
      <c r="K448" t="s">
        <v>25</v>
      </c>
      <c r="L448">
        <v>42</v>
      </c>
      <c r="M448">
        <v>3</v>
      </c>
      <c r="N448">
        <v>30</v>
      </c>
      <c r="O448" t="s">
        <v>1312</v>
      </c>
      <c r="P448" t="s">
        <v>33</v>
      </c>
      <c r="Q448" t="s">
        <v>117</v>
      </c>
      <c r="R448" t="s">
        <v>71</v>
      </c>
      <c r="S448" t="s">
        <v>30</v>
      </c>
      <c r="T448">
        <v>3</v>
      </c>
      <c r="U448">
        <v>430.63</v>
      </c>
      <c r="V448">
        <v>670.52</v>
      </c>
      <c r="W448">
        <v>3</v>
      </c>
      <c r="X448" t="s">
        <v>34</v>
      </c>
      <c r="Y448">
        <v>2025</v>
      </c>
    </row>
    <row r="449" spans="1:25" x14ac:dyDescent="0.3">
      <c r="A449" t="s">
        <v>1313</v>
      </c>
      <c r="B449" s="1">
        <v>45938</v>
      </c>
      <c r="C449" t="s">
        <v>1314</v>
      </c>
      <c r="D449" t="s">
        <v>3306</v>
      </c>
      <c r="E449" s="1">
        <v>45944</v>
      </c>
      <c r="F449" t="s">
        <v>29</v>
      </c>
      <c r="G449" t="s">
        <v>27</v>
      </c>
      <c r="H449" t="s">
        <v>28</v>
      </c>
      <c r="I449" t="s">
        <v>2668</v>
      </c>
      <c r="J449" t="s">
        <v>2669</v>
      </c>
      <c r="K449" t="s">
        <v>25</v>
      </c>
      <c r="L449">
        <v>49</v>
      </c>
      <c r="M449">
        <v>2</v>
      </c>
      <c r="N449">
        <v>25</v>
      </c>
      <c r="O449" t="s">
        <v>1315</v>
      </c>
      <c r="P449" t="s">
        <v>44</v>
      </c>
      <c r="Q449" t="s">
        <v>31</v>
      </c>
      <c r="R449" t="s">
        <v>62</v>
      </c>
      <c r="S449" t="s">
        <v>30</v>
      </c>
      <c r="T449">
        <v>5</v>
      </c>
      <c r="U449">
        <v>646.66999999999996</v>
      </c>
      <c r="V449">
        <v>720.77</v>
      </c>
      <c r="W449">
        <v>6</v>
      </c>
      <c r="X449" t="s">
        <v>94</v>
      </c>
      <c r="Y449">
        <v>2025</v>
      </c>
    </row>
    <row r="450" spans="1:25" x14ac:dyDescent="0.3">
      <c r="A450" t="s">
        <v>1316</v>
      </c>
      <c r="B450" s="1">
        <v>46072</v>
      </c>
      <c r="C450" t="s">
        <v>1317</v>
      </c>
      <c r="D450" t="s">
        <v>3305</v>
      </c>
      <c r="E450" s="1">
        <v>46075</v>
      </c>
      <c r="F450" t="s">
        <v>122</v>
      </c>
      <c r="G450" t="s">
        <v>120</v>
      </c>
      <c r="H450" t="s">
        <v>121</v>
      </c>
      <c r="I450" t="s">
        <v>2654</v>
      </c>
      <c r="J450" t="s">
        <v>2702</v>
      </c>
      <c r="K450" t="s">
        <v>25</v>
      </c>
      <c r="L450">
        <v>51</v>
      </c>
      <c r="M450">
        <v>3</v>
      </c>
      <c r="N450">
        <v>15</v>
      </c>
      <c r="O450" t="s">
        <v>1239</v>
      </c>
      <c r="P450" t="s">
        <v>44</v>
      </c>
      <c r="Q450" t="s">
        <v>117</v>
      </c>
      <c r="R450" t="s">
        <v>43</v>
      </c>
      <c r="S450" t="s">
        <v>123</v>
      </c>
      <c r="T450">
        <v>1</v>
      </c>
      <c r="U450">
        <v>757.07</v>
      </c>
      <c r="V450">
        <v>1626.13</v>
      </c>
      <c r="W450">
        <v>3</v>
      </c>
      <c r="X450" t="s">
        <v>34</v>
      </c>
      <c r="Y450">
        <v>2026</v>
      </c>
    </row>
    <row r="451" spans="1:25" x14ac:dyDescent="0.3">
      <c r="A451" t="s">
        <v>1318</v>
      </c>
      <c r="B451" s="1">
        <v>45428</v>
      </c>
      <c r="C451" t="s">
        <v>1319</v>
      </c>
      <c r="D451" t="s">
        <v>3304</v>
      </c>
      <c r="E451" s="1">
        <v>45431</v>
      </c>
      <c r="F451" t="s">
        <v>122</v>
      </c>
      <c r="G451" t="s">
        <v>120</v>
      </c>
      <c r="H451" t="s">
        <v>121</v>
      </c>
      <c r="I451" t="s">
        <v>2632</v>
      </c>
      <c r="J451" t="s">
        <v>2715</v>
      </c>
      <c r="K451" t="s">
        <v>25</v>
      </c>
      <c r="L451">
        <v>52</v>
      </c>
      <c r="M451">
        <v>2</v>
      </c>
      <c r="N451">
        <v>25</v>
      </c>
      <c r="O451" t="s">
        <v>1320</v>
      </c>
      <c r="P451" t="s">
        <v>44</v>
      </c>
      <c r="Q451" t="s">
        <v>42</v>
      </c>
      <c r="R451" t="s">
        <v>43</v>
      </c>
      <c r="S451" t="s">
        <v>123</v>
      </c>
      <c r="T451">
        <v>1</v>
      </c>
      <c r="U451">
        <v>420.6</v>
      </c>
      <c r="V451">
        <v>415.71</v>
      </c>
      <c r="W451">
        <v>3</v>
      </c>
      <c r="X451" t="s">
        <v>49</v>
      </c>
      <c r="Y451">
        <v>2024</v>
      </c>
    </row>
    <row r="452" spans="1:25" x14ac:dyDescent="0.3">
      <c r="A452" t="s">
        <v>1321</v>
      </c>
      <c r="B452" s="1">
        <v>45350</v>
      </c>
      <c r="C452" t="s">
        <v>621</v>
      </c>
      <c r="D452" t="s">
        <v>3303</v>
      </c>
      <c r="E452" s="1">
        <v>45355</v>
      </c>
      <c r="F452" t="s">
        <v>56</v>
      </c>
      <c r="G452" t="s">
        <v>54</v>
      </c>
      <c r="H452" t="s">
        <v>55</v>
      </c>
      <c r="I452" t="s">
        <v>2631</v>
      </c>
      <c r="J452" t="s">
        <v>2711</v>
      </c>
      <c r="K452" t="s">
        <v>25</v>
      </c>
      <c r="L452">
        <v>45</v>
      </c>
      <c r="M452">
        <v>1</v>
      </c>
      <c r="N452">
        <v>30</v>
      </c>
      <c r="O452" t="s">
        <v>496</v>
      </c>
      <c r="P452" t="s">
        <v>33</v>
      </c>
      <c r="Q452" t="s">
        <v>31</v>
      </c>
      <c r="R452" t="s">
        <v>62</v>
      </c>
      <c r="S452" t="s">
        <v>57</v>
      </c>
      <c r="T452">
        <v>2</v>
      </c>
      <c r="U452">
        <v>339.11</v>
      </c>
      <c r="V452">
        <v>171.83</v>
      </c>
      <c r="W452">
        <v>5</v>
      </c>
      <c r="X452" t="s">
        <v>34</v>
      </c>
      <c r="Y452">
        <v>2024</v>
      </c>
    </row>
    <row r="453" spans="1:25" x14ac:dyDescent="0.3">
      <c r="A453" t="s">
        <v>1322</v>
      </c>
      <c r="B453" s="1">
        <v>45761</v>
      </c>
      <c r="C453" t="s">
        <v>1323</v>
      </c>
      <c r="D453" t="s">
        <v>3302</v>
      </c>
      <c r="E453" s="1">
        <v>45764</v>
      </c>
      <c r="F453" t="s">
        <v>56</v>
      </c>
      <c r="G453" t="s">
        <v>54</v>
      </c>
      <c r="H453" t="s">
        <v>55</v>
      </c>
      <c r="I453" t="s">
        <v>2633</v>
      </c>
      <c r="J453" t="s">
        <v>2636</v>
      </c>
      <c r="K453" t="s">
        <v>25</v>
      </c>
      <c r="L453">
        <v>37</v>
      </c>
      <c r="M453">
        <v>2</v>
      </c>
      <c r="N453">
        <v>15</v>
      </c>
      <c r="O453" t="s">
        <v>1324</v>
      </c>
      <c r="P453" t="s">
        <v>44</v>
      </c>
      <c r="Q453" t="s">
        <v>70</v>
      </c>
      <c r="R453" t="s">
        <v>43</v>
      </c>
      <c r="S453" t="s">
        <v>57</v>
      </c>
      <c r="T453">
        <v>1</v>
      </c>
      <c r="U453">
        <v>497.2</v>
      </c>
      <c r="V453">
        <v>674.38</v>
      </c>
      <c r="W453">
        <v>3</v>
      </c>
      <c r="X453" t="s">
        <v>49</v>
      </c>
      <c r="Y453">
        <v>2025</v>
      </c>
    </row>
    <row r="454" spans="1:25" x14ac:dyDescent="0.3">
      <c r="A454" t="s">
        <v>1325</v>
      </c>
      <c r="B454" s="1">
        <v>45962</v>
      </c>
      <c r="C454" t="s">
        <v>1326</v>
      </c>
      <c r="D454" t="s">
        <v>3301</v>
      </c>
      <c r="E454" s="1">
        <v>45966</v>
      </c>
      <c r="F454" t="s">
        <v>56</v>
      </c>
      <c r="G454" t="s">
        <v>54</v>
      </c>
      <c r="H454" t="s">
        <v>55</v>
      </c>
      <c r="I454" t="s">
        <v>2668</v>
      </c>
      <c r="J454" t="s">
        <v>2669</v>
      </c>
      <c r="K454" t="s">
        <v>25</v>
      </c>
      <c r="L454">
        <v>29</v>
      </c>
      <c r="M454">
        <v>2</v>
      </c>
      <c r="N454">
        <v>10</v>
      </c>
      <c r="O454" t="s">
        <v>1327</v>
      </c>
      <c r="P454" t="s">
        <v>75</v>
      </c>
      <c r="Q454" t="s">
        <v>117</v>
      </c>
      <c r="R454" t="s">
        <v>32</v>
      </c>
      <c r="S454" t="s">
        <v>57</v>
      </c>
      <c r="T454">
        <v>4</v>
      </c>
      <c r="U454">
        <v>505.63</v>
      </c>
      <c r="V454">
        <v>757.56</v>
      </c>
      <c r="W454">
        <v>4</v>
      </c>
      <c r="X454" t="s">
        <v>94</v>
      </c>
      <c r="Y454">
        <v>2025</v>
      </c>
    </row>
    <row r="455" spans="1:25" x14ac:dyDescent="0.3">
      <c r="A455" t="s">
        <v>1328</v>
      </c>
      <c r="B455" s="1">
        <v>45896</v>
      </c>
      <c r="C455" t="s">
        <v>1329</v>
      </c>
      <c r="D455" t="s">
        <v>3300</v>
      </c>
      <c r="E455" s="1">
        <v>45899</v>
      </c>
      <c r="F455" t="s">
        <v>68</v>
      </c>
      <c r="G455" t="s">
        <v>66</v>
      </c>
      <c r="H455" t="s">
        <v>67</v>
      </c>
      <c r="I455" t="s">
        <v>2641</v>
      </c>
      <c r="J455" t="s">
        <v>2692</v>
      </c>
      <c r="K455" t="s">
        <v>25</v>
      </c>
      <c r="L455">
        <v>18</v>
      </c>
      <c r="M455">
        <v>1</v>
      </c>
      <c r="N455">
        <v>10</v>
      </c>
      <c r="O455" t="s">
        <v>1000</v>
      </c>
      <c r="P455" t="s">
        <v>33</v>
      </c>
      <c r="Q455" t="s">
        <v>31</v>
      </c>
      <c r="R455" t="s">
        <v>32</v>
      </c>
      <c r="S455" t="s">
        <v>69</v>
      </c>
      <c r="T455">
        <v>3</v>
      </c>
      <c r="U455">
        <v>735.22</v>
      </c>
      <c r="V455">
        <v>410.44</v>
      </c>
      <c r="W455">
        <v>3</v>
      </c>
      <c r="X455" t="s">
        <v>45</v>
      </c>
      <c r="Y455">
        <v>2025</v>
      </c>
    </row>
    <row r="456" spans="1:25" x14ac:dyDescent="0.3">
      <c r="A456" t="s">
        <v>1330</v>
      </c>
      <c r="B456" s="1">
        <v>45519</v>
      </c>
      <c r="C456" t="s">
        <v>1331</v>
      </c>
      <c r="D456" t="s">
        <v>3299</v>
      </c>
      <c r="E456" s="1">
        <v>45525</v>
      </c>
      <c r="F456" t="s">
        <v>68</v>
      </c>
      <c r="G456" t="s">
        <v>66</v>
      </c>
      <c r="H456" t="s">
        <v>67</v>
      </c>
      <c r="I456" t="s">
        <v>2629</v>
      </c>
      <c r="J456" t="s">
        <v>2689</v>
      </c>
      <c r="K456" t="s">
        <v>52</v>
      </c>
      <c r="L456">
        <v>65</v>
      </c>
      <c r="M456">
        <v>3</v>
      </c>
      <c r="N456">
        <v>5</v>
      </c>
      <c r="O456" t="s">
        <v>270</v>
      </c>
      <c r="P456" t="s">
        <v>33</v>
      </c>
      <c r="Q456" t="s">
        <v>31</v>
      </c>
      <c r="R456" t="s">
        <v>62</v>
      </c>
      <c r="S456" t="s">
        <v>69</v>
      </c>
      <c r="T456">
        <v>4</v>
      </c>
      <c r="U456">
        <v>527.65</v>
      </c>
      <c r="V456">
        <v>1144.55</v>
      </c>
      <c r="W456">
        <v>6</v>
      </c>
      <c r="X456" t="s">
        <v>45</v>
      </c>
      <c r="Y456">
        <v>2024</v>
      </c>
    </row>
    <row r="457" spans="1:25" x14ac:dyDescent="0.3">
      <c r="A457" t="s">
        <v>1332</v>
      </c>
      <c r="B457" s="1">
        <v>46041</v>
      </c>
      <c r="C457" t="s">
        <v>1333</v>
      </c>
      <c r="D457" t="s">
        <v>3298</v>
      </c>
      <c r="E457" s="1">
        <v>46043</v>
      </c>
      <c r="F457" t="s">
        <v>29</v>
      </c>
      <c r="G457" t="s">
        <v>27</v>
      </c>
      <c r="H457" t="s">
        <v>28</v>
      </c>
      <c r="I457" t="s">
        <v>2679</v>
      </c>
      <c r="J457" t="s">
        <v>2707</v>
      </c>
      <c r="K457" t="s">
        <v>52</v>
      </c>
      <c r="L457">
        <v>28</v>
      </c>
      <c r="M457">
        <v>1</v>
      </c>
      <c r="N457">
        <v>20</v>
      </c>
      <c r="O457" t="s">
        <v>794</v>
      </c>
      <c r="P457" t="s">
        <v>44</v>
      </c>
      <c r="Q457" t="s">
        <v>117</v>
      </c>
      <c r="R457" t="s">
        <v>71</v>
      </c>
      <c r="S457" t="s">
        <v>30</v>
      </c>
      <c r="T457">
        <v>2</v>
      </c>
      <c r="U457">
        <v>855.81</v>
      </c>
      <c r="V457">
        <v>567.19000000000005</v>
      </c>
      <c r="W457">
        <v>2</v>
      </c>
      <c r="X457" t="s">
        <v>34</v>
      </c>
      <c r="Y457">
        <v>2026</v>
      </c>
    </row>
    <row r="458" spans="1:25" x14ac:dyDescent="0.3">
      <c r="A458" t="s">
        <v>1334</v>
      </c>
      <c r="B458" s="1">
        <v>45492</v>
      </c>
      <c r="C458" t="s">
        <v>1335</v>
      </c>
      <c r="D458" t="s">
        <v>3297</v>
      </c>
      <c r="E458" s="1">
        <v>45498</v>
      </c>
      <c r="F458" t="s">
        <v>122</v>
      </c>
      <c r="G458" t="s">
        <v>120</v>
      </c>
      <c r="H458" t="s">
        <v>121</v>
      </c>
      <c r="I458" t="s">
        <v>2633</v>
      </c>
      <c r="J458" t="s">
        <v>2678</v>
      </c>
      <c r="K458" t="s">
        <v>25</v>
      </c>
      <c r="L458">
        <v>34</v>
      </c>
      <c r="M458">
        <v>3</v>
      </c>
      <c r="N458">
        <v>30</v>
      </c>
      <c r="O458" t="s">
        <v>1336</v>
      </c>
      <c r="P458" t="s">
        <v>44</v>
      </c>
      <c r="Q458" t="s">
        <v>42</v>
      </c>
      <c r="R458" t="s">
        <v>71</v>
      </c>
      <c r="S458" t="s">
        <v>123</v>
      </c>
      <c r="T458">
        <v>5</v>
      </c>
      <c r="U458">
        <v>393.03</v>
      </c>
      <c r="V458">
        <v>582.88</v>
      </c>
      <c r="W458">
        <v>6</v>
      </c>
      <c r="X458" t="s">
        <v>45</v>
      </c>
      <c r="Y458">
        <v>2024</v>
      </c>
    </row>
    <row r="459" spans="1:25" x14ac:dyDescent="0.3">
      <c r="A459" t="s">
        <v>1337</v>
      </c>
      <c r="B459" s="1">
        <v>45337</v>
      </c>
      <c r="C459" t="s">
        <v>1338</v>
      </c>
      <c r="D459" t="s">
        <v>3296</v>
      </c>
      <c r="E459" s="1">
        <v>45341</v>
      </c>
      <c r="F459" t="s">
        <v>56</v>
      </c>
      <c r="G459" t="s">
        <v>54</v>
      </c>
      <c r="H459" t="s">
        <v>55</v>
      </c>
      <c r="I459" t="s">
        <v>2633</v>
      </c>
      <c r="J459" t="s">
        <v>2695</v>
      </c>
      <c r="K459" t="s">
        <v>25</v>
      </c>
      <c r="L459">
        <v>51</v>
      </c>
      <c r="M459">
        <v>1</v>
      </c>
      <c r="N459">
        <v>30</v>
      </c>
      <c r="O459" t="s">
        <v>1339</v>
      </c>
      <c r="P459" t="s">
        <v>44</v>
      </c>
      <c r="Q459" t="s">
        <v>117</v>
      </c>
      <c r="R459" t="s">
        <v>71</v>
      </c>
      <c r="S459" t="s">
        <v>57</v>
      </c>
      <c r="T459">
        <v>5</v>
      </c>
      <c r="U459">
        <v>315.14</v>
      </c>
      <c r="V459">
        <v>183.4</v>
      </c>
      <c r="W459">
        <v>4</v>
      </c>
      <c r="X459" t="s">
        <v>34</v>
      </c>
      <c r="Y459">
        <v>2024</v>
      </c>
    </row>
    <row r="460" spans="1:25" x14ac:dyDescent="0.3">
      <c r="A460" t="s">
        <v>1340</v>
      </c>
      <c r="B460" s="1">
        <v>45396</v>
      </c>
      <c r="C460" t="s">
        <v>1341</v>
      </c>
      <c r="D460" t="s">
        <v>3295</v>
      </c>
      <c r="E460" s="1">
        <v>45399</v>
      </c>
      <c r="F460" t="s">
        <v>128</v>
      </c>
      <c r="G460" t="s">
        <v>98</v>
      </c>
      <c r="H460" t="s">
        <v>127</v>
      </c>
      <c r="I460" t="s">
        <v>2623</v>
      </c>
      <c r="J460" t="s">
        <v>2691</v>
      </c>
      <c r="K460" t="s">
        <v>52</v>
      </c>
      <c r="L460">
        <v>50</v>
      </c>
      <c r="M460">
        <v>1</v>
      </c>
      <c r="N460">
        <v>15</v>
      </c>
      <c r="O460" t="s">
        <v>563</v>
      </c>
      <c r="P460" t="s">
        <v>44</v>
      </c>
      <c r="Q460" t="s">
        <v>31</v>
      </c>
      <c r="R460" t="s">
        <v>43</v>
      </c>
      <c r="S460" t="s">
        <v>129</v>
      </c>
      <c r="T460">
        <v>4</v>
      </c>
      <c r="U460">
        <v>122.66</v>
      </c>
      <c r="V460">
        <v>70.790000000000006</v>
      </c>
      <c r="W460">
        <v>3</v>
      </c>
      <c r="X460" t="s">
        <v>49</v>
      </c>
      <c r="Y460">
        <v>2024</v>
      </c>
    </row>
    <row r="461" spans="1:25" x14ac:dyDescent="0.3">
      <c r="A461" t="s">
        <v>1342</v>
      </c>
      <c r="B461" s="1">
        <v>45755</v>
      </c>
      <c r="C461" t="s">
        <v>1343</v>
      </c>
      <c r="D461" t="s">
        <v>3294</v>
      </c>
      <c r="E461" s="1">
        <v>45759</v>
      </c>
      <c r="F461" t="s">
        <v>68</v>
      </c>
      <c r="G461" t="s">
        <v>66</v>
      </c>
      <c r="H461" t="s">
        <v>67</v>
      </c>
      <c r="I461" t="s">
        <v>2641</v>
      </c>
      <c r="J461" t="s">
        <v>2713</v>
      </c>
      <c r="K461" t="s">
        <v>52</v>
      </c>
      <c r="L461">
        <v>31</v>
      </c>
      <c r="M461">
        <v>5</v>
      </c>
      <c r="N461">
        <v>30</v>
      </c>
      <c r="O461" t="s">
        <v>1344</v>
      </c>
      <c r="P461" t="s">
        <v>33</v>
      </c>
      <c r="Q461" t="s">
        <v>42</v>
      </c>
      <c r="R461" t="s">
        <v>43</v>
      </c>
      <c r="S461" t="s">
        <v>69</v>
      </c>
      <c r="T461">
        <v>4</v>
      </c>
      <c r="U461">
        <v>848.44</v>
      </c>
      <c r="V461">
        <v>2269.38</v>
      </c>
      <c r="W461">
        <v>4</v>
      </c>
      <c r="X461" t="s">
        <v>49</v>
      </c>
      <c r="Y461">
        <v>2025</v>
      </c>
    </row>
    <row r="462" spans="1:25" x14ac:dyDescent="0.3">
      <c r="A462" t="s">
        <v>1345</v>
      </c>
      <c r="B462" s="1">
        <v>45359</v>
      </c>
      <c r="C462" t="s">
        <v>1346</v>
      </c>
      <c r="D462" t="s">
        <v>3293</v>
      </c>
      <c r="E462" s="1">
        <v>45366</v>
      </c>
      <c r="F462" t="s">
        <v>29</v>
      </c>
      <c r="G462" t="s">
        <v>27</v>
      </c>
      <c r="H462" t="s">
        <v>28</v>
      </c>
      <c r="I462" t="s">
        <v>2629</v>
      </c>
      <c r="J462" t="s">
        <v>2630</v>
      </c>
      <c r="K462" t="s">
        <v>52</v>
      </c>
      <c r="L462">
        <v>21</v>
      </c>
      <c r="M462">
        <v>3</v>
      </c>
      <c r="N462">
        <v>25</v>
      </c>
      <c r="O462" t="s">
        <v>558</v>
      </c>
      <c r="P462" t="s">
        <v>44</v>
      </c>
      <c r="Q462" t="s">
        <v>70</v>
      </c>
      <c r="R462" t="s">
        <v>71</v>
      </c>
      <c r="S462" t="s">
        <v>30</v>
      </c>
      <c r="T462">
        <v>2</v>
      </c>
      <c r="U462">
        <v>257.37</v>
      </c>
      <c r="V462">
        <v>403.05</v>
      </c>
      <c r="W462">
        <v>7</v>
      </c>
      <c r="X462" t="s">
        <v>34</v>
      </c>
      <c r="Y462">
        <v>2024</v>
      </c>
    </row>
    <row r="463" spans="1:25" x14ac:dyDescent="0.3">
      <c r="A463" t="s">
        <v>1347</v>
      </c>
      <c r="B463" s="1">
        <v>45533</v>
      </c>
      <c r="C463" t="s">
        <v>1348</v>
      </c>
      <c r="D463" t="s">
        <v>3292</v>
      </c>
      <c r="E463" s="1">
        <v>45539</v>
      </c>
      <c r="F463" t="s">
        <v>122</v>
      </c>
      <c r="G463" t="s">
        <v>120</v>
      </c>
      <c r="H463" t="s">
        <v>121</v>
      </c>
      <c r="I463" t="s">
        <v>2637</v>
      </c>
      <c r="J463" t="s">
        <v>2649</v>
      </c>
      <c r="K463" t="s">
        <v>52</v>
      </c>
      <c r="L463">
        <v>43</v>
      </c>
      <c r="M463">
        <v>3</v>
      </c>
      <c r="N463">
        <v>5</v>
      </c>
      <c r="O463" t="s">
        <v>871</v>
      </c>
      <c r="P463" t="s">
        <v>33</v>
      </c>
      <c r="Q463" t="s">
        <v>70</v>
      </c>
      <c r="R463" t="s">
        <v>71</v>
      </c>
      <c r="S463" t="s">
        <v>123</v>
      </c>
      <c r="T463">
        <v>3</v>
      </c>
      <c r="U463">
        <v>913.04</v>
      </c>
      <c r="V463">
        <v>1778.64</v>
      </c>
      <c r="W463">
        <v>6</v>
      </c>
      <c r="X463" t="s">
        <v>45</v>
      </c>
      <c r="Y463">
        <v>2024</v>
      </c>
    </row>
    <row r="464" spans="1:25" x14ac:dyDescent="0.3">
      <c r="A464" t="s">
        <v>1349</v>
      </c>
      <c r="B464" s="1">
        <v>45714</v>
      </c>
      <c r="C464" t="s">
        <v>1350</v>
      </c>
      <c r="D464" t="s">
        <v>3291</v>
      </c>
      <c r="E464" s="1">
        <v>45718</v>
      </c>
      <c r="F464" t="s">
        <v>56</v>
      </c>
      <c r="G464" t="s">
        <v>54</v>
      </c>
      <c r="H464" t="s">
        <v>55</v>
      </c>
      <c r="I464" t="s">
        <v>2627</v>
      </c>
      <c r="J464" t="s">
        <v>2698</v>
      </c>
      <c r="K464" t="s">
        <v>25</v>
      </c>
      <c r="L464">
        <v>34</v>
      </c>
      <c r="M464">
        <v>1</v>
      </c>
      <c r="N464">
        <v>10</v>
      </c>
      <c r="O464" t="s">
        <v>1351</v>
      </c>
      <c r="P464" t="s">
        <v>33</v>
      </c>
      <c r="Q464" t="s">
        <v>31</v>
      </c>
      <c r="R464" t="s">
        <v>71</v>
      </c>
      <c r="S464" t="s">
        <v>57</v>
      </c>
      <c r="T464">
        <v>1</v>
      </c>
      <c r="U464">
        <v>154.31</v>
      </c>
      <c r="V464">
        <v>75.88</v>
      </c>
      <c r="W464">
        <v>4</v>
      </c>
      <c r="X464" t="s">
        <v>34</v>
      </c>
      <c r="Y464">
        <v>2025</v>
      </c>
    </row>
    <row r="465" spans="1:25" x14ac:dyDescent="0.3">
      <c r="A465" t="s">
        <v>1352</v>
      </c>
      <c r="B465" s="1">
        <v>45946</v>
      </c>
      <c r="C465" t="s">
        <v>1353</v>
      </c>
      <c r="D465" t="s">
        <v>3290</v>
      </c>
      <c r="E465" s="1">
        <v>45947</v>
      </c>
      <c r="F465" t="s">
        <v>100</v>
      </c>
      <c r="G465" t="s">
        <v>98</v>
      </c>
      <c r="H465" t="s">
        <v>99</v>
      </c>
      <c r="I465" t="s">
        <v>2629</v>
      </c>
      <c r="J465" t="s">
        <v>2709</v>
      </c>
      <c r="K465" t="s">
        <v>25</v>
      </c>
      <c r="L465">
        <v>47</v>
      </c>
      <c r="M465">
        <v>2</v>
      </c>
      <c r="N465">
        <v>30</v>
      </c>
      <c r="O465" t="s">
        <v>706</v>
      </c>
      <c r="P465" t="s">
        <v>44</v>
      </c>
      <c r="Q465" t="s">
        <v>58</v>
      </c>
      <c r="R465" t="s">
        <v>43</v>
      </c>
      <c r="S465" t="s">
        <v>101</v>
      </c>
      <c r="T465">
        <v>3</v>
      </c>
      <c r="U465">
        <v>232.46</v>
      </c>
      <c r="V465">
        <v>213.6</v>
      </c>
      <c r="W465">
        <v>1</v>
      </c>
      <c r="X465" t="s">
        <v>94</v>
      </c>
      <c r="Y465">
        <v>2025</v>
      </c>
    </row>
    <row r="466" spans="1:25" x14ac:dyDescent="0.3">
      <c r="A466" t="s">
        <v>1354</v>
      </c>
      <c r="B466" s="1">
        <v>45614</v>
      </c>
      <c r="C466" t="s">
        <v>1355</v>
      </c>
      <c r="D466" t="s">
        <v>3289</v>
      </c>
      <c r="E466" s="1">
        <v>45615</v>
      </c>
      <c r="F466" t="s">
        <v>56</v>
      </c>
      <c r="G466" t="s">
        <v>54</v>
      </c>
      <c r="H466" t="s">
        <v>55</v>
      </c>
      <c r="I466" t="s">
        <v>2625</v>
      </c>
      <c r="J466" t="s">
        <v>2667</v>
      </c>
      <c r="K466" t="s">
        <v>25</v>
      </c>
      <c r="L466">
        <v>39</v>
      </c>
      <c r="M466">
        <v>2</v>
      </c>
      <c r="N466">
        <v>10</v>
      </c>
      <c r="O466" t="s">
        <v>1356</v>
      </c>
      <c r="P466" t="s">
        <v>33</v>
      </c>
      <c r="Q466" t="s">
        <v>70</v>
      </c>
      <c r="R466" t="s">
        <v>43</v>
      </c>
      <c r="S466" t="s">
        <v>57</v>
      </c>
      <c r="T466">
        <v>4</v>
      </c>
      <c r="U466">
        <v>839.88</v>
      </c>
      <c r="V466">
        <v>1026.07</v>
      </c>
      <c r="W466">
        <v>1</v>
      </c>
      <c r="X466" t="s">
        <v>94</v>
      </c>
      <c r="Y466">
        <v>2024</v>
      </c>
    </row>
    <row r="467" spans="1:25" x14ac:dyDescent="0.3">
      <c r="A467" t="s">
        <v>1357</v>
      </c>
      <c r="B467" s="1">
        <v>45531</v>
      </c>
      <c r="C467" t="s">
        <v>1358</v>
      </c>
      <c r="D467" t="s">
        <v>3288</v>
      </c>
      <c r="E467" s="1">
        <v>45533</v>
      </c>
      <c r="F467" t="s">
        <v>100</v>
      </c>
      <c r="G467" t="s">
        <v>98</v>
      </c>
      <c r="H467" t="s">
        <v>99</v>
      </c>
      <c r="I467" t="s">
        <v>2675</v>
      </c>
      <c r="J467" t="s">
        <v>2710</v>
      </c>
      <c r="K467" t="s">
        <v>52</v>
      </c>
      <c r="L467">
        <v>36</v>
      </c>
      <c r="M467">
        <v>2</v>
      </c>
      <c r="N467">
        <v>30</v>
      </c>
      <c r="O467" t="s">
        <v>1359</v>
      </c>
      <c r="P467" t="s">
        <v>75</v>
      </c>
      <c r="Q467" t="s">
        <v>58</v>
      </c>
      <c r="R467" t="s">
        <v>43</v>
      </c>
      <c r="S467" t="s">
        <v>101</v>
      </c>
      <c r="T467">
        <v>4</v>
      </c>
      <c r="U467">
        <v>216.48</v>
      </c>
      <c r="V467">
        <v>184.21</v>
      </c>
      <c r="W467">
        <v>2</v>
      </c>
      <c r="X467" t="s">
        <v>45</v>
      </c>
      <c r="Y467">
        <v>2024</v>
      </c>
    </row>
    <row r="468" spans="1:25" x14ac:dyDescent="0.3">
      <c r="A468" t="s">
        <v>1360</v>
      </c>
      <c r="B468" s="1">
        <v>45635</v>
      </c>
      <c r="C468" t="s">
        <v>1361</v>
      </c>
      <c r="D468" t="s">
        <v>3287</v>
      </c>
      <c r="E468" s="1">
        <v>45640</v>
      </c>
      <c r="F468" t="s">
        <v>122</v>
      </c>
      <c r="G468" t="s">
        <v>120</v>
      </c>
      <c r="H468" t="s">
        <v>121</v>
      </c>
      <c r="I468" t="s">
        <v>2668</v>
      </c>
      <c r="J468" t="s">
        <v>2708</v>
      </c>
      <c r="K468" t="s">
        <v>25</v>
      </c>
      <c r="L468">
        <v>30</v>
      </c>
      <c r="M468">
        <v>5</v>
      </c>
      <c r="N468">
        <v>25</v>
      </c>
      <c r="O468" t="s">
        <v>1362</v>
      </c>
      <c r="P468" t="s">
        <v>75</v>
      </c>
      <c r="Q468" t="s">
        <v>31</v>
      </c>
      <c r="R468" t="s">
        <v>62</v>
      </c>
      <c r="S468" t="s">
        <v>123</v>
      </c>
      <c r="T468">
        <v>4</v>
      </c>
      <c r="U468">
        <v>471.63</v>
      </c>
      <c r="V468">
        <v>894.85</v>
      </c>
      <c r="W468">
        <v>5</v>
      </c>
      <c r="X468" t="s">
        <v>94</v>
      </c>
      <c r="Y468">
        <v>2024</v>
      </c>
    </row>
    <row r="469" spans="1:25" x14ac:dyDescent="0.3">
      <c r="A469" t="s">
        <v>1363</v>
      </c>
      <c r="B469" s="1">
        <v>45936</v>
      </c>
      <c r="C469" t="s">
        <v>1364</v>
      </c>
      <c r="D469" t="s">
        <v>3286</v>
      </c>
      <c r="E469" s="1">
        <v>45940</v>
      </c>
      <c r="F469" t="s">
        <v>68</v>
      </c>
      <c r="G469" t="s">
        <v>66</v>
      </c>
      <c r="H469" t="s">
        <v>67</v>
      </c>
      <c r="I469" t="s">
        <v>2668</v>
      </c>
      <c r="J469" t="s">
        <v>2682</v>
      </c>
      <c r="K469" t="s">
        <v>52</v>
      </c>
      <c r="L469">
        <v>59</v>
      </c>
      <c r="M469">
        <v>4</v>
      </c>
      <c r="N469">
        <v>20</v>
      </c>
      <c r="O469" t="s">
        <v>874</v>
      </c>
      <c r="P469" t="s">
        <v>75</v>
      </c>
      <c r="Q469" t="s">
        <v>58</v>
      </c>
      <c r="R469" t="s">
        <v>32</v>
      </c>
      <c r="S469" t="s">
        <v>69</v>
      </c>
      <c r="T469">
        <v>1</v>
      </c>
      <c r="U469">
        <v>416.28</v>
      </c>
      <c r="V469">
        <v>858.68</v>
      </c>
      <c r="W469">
        <v>4</v>
      </c>
      <c r="X469" t="s">
        <v>94</v>
      </c>
      <c r="Y469">
        <v>2025</v>
      </c>
    </row>
    <row r="470" spans="1:25" x14ac:dyDescent="0.3">
      <c r="A470" t="s">
        <v>1365</v>
      </c>
      <c r="B470" s="1">
        <v>45932</v>
      </c>
      <c r="C470" t="s">
        <v>1366</v>
      </c>
      <c r="D470" t="s">
        <v>3285</v>
      </c>
      <c r="E470" s="1">
        <v>45933</v>
      </c>
      <c r="F470" t="s">
        <v>29</v>
      </c>
      <c r="G470" t="s">
        <v>27</v>
      </c>
      <c r="H470" t="s">
        <v>28</v>
      </c>
      <c r="I470" t="s">
        <v>2637</v>
      </c>
      <c r="J470" t="s">
        <v>2649</v>
      </c>
      <c r="K470" t="s">
        <v>52</v>
      </c>
      <c r="L470">
        <v>20</v>
      </c>
      <c r="M470">
        <v>2</v>
      </c>
      <c r="N470">
        <v>10</v>
      </c>
      <c r="O470" t="s">
        <v>1367</v>
      </c>
      <c r="P470" t="s">
        <v>44</v>
      </c>
      <c r="Q470" t="s">
        <v>70</v>
      </c>
      <c r="R470" t="s">
        <v>71</v>
      </c>
      <c r="S470" t="s">
        <v>30</v>
      </c>
      <c r="T470">
        <v>2</v>
      </c>
      <c r="U470">
        <v>611.35</v>
      </c>
      <c r="V470">
        <v>609.32000000000005</v>
      </c>
      <c r="W470">
        <v>1</v>
      </c>
      <c r="X470" t="s">
        <v>94</v>
      </c>
      <c r="Y470">
        <v>2025</v>
      </c>
    </row>
    <row r="471" spans="1:25" x14ac:dyDescent="0.3">
      <c r="A471" t="s">
        <v>1368</v>
      </c>
      <c r="B471" s="1">
        <v>46087</v>
      </c>
      <c r="C471" t="s">
        <v>1369</v>
      </c>
      <c r="D471" t="s">
        <v>2765</v>
      </c>
      <c r="E471" s="1">
        <v>46094</v>
      </c>
      <c r="F471" t="s">
        <v>29</v>
      </c>
      <c r="G471" t="s">
        <v>27</v>
      </c>
      <c r="H471" t="s">
        <v>28</v>
      </c>
      <c r="I471" t="s">
        <v>2668</v>
      </c>
      <c r="J471" t="s">
        <v>2682</v>
      </c>
      <c r="K471" t="s">
        <v>25</v>
      </c>
      <c r="L471">
        <v>50</v>
      </c>
      <c r="M471">
        <v>2</v>
      </c>
      <c r="N471">
        <v>30</v>
      </c>
      <c r="O471" t="s">
        <v>1370</v>
      </c>
      <c r="P471" t="s">
        <v>33</v>
      </c>
      <c r="Q471" t="s">
        <v>31</v>
      </c>
      <c r="R471" t="s">
        <v>43</v>
      </c>
      <c r="S471" t="s">
        <v>30</v>
      </c>
      <c r="T471">
        <v>2</v>
      </c>
      <c r="U471">
        <v>568.09</v>
      </c>
      <c r="V471">
        <v>632.89</v>
      </c>
      <c r="W471">
        <v>7</v>
      </c>
      <c r="X471" t="s">
        <v>34</v>
      </c>
      <c r="Y471">
        <v>2026</v>
      </c>
    </row>
    <row r="472" spans="1:25" x14ac:dyDescent="0.3">
      <c r="A472" t="s">
        <v>1371</v>
      </c>
      <c r="B472" s="1">
        <v>45322</v>
      </c>
      <c r="C472" t="s">
        <v>304</v>
      </c>
      <c r="D472" t="s">
        <v>2764</v>
      </c>
      <c r="E472" s="1">
        <v>45325</v>
      </c>
      <c r="F472" t="s">
        <v>122</v>
      </c>
      <c r="G472" t="s">
        <v>120</v>
      </c>
      <c r="H472" t="s">
        <v>121</v>
      </c>
      <c r="I472" t="s">
        <v>2668</v>
      </c>
      <c r="J472" t="s">
        <v>2669</v>
      </c>
      <c r="K472" t="s">
        <v>52</v>
      </c>
      <c r="L472">
        <v>41</v>
      </c>
      <c r="M472">
        <v>1</v>
      </c>
      <c r="N472">
        <v>10</v>
      </c>
      <c r="O472" t="s">
        <v>1372</v>
      </c>
      <c r="P472" t="s">
        <v>33</v>
      </c>
      <c r="Q472" t="s">
        <v>42</v>
      </c>
      <c r="R472" t="s">
        <v>32</v>
      </c>
      <c r="S472" t="s">
        <v>123</v>
      </c>
      <c r="T472">
        <v>5</v>
      </c>
      <c r="U472">
        <v>53.53</v>
      </c>
      <c r="V472">
        <v>35.299999999999997</v>
      </c>
      <c r="W472">
        <v>3</v>
      </c>
      <c r="X472" t="s">
        <v>34</v>
      </c>
      <c r="Y472">
        <v>2024</v>
      </c>
    </row>
    <row r="473" spans="1:25" x14ac:dyDescent="0.3">
      <c r="A473" t="s">
        <v>1373</v>
      </c>
      <c r="B473" s="1">
        <v>45712</v>
      </c>
      <c r="C473" t="s">
        <v>1374</v>
      </c>
      <c r="D473" t="s">
        <v>2763</v>
      </c>
      <c r="E473" s="1">
        <v>45716</v>
      </c>
      <c r="F473" t="s">
        <v>29</v>
      </c>
      <c r="G473" t="s">
        <v>27</v>
      </c>
      <c r="H473" t="s">
        <v>28</v>
      </c>
      <c r="I473" t="s">
        <v>2631</v>
      </c>
      <c r="J473" t="s">
        <v>2694</v>
      </c>
      <c r="K473" t="s">
        <v>52</v>
      </c>
      <c r="L473">
        <v>18</v>
      </c>
      <c r="M473">
        <v>4</v>
      </c>
      <c r="N473">
        <v>30</v>
      </c>
      <c r="O473" t="s">
        <v>1375</v>
      </c>
      <c r="P473" t="s">
        <v>33</v>
      </c>
      <c r="Q473" t="s">
        <v>31</v>
      </c>
      <c r="R473" t="s">
        <v>32</v>
      </c>
      <c r="S473" t="s">
        <v>30</v>
      </c>
      <c r="T473">
        <v>3</v>
      </c>
      <c r="U473">
        <v>150.30000000000001</v>
      </c>
      <c r="V473">
        <v>235.44</v>
      </c>
      <c r="W473">
        <v>4</v>
      </c>
      <c r="X473" t="s">
        <v>34</v>
      </c>
      <c r="Y473">
        <v>2025</v>
      </c>
    </row>
    <row r="474" spans="1:25" x14ac:dyDescent="0.3">
      <c r="A474" t="s">
        <v>1376</v>
      </c>
      <c r="B474" s="1">
        <v>46083</v>
      </c>
      <c r="C474" t="s">
        <v>1377</v>
      </c>
      <c r="D474" t="s">
        <v>2762</v>
      </c>
      <c r="E474" s="1">
        <v>46086</v>
      </c>
      <c r="F474" t="s">
        <v>122</v>
      </c>
      <c r="G474" t="s">
        <v>120</v>
      </c>
      <c r="H474" t="s">
        <v>121</v>
      </c>
      <c r="I474" t="s">
        <v>2631</v>
      </c>
      <c r="J474" t="s">
        <v>2711</v>
      </c>
      <c r="K474" t="s">
        <v>52</v>
      </c>
      <c r="L474">
        <v>32</v>
      </c>
      <c r="M474">
        <v>5</v>
      </c>
      <c r="N474">
        <v>5</v>
      </c>
      <c r="O474" t="s">
        <v>341</v>
      </c>
      <c r="P474" t="s">
        <v>33</v>
      </c>
      <c r="Q474" t="s">
        <v>70</v>
      </c>
      <c r="R474" t="s">
        <v>71</v>
      </c>
      <c r="S474" t="s">
        <v>123</v>
      </c>
      <c r="T474">
        <v>4</v>
      </c>
      <c r="U474">
        <v>921.41</v>
      </c>
      <c r="V474">
        <v>3028.64</v>
      </c>
      <c r="W474">
        <v>3</v>
      </c>
      <c r="X474" t="s">
        <v>34</v>
      </c>
      <c r="Y474">
        <v>2026</v>
      </c>
    </row>
    <row r="475" spans="1:25" x14ac:dyDescent="0.3">
      <c r="A475" t="s">
        <v>1378</v>
      </c>
      <c r="B475" s="1">
        <v>45785</v>
      </c>
      <c r="C475" t="s">
        <v>1379</v>
      </c>
      <c r="D475" t="s">
        <v>3284</v>
      </c>
      <c r="E475" s="1">
        <v>45791</v>
      </c>
      <c r="F475" t="s">
        <v>29</v>
      </c>
      <c r="G475" t="s">
        <v>27</v>
      </c>
      <c r="H475" t="s">
        <v>28</v>
      </c>
      <c r="I475" t="s">
        <v>2625</v>
      </c>
      <c r="J475" t="s">
        <v>2667</v>
      </c>
      <c r="K475" t="s">
        <v>52</v>
      </c>
      <c r="L475">
        <v>52</v>
      </c>
      <c r="M475">
        <v>4</v>
      </c>
      <c r="N475">
        <v>5</v>
      </c>
      <c r="O475" t="s">
        <v>1380</v>
      </c>
      <c r="P475" t="s">
        <v>75</v>
      </c>
      <c r="Q475" t="s">
        <v>117</v>
      </c>
      <c r="R475" t="s">
        <v>62</v>
      </c>
      <c r="S475" t="s">
        <v>30</v>
      </c>
      <c r="T475">
        <v>5</v>
      </c>
      <c r="U475">
        <v>220.74</v>
      </c>
      <c r="V475">
        <v>641.22</v>
      </c>
      <c r="W475">
        <v>6</v>
      </c>
      <c r="X475" t="s">
        <v>49</v>
      </c>
      <c r="Y475">
        <v>2025</v>
      </c>
    </row>
    <row r="476" spans="1:25" x14ac:dyDescent="0.3">
      <c r="A476" t="s">
        <v>1381</v>
      </c>
      <c r="B476" s="1">
        <v>46101</v>
      </c>
      <c r="C476" t="s">
        <v>1382</v>
      </c>
      <c r="D476" t="s">
        <v>3283</v>
      </c>
      <c r="E476" s="1">
        <v>46108</v>
      </c>
      <c r="F476" t="s">
        <v>68</v>
      </c>
      <c r="G476" t="s">
        <v>66</v>
      </c>
      <c r="H476" t="s">
        <v>67</v>
      </c>
      <c r="I476" t="s">
        <v>2641</v>
      </c>
      <c r="J476" t="s">
        <v>2642</v>
      </c>
      <c r="K476" t="s">
        <v>52</v>
      </c>
      <c r="L476">
        <v>23</v>
      </c>
      <c r="M476">
        <v>3</v>
      </c>
      <c r="N476">
        <v>0</v>
      </c>
      <c r="O476" t="s">
        <v>1383</v>
      </c>
      <c r="P476" t="s">
        <v>44</v>
      </c>
      <c r="Q476" t="s">
        <v>31</v>
      </c>
      <c r="R476" t="s">
        <v>43</v>
      </c>
      <c r="S476" t="s">
        <v>69</v>
      </c>
      <c r="T476">
        <v>3</v>
      </c>
      <c r="U476">
        <v>429.71</v>
      </c>
      <c r="V476">
        <v>813.19</v>
      </c>
      <c r="W476">
        <v>7</v>
      </c>
      <c r="X476" t="s">
        <v>34</v>
      </c>
      <c r="Y476">
        <v>2026</v>
      </c>
    </row>
    <row r="477" spans="1:25" x14ac:dyDescent="0.3">
      <c r="A477" t="s">
        <v>1384</v>
      </c>
      <c r="B477" s="1">
        <v>45400</v>
      </c>
      <c r="C477" t="s">
        <v>1385</v>
      </c>
      <c r="D477" t="s">
        <v>3282</v>
      </c>
      <c r="E477" s="1">
        <v>45407</v>
      </c>
      <c r="F477" t="s">
        <v>140</v>
      </c>
      <c r="G477" t="s">
        <v>38</v>
      </c>
      <c r="H477" t="s">
        <v>139</v>
      </c>
      <c r="I477" t="s">
        <v>2627</v>
      </c>
      <c r="J477" t="s">
        <v>2717</v>
      </c>
      <c r="K477" t="s">
        <v>25</v>
      </c>
      <c r="L477">
        <v>53</v>
      </c>
      <c r="M477">
        <v>1</v>
      </c>
      <c r="N477">
        <v>0</v>
      </c>
      <c r="O477" t="s">
        <v>1386</v>
      </c>
      <c r="P477" t="s">
        <v>44</v>
      </c>
      <c r="Q477" t="s">
        <v>42</v>
      </c>
      <c r="R477" t="s">
        <v>32</v>
      </c>
      <c r="S477" t="s">
        <v>141</v>
      </c>
      <c r="T477">
        <v>5</v>
      </c>
      <c r="U477">
        <v>92.78</v>
      </c>
      <c r="V477">
        <v>70.489999999999995</v>
      </c>
      <c r="W477">
        <v>7</v>
      </c>
      <c r="X477" t="s">
        <v>49</v>
      </c>
      <c r="Y477">
        <v>2024</v>
      </c>
    </row>
    <row r="478" spans="1:25" x14ac:dyDescent="0.3">
      <c r="A478" t="s">
        <v>1387</v>
      </c>
      <c r="B478" s="1">
        <v>45303</v>
      </c>
      <c r="C478" t="s">
        <v>1388</v>
      </c>
      <c r="D478" t="s">
        <v>3281</v>
      </c>
      <c r="E478" s="1">
        <v>45306</v>
      </c>
      <c r="F478" t="s">
        <v>140</v>
      </c>
      <c r="G478" t="s">
        <v>38</v>
      </c>
      <c r="H478" t="s">
        <v>139</v>
      </c>
      <c r="I478" t="s">
        <v>2631</v>
      </c>
      <c r="J478" t="s">
        <v>2674</v>
      </c>
      <c r="K478" t="s">
        <v>25</v>
      </c>
      <c r="L478">
        <v>20</v>
      </c>
      <c r="M478">
        <v>4</v>
      </c>
      <c r="N478">
        <v>20</v>
      </c>
      <c r="O478" t="s">
        <v>1389</v>
      </c>
      <c r="P478" t="s">
        <v>33</v>
      </c>
      <c r="Q478" t="s">
        <v>70</v>
      </c>
      <c r="R478" t="s">
        <v>32</v>
      </c>
      <c r="S478" t="s">
        <v>141</v>
      </c>
      <c r="T478">
        <v>3</v>
      </c>
      <c r="U478">
        <v>968.05</v>
      </c>
      <c r="V478">
        <v>1584.24</v>
      </c>
      <c r="W478">
        <v>3</v>
      </c>
      <c r="X478" t="s">
        <v>34</v>
      </c>
      <c r="Y478">
        <v>2024</v>
      </c>
    </row>
    <row r="479" spans="1:25" x14ac:dyDescent="0.3">
      <c r="A479" t="s">
        <v>1390</v>
      </c>
      <c r="B479" s="1">
        <v>45326</v>
      </c>
      <c r="C479" t="s">
        <v>1391</v>
      </c>
      <c r="D479" t="s">
        <v>3280</v>
      </c>
      <c r="E479" s="1">
        <v>45327</v>
      </c>
      <c r="F479" t="s">
        <v>40</v>
      </c>
      <c r="G479" t="s">
        <v>38</v>
      </c>
      <c r="H479" t="s">
        <v>39</v>
      </c>
      <c r="I479" t="s">
        <v>2661</v>
      </c>
      <c r="J479" t="s">
        <v>2700</v>
      </c>
      <c r="K479" t="s">
        <v>25</v>
      </c>
      <c r="L479">
        <v>54</v>
      </c>
      <c r="M479">
        <v>5</v>
      </c>
      <c r="N479">
        <v>10</v>
      </c>
      <c r="O479" t="s">
        <v>493</v>
      </c>
      <c r="P479" t="s">
        <v>33</v>
      </c>
      <c r="Q479" t="s">
        <v>31</v>
      </c>
      <c r="R479" t="s">
        <v>43</v>
      </c>
      <c r="S479" t="s">
        <v>41</v>
      </c>
      <c r="T479">
        <v>4</v>
      </c>
      <c r="U479">
        <v>621.69000000000005</v>
      </c>
      <c r="V479">
        <v>2181.0500000000002</v>
      </c>
      <c r="W479">
        <v>1</v>
      </c>
      <c r="X479" t="s">
        <v>34</v>
      </c>
      <c r="Y479">
        <v>2024</v>
      </c>
    </row>
    <row r="480" spans="1:25" x14ac:dyDescent="0.3">
      <c r="A480" t="s">
        <v>1392</v>
      </c>
      <c r="B480" s="1">
        <v>45489</v>
      </c>
      <c r="C480" t="s">
        <v>1393</v>
      </c>
      <c r="D480" t="s">
        <v>3279</v>
      </c>
      <c r="E480" s="1">
        <v>45490</v>
      </c>
      <c r="F480" t="s">
        <v>128</v>
      </c>
      <c r="G480" t="s">
        <v>98</v>
      </c>
      <c r="H480" t="s">
        <v>127</v>
      </c>
      <c r="I480" t="s">
        <v>2635</v>
      </c>
      <c r="J480" t="s">
        <v>2677</v>
      </c>
      <c r="K480" t="s">
        <v>25</v>
      </c>
      <c r="L480">
        <v>29</v>
      </c>
      <c r="M480">
        <v>1</v>
      </c>
      <c r="N480">
        <v>30</v>
      </c>
      <c r="O480" t="s">
        <v>1394</v>
      </c>
      <c r="P480" t="s">
        <v>44</v>
      </c>
      <c r="Q480" t="s">
        <v>70</v>
      </c>
      <c r="R480" t="s">
        <v>71</v>
      </c>
      <c r="S480" t="s">
        <v>129</v>
      </c>
      <c r="T480">
        <v>4</v>
      </c>
      <c r="U480">
        <v>162.72</v>
      </c>
      <c r="V480">
        <v>81.349999999999994</v>
      </c>
      <c r="W480">
        <v>1</v>
      </c>
      <c r="X480" t="s">
        <v>45</v>
      </c>
      <c r="Y480">
        <v>2024</v>
      </c>
    </row>
    <row r="481" spans="1:25" x14ac:dyDescent="0.3">
      <c r="A481" t="s">
        <v>1395</v>
      </c>
      <c r="B481" s="1">
        <v>46046</v>
      </c>
      <c r="C481" t="s">
        <v>1396</v>
      </c>
      <c r="D481" t="s">
        <v>3278</v>
      </c>
      <c r="E481" s="1">
        <v>46050</v>
      </c>
      <c r="F481" t="s">
        <v>29</v>
      </c>
      <c r="G481" t="s">
        <v>27</v>
      </c>
      <c r="H481" t="s">
        <v>28</v>
      </c>
      <c r="I481" t="s">
        <v>2672</v>
      </c>
      <c r="J481" t="s">
        <v>2673</v>
      </c>
      <c r="K481" t="s">
        <v>52</v>
      </c>
      <c r="L481">
        <v>37</v>
      </c>
      <c r="M481">
        <v>4</v>
      </c>
      <c r="N481">
        <v>25</v>
      </c>
      <c r="O481" t="s">
        <v>1172</v>
      </c>
      <c r="P481" t="s">
        <v>44</v>
      </c>
      <c r="Q481" t="s">
        <v>31</v>
      </c>
      <c r="R481" t="s">
        <v>32</v>
      </c>
      <c r="S481" t="s">
        <v>30</v>
      </c>
      <c r="T481">
        <v>4</v>
      </c>
      <c r="U481">
        <v>309.27</v>
      </c>
      <c r="V481">
        <v>546.85</v>
      </c>
      <c r="W481">
        <v>4</v>
      </c>
      <c r="X481" t="s">
        <v>34</v>
      </c>
      <c r="Y481">
        <v>2026</v>
      </c>
    </row>
    <row r="482" spans="1:25" x14ac:dyDescent="0.3">
      <c r="A482" t="s">
        <v>1397</v>
      </c>
      <c r="B482" s="1">
        <v>45495</v>
      </c>
      <c r="C482" t="s">
        <v>901</v>
      </c>
      <c r="D482" t="s">
        <v>3277</v>
      </c>
      <c r="E482" s="1">
        <v>45496</v>
      </c>
      <c r="F482" t="s">
        <v>29</v>
      </c>
      <c r="G482" t="s">
        <v>27</v>
      </c>
      <c r="H482" t="s">
        <v>28</v>
      </c>
      <c r="I482" t="s">
        <v>2625</v>
      </c>
      <c r="J482" t="s">
        <v>2651</v>
      </c>
      <c r="K482" t="s">
        <v>25</v>
      </c>
      <c r="L482">
        <v>62</v>
      </c>
      <c r="M482">
        <v>1</v>
      </c>
      <c r="N482">
        <v>0</v>
      </c>
      <c r="O482" t="s">
        <v>327</v>
      </c>
      <c r="P482" t="s">
        <v>33</v>
      </c>
      <c r="Q482" t="s">
        <v>70</v>
      </c>
      <c r="R482" t="s">
        <v>32</v>
      </c>
      <c r="S482" t="s">
        <v>30</v>
      </c>
      <c r="T482">
        <v>2</v>
      </c>
      <c r="U482">
        <v>607</v>
      </c>
      <c r="V482">
        <v>351.27</v>
      </c>
      <c r="W482">
        <v>1</v>
      </c>
      <c r="X482" t="s">
        <v>45</v>
      </c>
      <c r="Y482">
        <v>2024</v>
      </c>
    </row>
    <row r="483" spans="1:25" x14ac:dyDescent="0.3">
      <c r="A483" t="s">
        <v>1398</v>
      </c>
      <c r="B483" s="1">
        <v>46150</v>
      </c>
      <c r="C483" t="s">
        <v>1399</v>
      </c>
      <c r="D483" t="s">
        <v>3276</v>
      </c>
      <c r="E483" s="1">
        <v>46152</v>
      </c>
      <c r="F483" t="s">
        <v>128</v>
      </c>
      <c r="G483" t="s">
        <v>98</v>
      </c>
      <c r="H483" t="s">
        <v>127</v>
      </c>
      <c r="I483" t="s">
        <v>2665</v>
      </c>
      <c r="J483" t="s">
        <v>2693</v>
      </c>
      <c r="K483" t="s">
        <v>52</v>
      </c>
      <c r="L483">
        <v>58</v>
      </c>
      <c r="M483">
        <v>4</v>
      </c>
      <c r="N483">
        <v>25</v>
      </c>
      <c r="O483" t="s">
        <v>1400</v>
      </c>
      <c r="P483" t="s">
        <v>75</v>
      </c>
      <c r="Q483" t="s">
        <v>31</v>
      </c>
      <c r="R483" t="s">
        <v>71</v>
      </c>
      <c r="S483" t="s">
        <v>129</v>
      </c>
      <c r="T483">
        <v>5</v>
      </c>
      <c r="U483">
        <v>860.74</v>
      </c>
      <c r="V483">
        <v>1756.62</v>
      </c>
      <c r="W483">
        <v>2</v>
      </c>
      <c r="X483" t="s">
        <v>49</v>
      </c>
      <c r="Y483">
        <v>2026</v>
      </c>
    </row>
    <row r="484" spans="1:25" x14ac:dyDescent="0.3">
      <c r="A484" t="s">
        <v>1401</v>
      </c>
      <c r="B484" s="1">
        <v>46076</v>
      </c>
      <c r="C484" t="s">
        <v>1402</v>
      </c>
      <c r="D484" t="s">
        <v>3275</v>
      </c>
      <c r="E484" s="1">
        <v>46083</v>
      </c>
      <c r="F484" t="s">
        <v>122</v>
      </c>
      <c r="G484" t="s">
        <v>120</v>
      </c>
      <c r="H484" t="s">
        <v>121</v>
      </c>
      <c r="I484" t="s">
        <v>2625</v>
      </c>
      <c r="J484" t="s">
        <v>2626</v>
      </c>
      <c r="K484" t="s">
        <v>25</v>
      </c>
      <c r="L484">
        <v>42</v>
      </c>
      <c r="M484">
        <v>4</v>
      </c>
      <c r="N484">
        <v>5</v>
      </c>
      <c r="O484" t="s">
        <v>1403</v>
      </c>
      <c r="P484" t="s">
        <v>33</v>
      </c>
      <c r="Q484" t="s">
        <v>31</v>
      </c>
      <c r="R484" t="s">
        <v>62</v>
      </c>
      <c r="S484" t="s">
        <v>123</v>
      </c>
      <c r="T484">
        <v>2</v>
      </c>
      <c r="U484">
        <v>207.8</v>
      </c>
      <c r="V484">
        <v>665.51</v>
      </c>
      <c r="W484">
        <v>7</v>
      </c>
      <c r="X484" t="s">
        <v>34</v>
      </c>
      <c r="Y484">
        <v>2026</v>
      </c>
    </row>
    <row r="485" spans="1:25" x14ac:dyDescent="0.3">
      <c r="A485" t="s">
        <v>1404</v>
      </c>
      <c r="B485" s="1">
        <v>45895</v>
      </c>
      <c r="C485" t="s">
        <v>1405</v>
      </c>
      <c r="D485" t="s">
        <v>3274</v>
      </c>
      <c r="E485" s="1">
        <v>45902</v>
      </c>
      <c r="F485" t="s">
        <v>29</v>
      </c>
      <c r="G485" t="s">
        <v>27</v>
      </c>
      <c r="H485" t="s">
        <v>28</v>
      </c>
      <c r="I485" t="s">
        <v>2629</v>
      </c>
      <c r="J485" t="s">
        <v>2697</v>
      </c>
      <c r="K485" t="s">
        <v>52</v>
      </c>
      <c r="L485">
        <v>29</v>
      </c>
      <c r="M485">
        <v>5</v>
      </c>
      <c r="N485">
        <v>5</v>
      </c>
      <c r="O485" t="s">
        <v>1406</v>
      </c>
      <c r="P485" t="s">
        <v>75</v>
      </c>
      <c r="Q485" t="s">
        <v>117</v>
      </c>
      <c r="R485" t="s">
        <v>71</v>
      </c>
      <c r="S485" t="s">
        <v>30</v>
      </c>
      <c r="T485">
        <v>3</v>
      </c>
      <c r="U485">
        <v>339.74</v>
      </c>
      <c r="V485">
        <v>1105.33</v>
      </c>
      <c r="W485">
        <v>7</v>
      </c>
      <c r="X485" t="s">
        <v>45</v>
      </c>
      <c r="Y485">
        <v>2025</v>
      </c>
    </row>
    <row r="486" spans="1:25" x14ac:dyDescent="0.3">
      <c r="A486" t="s">
        <v>1407</v>
      </c>
      <c r="B486" s="1">
        <v>45879</v>
      </c>
      <c r="C486" t="s">
        <v>1408</v>
      </c>
      <c r="D486" t="s">
        <v>3273</v>
      </c>
      <c r="E486" s="1">
        <v>45885</v>
      </c>
      <c r="F486" t="s">
        <v>140</v>
      </c>
      <c r="G486" t="s">
        <v>38</v>
      </c>
      <c r="H486" t="s">
        <v>139</v>
      </c>
      <c r="I486" t="s">
        <v>2663</v>
      </c>
      <c r="J486" t="s">
        <v>2694</v>
      </c>
      <c r="K486" t="s">
        <v>25</v>
      </c>
      <c r="L486">
        <v>29</v>
      </c>
      <c r="M486">
        <v>4</v>
      </c>
      <c r="N486">
        <v>15</v>
      </c>
      <c r="O486" t="s">
        <v>832</v>
      </c>
      <c r="P486" t="s">
        <v>33</v>
      </c>
      <c r="Q486" t="s">
        <v>58</v>
      </c>
      <c r="R486" t="s">
        <v>32</v>
      </c>
      <c r="S486" t="s">
        <v>141</v>
      </c>
      <c r="T486">
        <v>5</v>
      </c>
      <c r="U486">
        <v>966.41</v>
      </c>
      <c r="V486">
        <v>2294.17</v>
      </c>
      <c r="W486">
        <v>6</v>
      </c>
      <c r="X486" t="s">
        <v>45</v>
      </c>
      <c r="Y486">
        <v>2025</v>
      </c>
    </row>
    <row r="487" spans="1:25" x14ac:dyDescent="0.3">
      <c r="A487" t="s">
        <v>1409</v>
      </c>
      <c r="B487" s="1">
        <v>45751</v>
      </c>
      <c r="C487" t="s">
        <v>1410</v>
      </c>
      <c r="D487" t="s">
        <v>3272</v>
      </c>
      <c r="E487" s="1">
        <v>45757</v>
      </c>
      <c r="F487" t="s">
        <v>40</v>
      </c>
      <c r="G487" t="s">
        <v>38</v>
      </c>
      <c r="H487" t="s">
        <v>39</v>
      </c>
      <c r="I487" t="s">
        <v>2627</v>
      </c>
      <c r="J487" t="s">
        <v>2698</v>
      </c>
      <c r="K487" t="s">
        <v>52</v>
      </c>
      <c r="L487">
        <v>34</v>
      </c>
      <c r="M487">
        <v>4</v>
      </c>
      <c r="N487">
        <v>0</v>
      </c>
      <c r="O487" t="s">
        <v>1411</v>
      </c>
      <c r="P487" t="s">
        <v>44</v>
      </c>
      <c r="Q487" t="s">
        <v>70</v>
      </c>
      <c r="R487" t="s">
        <v>43</v>
      </c>
      <c r="S487" t="s">
        <v>41</v>
      </c>
      <c r="T487">
        <v>4</v>
      </c>
      <c r="U487">
        <v>586.23</v>
      </c>
      <c r="V487">
        <v>1726.49</v>
      </c>
      <c r="W487">
        <v>6</v>
      </c>
      <c r="X487" t="s">
        <v>49</v>
      </c>
      <c r="Y487">
        <v>2025</v>
      </c>
    </row>
    <row r="488" spans="1:25" x14ac:dyDescent="0.3">
      <c r="A488" t="s">
        <v>1412</v>
      </c>
      <c r="B488" s="1">
        <v>45534</v>
      </c>
      <c r="C488" t="s">
        <v>1413</v>
      </c>
      <c r="D488" t="s">
        <v>3271</v>
      </c>
      <c r="E488" s="1">
        <v>45536</v>
      </c>
      <c r="F488" t="s">
        <v>40</v>
      </c>
      <c r="G488" t="s">
        <v>38</v>
      </c>
      <c r="H488" t="s">
        <v>39</v>
      </c>
      <c r="I488" t="s">
        <v>2633</v>
      </c>
      <c r="J488" t="s">
        <v>2678</v>
      </c>
      <c r="K488" t="s">
        <v>25</v>
      </c>
      <c r="L488">
        <v>44</v>
      </c>
      <c r="M488">
        <v>1</v>
      </c>
      <c r="N488">
        <v>5</v>
      </c>
      <c r="O488" t="s">
        <v>631</v>
      </c>
      <c r="P488" t="s">
        <v>75</v>
      </c>
      <c r="Q488" t="s">
        <v>42</v>
      </c>
      <c r="R488" t="s">
        <v>62</v>
      </c>
      <c r="S488" t="s">
        <v>41</v>
      </c>
      <c r="T488">
        <v>2</v>
      </c>
      <c r="U488">
        <v>560.63</v>
      </c>
      <c r="V488">
        <v>381.51</v>
      </c>
      <c r="W488">
        <v>2</v>
      </c>
      <c r="X488" t="s">
        <v>45</v>
      </c>
      <c r="Y488">
        <v>2024</v>
      </c>
    </row>
    <row r="489" spans="1:25" x14ac:dyDescent="0.3">
      <c r="A489" t="s">
        <v>1414</v>
      </c>
      <c r="B489" s="1">
        <v>45929</v>
      </c>
      <c r="C489" t="s">
        <v>1415</v>
      </c>
      <c r="D489" t="s">
        <v>3270</v>
      </c>
      <c r="E489" s="1">
        <v>45932</v>
      </c>
      <c r="F489" t="s">
        <v>100</v>
      </c>
      <c r="G489" t="s">
        <v>98</v>
      </c>
      <c r="H489" t="s">
        <v>99</v>
      </c>
      <c r="I489" t="s">
        <v>2675</v>
      </c>
      <c r="J489" t="s">
        <v>2710</v>
      </c>
      <c r="K489" t="s">
        <v>52</v>
      </c>
      <c r="L489">
        <v>50</v>
      </c>
      <c r="M489">
        <v>2</v>
      </c>
      <c r="N489">
        <v>25</v>
      </c>
      <c r="O489" t="s">
        <v>1228</v>
      </c>
      <c r="P489" t="s">
        <v>75</v>
      </c>
      <c r="Q489" t="s">
        <v>31</v>
      </c>
      <c r="R489" t="s">
        <v>32</v>
      </c>
      <c r="S489" t="s">
        <v>101</v>
      </c>
      <c r="T489">
        <v>5</v>
      </c>
      <c r="U489">
        <v>203.06</v>
      </c>
      <c r="V489">
        <v>246.64</v>
      </c>
      <c r="W489">
        <v>3</v>
      </c>
      <c r="X489" t="s">
        <v>45</v>
      </c>
      <c r="Y489">
        <v>2025</v>
      </c>
    </row>
    <row r="490" spans="1:25" x14ac:dyDescent="0.3">
      <c r="A490" t="s">
        <v>1416</v>
      </c>
      <c r="B490" s="1">
        <v>45977</v>
      </c>
      <c r="C490" t="s">
        <v>1417</v>
      </c>
      <c r="D490" t="s">
        <v>3269</v>
      </c>
      <c r="E490" s="1">
        <v>45982</v>
      </c>
      <c r="F490" t="s">
        <v>122</v>
      </c>
      <c r="G490" t="s">
        <v>120</v>
      </c>
      <c r="H490" t="s">
        <v>121</v>
      </c>
      <c r="I490" t="s">
        <v>2679</v>
      </c>
      <c r="J490" t="s">
        <v>2680</v>
      </c>
      <c r="K490" t="s">
        <v>25</v>
      </c>
      <c r="L490">
        <v>29</v>
      </c>
      <c r="M490">
        <v>5</v>
      </c>
      <c r="N490">
        <v>30</v>
      </c>
      <c r="O490" t="s">
        <v>1336</v>
      </c>
      <c r="P490" t="s">
        <v>75</v>
      </c>
      <c r="Q490" t="s">
        <v>58</v>
      </c>
      <c r="R490" t="s">
        <v>43</v>
      </c>
      <c r="S490" t="s">
        <v>123</v>
      </c>
      <c r="T490">
        <v>4</v>
      </c>
      <c r="U490">
        <v>141.03</v>
      </c>
      <c r="V490">
        <v>397.47</v>
      </c>
      <c r="W490">
        <v>5</v>
      </c>
      <c r="X490" t="s">
        <v>94</v>
      </c>
      <c r="Y490">
        <v>2025</v>
      </c>
    </row>
    <row r="491" spans="1:25" x14ac:dyDescent="0.3">
      <c r="A491" t="s">
        <v>1418</v>
      </c>
      <c r="B491" s="1">
        <v>46030</v>
      </c>
      <c r="C491" t="s">
        <v>1419</v>
      </c>
      <c r="D491" t="s">
        <v>3268</v>
      </c>
      <c r="E491" s="1">
        <v>46034</v>
      </c>
      <c r="F491" t="s">
        <v>115</v>
      </c>
      <c r="G491" t="s">
        <v>66</v>
      </c>
      <c r="H491" t="s">
        <v>114</v>
      </c>
      <c r="I491" t="s">
        <v>2632</v>
      </c>
      <c r="J491" t="s">
        <v>2646</v>
      </c>
      <c r="K491" t="s">
        <v>25</v>
      </c>
      <c r="L491">
        <v>37</v>
      </c>
      <c r="M491">
        <v>3</v>
      </c>
      <c r="N491">
        <v>20</v>
      </c>
      <c r="O491" t="s">
        <v>1420</v>
      </c>
      <c r="P491" t="s">
        <v>33</v>
      </c>
      <c r="Q491" t="s">
        <v>70</v>
      </c>
      <c r="R491" t="s">
        <v>43</v>
      </c>
      <c r="S491" t="s">
        <v>116</v>
      </c>
      <c r="T491">
        <v>5</v>
      </c>
      <c r="U491">
        <v>270.47000000000003</v>
      </c>
      <c r="V491">
        <v>434.98</v>
      </c>
      <c r="W491">
        <v>4</v>
      </c>
      <c r="X491" t="s">
        <v>34</v>
      </c>
      <c r="Y491">
        <v>2026</v>
      </c>
    </row>
    <row r="492" spans="1:25" x14ac:dyDescent="0.3">
      <c r="A492" t="s">
        <v>1421</v>
      </c>
      <c r="B492" s="1">
        <v>45743</v>
      </c>
      <c r="C492" t="s">
        <v>1422</v>
      </c>
      <c r="D492" t="s">
        <v>3267</v>
      </c>
      <c r="E492" s="1">
        <v>45747</v>
      </c>
      <c r="F492" t="s">
        <v>100</v>
      </c>
      <c r="G492" t="s">
        <v>98</v>
      </c>
      <c r="H492" t="s">
        <v>99</v>
      </c>
      <c r="I492" t="s">
        <v>2625</v>
      </c>
      <c r="J492" t="s">
        <v>2626</v>
      </c>
      <c r="K492" t="s">
        <v>52</v>
      </c>
      <c r="L492">
        <v>57</v>
      </c>
      <c r="M492">
        <v>2</v>
      </c>
      <c r="N492">
        <v>25</v>
      </c>
      <c r="O492" t="s">
        <v>586</v>
      </c>
      <c r="P492" t="s">
        <v>75</v>
      </c>
      <c r="Q492" t="s">
        <v>31</v>
      </c>
      <c r="R492" t="s">
        <v>71</v>
      </c>
      <c r="S492" t="s">
        <v>101</v>
      </c>
      <c r="T492">
        <v>4</v>
      </c>
      <c r="U492">
        <v>328.1</v>
      </c>
      <c r="V492">
        <v>350.74</v>
      </c>
      <c r="W492">
        <v>4</v>
      </c>
      <c r="X492" t="s">
        <v>34</v>
      </c>
      <c r="Y492">
        <v>2025</v>
      </c>
    </row>
    <row r="493" spans="1:25" x14ac:dyDescent="0.3">
      <c r="A493" t="s">
        <v>1423</v>
      </c>
      <c r="B493" s="1">
        <v>45959</v>
      </c>
      <c r="C493" t="s">
        <v>1424</v>
      </c>
      <c r="D493" t="s">
        <v>3266</v>
      </c>
      <c r="E493" s="1">
        <v>45960</v>
      </c>
      <c r="F493" t="s">
        <v>56</v>
      </c>
      <c r="G493" t="s">
        <v>54</v>
      </c>
      <c r="H493" t="s">
        <v>55</v>
      </c>
      <c r="I493" t="s">
        <v>2679</v>
      </c>
      <c r="J493" t="s">
        <v>2707</v>
      </c>
      <c r="K493" t="s">
        <v>52</v>
      </c>
      <c r="L493">
        <v>41</v>
      </c>
      <c r="M493">
        <v>2</v>
      </c>
      <c r="N493">
        <v>30</v>
      </c>
      <c r="O493" t="s">
        <v>214</v>
      </c>
      <c r="P493" t="s">
        <v>44</v>
      </c>
      <c r="Q493" t="s">
        <v>31</v>
      </c>
      <c r="R493" t="s">
        <v>62</v>
      </c>
      <c r="S493" t="s">
        <v>57</v>
      </c>
      <c r="T493">
        <v>2</v>
      </c>
      <c r="U493">
        <v>319.18</v>
      </c>
      <c r="V493">
        <v>344.56</v>
      </c>
      <c r="W493">
        <v>1</v>
      </c>
      <c r="X493" t="s">
        <v>94</v>
      </c>
      <c r="Y493">
        <v>2025</v>
      </c>
    </row>
    <row r="494" spans="1:25" x14ac:dyDescent="0.3">
      <c r="A494" t="s">
        <v>1425</v>
      </c>
      <c r="B494" s="1">
        <v>45304</v>
      </c>
      <c r="C494" t="s">
        <v>1426</v>
      </c>
      <c r="D494" t="s">
        <v>3265</v>
      </c>
      <c r="E494" s="1">
        <v>45307</v>
      </c>
      <c r="F494" t="s">
        <v>140</v>
      </c>
      <c r="G494" t="s">
        <v>38</v>
      </c>
      <c r="H494" t="s">
        <v>139</v>
      </c>
      <c r="I494" t="s">
        <v>2679</v>
      </c>
      <c r="J494" t="s">
        <v>2707</v>
      </c>
      <c r="K494" t="s">
        <v>25</v>
      </c>
      <c r="L494">
        <v>63</v>
      </c>
      <c r="M494">
        <v>5</v>
      </c>
      <c r="N494">
        <v>30</v>
      </c>
      <c r="O494" t="s">
        <v>1082</v>
      </c>
      <c r="P494" t="s">
        <v>75</v>
      </c>
      <c r="Q494" t="s">
        <v>117</v>
      </c>
      <c r="R494" t="s">
        <v>43</v>
      </c>
      <c r="S494" t="s">
        <v>141</v>
      </c>
      <c r="T494">
        <v>2</v>
      </c>
      <c r="U494">
        <v>393.04</v>
      </c>
      <c r="V494">
        <v>1113.8399999999999</v>
      </c>
      <c r="W494">
        <v>3</v>
      </c>
      <c r="X494" t="s">
        <v>34</v>
      </c>
      <c r="Y494">
        <v>2024</v>
      </c>
    </row>
    <row r="495" spans="1:25" x14ac:dyDescent="0.3">
      <c r="A495" t="s">
        <v>1427</v>
      </c>
      <c r="B495" s="1">
        <v>45656</v>
      </c>
      <c r="C495" t="s">
        <v>1428</v>
      </c>
      <c r="D495" t="s">
        <v>3264</v>
      </c>
      <c r="E495" s="1">
        <v>45659</v>
      </c>
      <c r="F495" t="s">
        <v>140</v>
      </c>
      <c r="G495" t="s">
        <v>38</v>
      </c>
      <c r="H495" t="s">
        <v>139</v>
      </c>
      <c r="I495" t="s">
        <v>2672</v>
      </c>
      <c r="J495" t="s">
        <v>2673</v>
      </c>
      <c r="K495" t="s">
        <v>52</v>
      </c>
      <c r="L495">
        <v>53</v>
      </c>
      <c r="M495">
        <v>1</v>
      </c>
      <c r="N495">
        <v>20</v>
      </c>
      <c r="O495" t="s">
        <v>1429</v>
      </c>
      <c r="P495" t="s">
        <v>44</v>
      </c>
      <c r="Q495" t="s">
        <v>31</v>
      </c>
      <c r="R495" t="s">
        <v>71</v>
      </c>
      <c r="S495" t="s">
        <v>141</v>
      </c>
      <c r="T495">
        <v>2</v>
      </c>
      <c r="U495">
        <v>196.37</v>
      </c>
      <c r="V495">
        <v>92.1</v>
      </c>
      <c r="W495">
        <v>3</v>
      </c>
      <c r="X495" t="s">
        <v>94</v>
      </c>
      <c r="Y495">
        <v>2024</v>
      </c>
    </row>
    <row r="496" spans="1:25" x14ac:dyDescent="0.3">
      <c r="A496" t="s">
        <v>1430</v>
      </c>
      <c r="B496" s="1">
        <v>45688</v>
      </c>
      <c r="C496" t="s">
        <v>1431</v>
      </c>
      <c r="D496" t="s">
        <v>3263</v>
      </c>
      <c r="E496" s="1">
        <v>45689</v>
      </c>
      <c r="F496" t="s">
        <v>56</v>
      </c>
      <c r="G496" t="s">
        <v>54</v>
      </c>
      <c r="H496" t="s">
        <v>55</v>
      </c>
      <c r="I496" t="s">
        <v>2627</v>
      </c>
      <c r="J496" t="s">
        <v>2717</v>
      </c>
      <c r="K496" t="s">
        <v>25</v>
      </c>
      <c r="L496">
        <v>33</v>
      </c>
      <c r="M496">
        <v>3</v>
      </c>
      <c r="N496">
        <v>0</v>
      </c>
      <c r="O496" t="s">
        <v>1432</v>
      </c>
      <c r="P496" t="s">
        <v>44</v>
      </c>
      <c r="Q496" t="s">
        <v>42</v>
      </c>
      <c r="R496" t="s">
        <v>32</v>
      </c>
      <c r="S496" t="s">
        <v>57</v>
      </c>
      <c r="T496">
        <v>1</v>
      </c>
      <c r="U496">
        <v>828.09</v>
      </c>
      <c r="V496">
        <v>1301.97</v>
      </c>
      <c r="W496">
        <v>1</v>
      </c>
      <c r="X496" t="s">
        <v>34</v>
      </c>
      <c r="Y496">
        <v>2025</v>
      </c>
    </row>
    <row r="497" spans="1:25" x14ac:dyDescent="0.3">
      <c r="A497" t="s">
        <v>1433</v>
      </c>
      <c r="B497" s="1">
        <v>45699</v>
      </c>
      <c r="C497" t="s">
        <v>1434</v>
      </c>
      <c r="D497" t="s">
        <v>3262</v>
      </c>
      <c r="E497" s="1">
        <v>45702</v>
      </c>
      <c r="F497" t="s">
        <v>56</v>
      </c>
      <c r="G497" t="s">
        <v>54</v>
      </c>
      <c r="H497" t="s">
        <v>55</v>
      </c>
      <c r="I497" t="s">
        <v>2625</v>
      </c>
      <c r="J497" t="s">
        <v>2651</v>
      </c>
      <c r="K497" t="s">
        <v>25</v>
      </c>
      <c r="L497">
        <v>21</v>
      </c>
      <c r="M497">
        <v>4</v>
      </c>
      <c r="N497">
        <v>5</v>
      </c>
      <c r="O497" t="s">
        <v>1435</v>
      </c>
      <c r="P497" t="s">
        <v>33</v>
      </c>
      <c r="Q497" t="s">
        <v>70</v>
      </c>
      <c r="R497" t="s">
        <v>43</v>
      </c>
      <c r="S497" t="s">
        <v>57</v>
      </c>
      <c r="T497">
        <v>1</v>
      </c>
      <c r="U497">
        <v>727.06</v>
      </c>
      <c r="V497">
        <v>1394.98</v>
      </c>
      <c r="W497">
        <v>3</v>
      </c>
      <c r="X497" t="s">
        <v>34</v>
      </c>
      <c r="Y497">
        <v>2025</v>
      </c>
    </row>
    <row r="498" spans="1:25" x14ac:dyDescent="0.3">
      <c r="A498" t="s">
        <v>1436</v>
      </c>
      <c r="B498" s="1">
        <v>45626</v>
      </c>
      <c r="C498" t="s">
        <v>1437</v>
      </c>
      <c r="D498" t="s">
        <v>3261</v>
      </c>
      <c r="E498" s="1">
        <v>45627</v>
      </c>
      <c r="F498" t="s">
        <v>29</v>
      </c>
      <c r="G498" t="s">
        <v>27</v>
      </c>
      <c r="H498" t="s">
        <v>28</v>
      </c>
      <c r="I498" t="s">
        <v>2633</v>
      </c>
      <c r="J498" t="s">
        <v>2636</v>
      </c>
      <c r="K498" t="s">
        <v>25</v>
      </c>
      <c r="L498">
        <v>44</v>
      </c>
      <c r="M498">
        <v>4</v>
      </c>
      <c r="N498">
        <v>20</v>
      </c>
      <c r="O498" t="s">
        <v>1438</v>
      </c>
      <c r="P498" t="s">
        <v>44</v>
      </c>
      <c r="Q498" t="s">
        <v>70</v>
      </c>
      <c r="R498" t="s">
        <v>62</v>
      </c>
      <c r="S498" t="s">
        <v>30</v>
      </c>
      <c r="T498">
        <v>2</v>
      </c>
      <c r="U498">
        <v>168.36</v>
      </c>
      <c r="V498">
        <v>441.27</v>
      </c>
      <c r="W498">
        <v>1</v>
      </c>
      <c r="X498" t="s">
        <v>94</v>
      </c>
      <c r="Y498">
        <v>2024</v>
      </c>
    </row>
    <row r="499" spans="1:25" x14ac:dyDescent="0.3">
      <c r="A499" t="s">
        <v>1439</v>
      </c>
      <c r="B499" s="1">
        <v>45632</v>
      </c>
      <c r="C499" t="s">
        <v>1440</v>
      </c>
      <c r="D499" t="s">
        <v>3260</v>
      </c>
      <c r="E499" s="1">
        <v>45636</v>
      </c>
      <c r="F499" t="s">
        <v>100</v>
      </c>
      <c r="G499" t="s">
        <v>98</v>
      </c>
      <c r="H499" t="s">
        <v>99</v>
      </c>
      <c r="I499" t="s">
        <v>2632</v>
      </c>
      <c r="J499" t="s">
        <v>2715</v>
      </c>
      <c r="K499" t="s">
        <v>25</v>
      </c>
      <c r="L499">
        <v>28</v>
      </c>
      <c r="M499">
        <v>4</v>
      </c>
      <c r="N499">
        <v>25</v>
      </c>
      <c r="O499" t="s">
        <v>1344</v>
      </c>
      <c r="P499" t="s">
        <v>44</v>
      </c>
      <c r="Q499" t="s">
        <v>31</v>
      </c>
      <c r="R499" t="s">
        <v>71</v>
      </c>
      <c r="S499" t="s">
        <v>101</v>
      </c>
      <c r="T499">
        <v>2</v>
      </c>
      <c r="U499">
        <v>727.65</v>
      </c>
      <c r="V499">
        <v>1197.48</v>
      </c>
      <c r="W499">
        <v>4</v>
      </c>
      <c r="X499" t="s">
        <v>94</v>
      </c>
      <c r="Y499">
        <v>2024</v>
      </c>
    </row>
    <row r="500" spans="1:25" x14ac:dyDescent="0.3">
      <c r="A500" t="s">
        <v>1441</v>
      </c>
      <c r="B500" s="1">
        <v>45776</v>
      </c>
      <c r="C500" t="s">
        <v>1442</v>
      </c>
      <c r="D500" t="s">
        <v>3259</v>
      </c>
      <c r="E500" s="1">
        <v>45778</v>
      </c>
      <c r="F500" t="s">
        <v>122</v>
      </c>
      <c r="G500" t="s">
        <v>120</v>
      </c>
      <c r="H500" t="s">
        <v>121</v>
      </c>
      <c r="I500" t="s">
        <v>2631</v>
      </c>
      <c r="J500" t="s">
        <v>2694</v>
      </c>
      <c r="K500" t="s">
        <v>25</v>
      </c>
      <c r="L500">
        <v>45</v>
      </c>
      <c r="M500">
        <v>1</v>
      </c>
      <c r="N500">
        <v>0</v>
      </c>
      <c r="O500" t="s">
        <v>1443</v>
      </c>
      <c r="P500" t="s">
        <v>33</v>
      </c>
      <c r="Q500" t="s">
        <v>31</v>
      </c>
      <c r="R500" t="s">
        <v>43</v>
      </c>
      <c r="S500" t="s">
        <v>123</v>
      </c>
      <c r="T500">
        <v>2</v>
      </c>
      <c r="U500">
        <v>769.65</v>
      </c>
      <c r="V500">
        <v>525.49</v>
      </c>
      <c r="W500">
        <v>2</v>
      </c>
      <c r="X500" t="s">
        <v>49</v>
      </c>
      <c r="Y500">
        <v>2025</v>
      </c>
    </row>
    <row r="501" spans="1:25" x14ac:dyDescent="0.3">
      <c r="A501" t="s">
        <v>1444</v>
      </c>
      <c r="B501" s="1">
        <v>45596</v>
      </c>
      <c r="C501" t="s">
        <v>1445</v>
      </c>
      <c r="D501" t="s">
        <v>3258</v>
      </c>
      <c r="E501" s="1">
        <v>45603</v>
      </c>
      <c r="F501" t="s">
        <v>140</v>
      </c>
      <c r="G501" t="s">
        <v>38</v>
      </c>
      <c r="H501" t="s">
        <v>139</v>
      </c>
      <c r="I501" t="s">
        <v>2652</v>
      </c>
      <c r="J501" t="s">
        <v>2688</v>
      </c>
      <c r="K501" t="s">
        <v>25</v>
      </c>
      <c r="L501">
        <v>50</v>
      </c>
      <c r="M501">
        <v>4</v>
      </c>
      <c r="N501">
        <v>20</v>
      </c>
      <c r="O501" t="s">
        <v>1446</v>
      </c>
      <c r="P501" t="s">
        <v>75</v>
      </c>
      <c r="Q501" t="s">
        <v>31</v>
      </c>
      <c r="R501" t="s">
        <v>71</v>
      </c>
      <c r="S501" t="s">
        <v>141</v>
      </c>
      <c r="T501">
        <v>2</v>
      </c>
      <c r="U501">
        <v>431.74</v>
      </c>
      <c r="V501">
        <v>1172.01</v>
      </c>
      <c r="W501">
        <v>7</v>
      </c>
      <c r="X501" t="s">
        <v>94</v>
      </c>
      <c r="Y501">
        <v>2024</v>
      </c>
    </row>
    <row r="502" spans="1:25" x14ac:dyDescent="0.3">
      <c r="A502" t="s">
        <v>1447</v>
      </c>
      <c r="B502" s="1">
        <v>45503</v>
      </c>
      <c r="C502" t="s">
        <v>1448</v>
      </c>
      <c r="D502" t="s">
        <v>3257</v>
      </c>
      <c r="E502" s="1">
        <v>45505</v>
      </c>
      <c r="F502" t="s">
        <v>128</v>
      </c>
      <c r="G502" t="s">
        <v>98</v>
      </c>
      <c r="H502" t="s">
        <v>127</v>
      </c>
      <c r="I502" t="s">
        <v>2641</v>
      </c>
      <c r="J502" t="s">
        <v>2642</v>
      </c>
      <c r="K502" t="s">
        <v>25</v>
      </c>
      <c r="L502">
        <v>24</v>
      </c>
      <c r="M502">
        <v>2</v>
      </c>
      <c r="N502">
        <v>5</v>
      </c>
      <c r="O502" t="s">
        <v>1449</v>
      </c>
      <c r="P502" t="s">
        <v>44</v>
      </c>
      <c r="Q502" t="s">
        <v>70</v>
      </c>
      <c r="R502" t="s">
        <v>43</v>
      </c>
      <c r="S502" t="s">
        <v>129</v>
      </c>
      <c r="T502">
        <v>3</v>
      </c>
      <c r="U502">
        <v>958.4</v>
      </c>
      <c r="V502">
        <v>1506.9</v>
      </c>
      <c r="W502">
        <v>2</v>
      </c>
      <c r="X502" t="s">
        <v>45</v>
      </c>
      <c r="Y502">
        <v>2024</v>
      </c>
    </row>
    <row r="503" spans="1:25" x14ac:dyDescent="0.3">
      <c r="A503" t="s">
        <v>1450</v>
      </c>
      <c r="B503" s="1">
        <v>45681</v>
      </c>
      <c r="C503" t="s">
        <v>909</v>
      </c>
      <c r="D503" t="s">
        <v>3256</v>
      </c>
      <c r="E503" s="1">
        <v>45683</v>
      </c>
      <c r="F503" t="s">
        <v>56</v>
      </c>
      <c r="G503" t="s">
        <v>54</v>
      </c>
      <c r="H503" t="s">
        <v>55</v>
      </c>
      <c r="I503" t="s">
        <v>2633</v>
      </c>
      <c r="J503" t="s">
        <v>2636</v>
      </c>
      <c r="K503" t="s">
        <v>52</v>
      </c>
      <c r="L503">
        <v>37</v>
      </c>
      <c r="M503">
        <v>5</v>
      </c>
      <c r="N503">
        <v>10</v>
      </c>
      <c r="O503" t="s">
        <v>1090</v>
      </c>
      <c r="P503" t="s">
        <v>44</v>
      </c>
      <c r="Q503" t="s">
        <v>117</v>
      </c>
      <c r="R503" t="s">
        <v>71</v>
      </c>
      <c r="S503" t="s">
        <v>57</v>
      </c>
      <c r="T503">
        <v>2</v>
      </c>
      <c r="U503">
        <v>503.62</v>
      </c>
      <c r="V503">
        <v>1689.59</v>
      </c>
      <c r="W503">
        <v>2</v>
      </c>
      <c r="X503" t="s">
        <v>34</v>
      </c>
      <c r="Y503">
        <v>2025</v>
      </c>
    </row>
    <row r="504" spans="1:25" x14ac:dyDescent="0.3">
      <c r="A504" t="s">
        <v>1451</v>
      </c>
      <c r="B504" s="1">
        <v>45672</v>
      </c>
      <c r="C504" t="s">
        <v>1012</v>
      </c>
      <c r="D504" t="s">
        <v>3255</v>
      </c>
      <c r="E504" s="1">
        <v>45677</v>
      </c>
      <c r="F504" t="s">
        <v>122</v>
      </c>
      <c r="G504" t="s">
        <v>120</v>
      </c>
      <c r="H504" t="s">
        <v>121</v>
      </c>
      <c r="I504" t="s">
        <v>2663</v>
      </c>
      <c r="J504" t="s">
        <v>2670</v>
      </c>
      <c r="K504" t="s">
        <v>25</v>
      </c>
      <c r="L504">
        <v>52</v>
      </c>
      <c r="M504">
        <v>5</v>
      </c>
      <c r="N504">
        <v>0</v>
      </c>
      <c r="O504" t="s">
        <v>1122</v>
      </c>
      <c r="P504" t="s">
        <v>33</v>
      </c>
      <c r="Q504" t="s">
        <v>31</v>
      </c>
      <c r="R504" t="s">
        <v>32</v>
      </c>
      <c r="S504" t="s">
        <v>123</v>
      </c>
      <c r="T504">
        <v>1</v>
      </c>
      <c r="U504">
        <v>289.77999999999997</v>
      </c>
      <c r="V504">
        <v>1056.52</v>
      </c>
      <c r="W504">
        <v>5</v>
      </c>
      <c r="X504" t="s">
        <v>34</v>
      </c>
      <c r="Y504">
        <v>2025</v>
      </c>
    </row>
    <row r="505" spans="1:25" x14ac:dyDescent="0.3">
      <c r="A505" t="s">
        <v>1452</v>
      </c>
      <c r="B505" s="1">
        <v>45670</v>
      </c>
      <c r="C505" t="s">
        <v>1453</v>
      </c>
      <c r="D505" t="s">
        <v>3254</v>
      </c>
      <c r="E505" s="1">
        <v>45672</v>
      </c>
      <c r="F505" t="s">
        <v>56</v>
      </c>
      <c r="G505" t="s">
        <v>54</v>
      </c>
      <c r="H505" t="s">
        <v>55</v>
      </c>
      <c r="I505" t="s">
        <v>2625</v>
      </c>
      <c r="J505" t="s">
        <v>2703</v>
      </c>
      <c r="K505" t="s">
        <v>52</v>
      </c>
      <c r="L505">
        <v>27</v>
      </c>
      <c r="M505">
        <v>1</v>
      </c>
      <c r="N505">
        <v>0</v>
      </c>
      <c r="O505" t="s">
        <v>1454</v>
      </c>
      <c r="P505" t="s">
        <v>33</v>
      </c>
      <c r="Q505" t="s">
        <v>58</v>
      </c>
      <c r="R505" t="s">
        <v>71</v>
      </c>
      <c r="S505" t="s">
        <v>57</v>
      </c>
      <c r="T505">
        <v>2</v>
      </c>
      <c r="U505">
        <v>115.08</v>
      </c>
      <c r="V505">
        <v>85.62</v>
      </c>
      <c r="W505">
        <v>2</v>
      </c>
      <c r="X505" t="s">
        <v>34</v>
      </c>
      <c r="Y505">
        <v>2025</v>
      </c>
    </row>
    <row r="506" spans="1:25" x14ac:dyDescent="0.3">
      <c r="A506" t="s">
        <v>1455</v>
      </c>
      <c r="B506" s="1">
        <v>45302</v>
      </c>
      <c r="C506" t="s">
        <v>1456</v>
      </c>
      <c r="D506" t="s">
        <v>3253</v>
      </c>
      <c r="E506" s="1">
        <v>45305</v>
      </c>
      <c r="F506" t="s">
        <v>115</v>
      </c>
      <c r="G506" t="s">
        <v>66</v>
      </c>
      <c r="H506" t="s">
        <v>114</v>
      </c>
      <c r="I506" t="s">
        <v>2675</v>
      </c>
      <c r="J506" t="s">
        <v>2676</v>
      </c>
      <c r="K506" t="s">
        <v>25</v>
      </c>
      <c r="L506">
        <v>58</v>
      </c>
      <c r="M506">
        <v>3</v>
      </c>
      <c r="N506">
        <v>25</v>
      </c>
      <c r="O506" t="s">
        <v>1457</v>
      </c>
      <c r="P506" t="s">
        <v>33</v>
      </c>
      <c r="Q506" t="s">
        <v>31</v>
      </c>
      <c r="R506" t="s">
        <v>71</v>
      </c>
      <c r="S506" t="s">
        <v>116</v>
      </c>
      <c r="T506">
        <v>5</v>
      </c>
      <c r="U506">
        <v>505.22</v>
      </c>
      <c r="V506">
        <v>951.44</v>
      </c>
      <c r="W506">
        <v>3</v>
      </c>
      <c r="X506" t="s">
        <v>34</v>
      </c>
      <c r="Y506">
        <v>2024</v>
      </c>
    </row>
    <row r="507" spans="1:25" x14ac:dyDescent="0.3">
      <c r="A507" t="s">
        <v>1458</v>
      </c>
      <c r="B507" s="1">
        <v>45838</v>
      </c>
      <c r="C507" t="s">
        <v>1459</v>
      </c>
      <c r="D507" t="s">
        <v>3252</v>
      </c>
      <c r="E507" s="1">
        <v>45840</v>
      </c>
      <c r="F507" t="s">
        <v>68</v>
      </c>
      <c r="G507" t="s">
        <v>66</v>
      </c>
      <c r="H507" t="s">
        <v>67</v>
      </c>
      <c r="I507" t="s">
        <v>2632</v>
      </c>
      <c r="J507" t="s">
        <v>2646</v>
      </c>
      <c r="K507" t="s">
        <v>25</v>
      </c>
      <c r="L507">
        <v>27</v>
      </c>
      <c r="M507">
        <v>4</v>
      </c>
      <c r="N507">
        <v>30</v>
      </c>
      <c r="O507" t="s">
        <v>1460</v>
      </c>
      <c r="P507" t="s">
        <v>75</v>
      </c>
      <c r="Q507" t="s">
        <v>117</v>
      </c>
      <c r="R507" t="s">
        <v>43</v>
      </c>
      <c r="S507" t="s">
        <v>69</v>
      </c>
      <c r="T507">
        <v>3</v>
      </c>
      <c r="U507">
        <v>332.58</v>
      </c>
      <c r="V507">
        <v>692.57</v>
      </c>
      <c r="W507">
        <v>2</v>
      </c>
      <c r="X507" t="s">
        <v>49</v>
      </c>
      <c r="Y507">
        <v>2025</v>
      </c>
    </row>
    <row r="508" spans="1:25" x14ac:dyDescent="0.3">
      <c r="A508" t="s">
        <v>1461</v>
      </c>
      <c r="B508" s="1">
        <v>45626</v>
      </c>
      <c r="C508" t="s">
        <v>1462</v>
      </c>
      <c r="D508" t="s">
        <v>3251</v>
      </c>
      <c r="E508" s="1">
        <v>45629</v>
      </c>
      <c r="F508" t="s">
        <v>140</v>
      </c>
      <c r="G508" t="s">
        <v>38</v>
      </c>
      <c r="H508" t="s">
        <v>139</v>
      </c>
      <c r="I508" t="s">
        <v>2663</v>
      </c>
      <c r="J508" t="s">
        <v>2694</v>
      </c>
      <c r="K508" t="s">
        <v>25</v>
      </c>
      <c r="L508">
        <v>64</v>
      </c>
      <c r="M508">
        <v>5</v>
      </c>
      <c r="N508">
        <v>15</v>
      </c>
      <c r="O508" t="s">
        <v>1463</v>
      </c>
      <c r="P508" t="s">
        <v>33</v>
      </c>
      <c r="Q508" t="s">
        <v>70</v>
      </c>
      <c r="R508" t="s">
        <v>32</v>
      </c>
      <c r="S508" t="s">
        <v>141</v>
      </c>
      <c r="T508">
        <v>3</v>
      </c>
      <c r="U508">
        <v>768.66</v>
      </c>
      <c r="V508">
        <v>2393.79</v>
      </c>
      <c r="W508">
        <v>3</v>
      </c>
      <c r="X508" t="s">
        <v>94</v>
      </c>
      <c r="Y508">
        <v>2024</v>
      </c>
    </row>
    <row r="509" spans="1:25" x14ac:dyDescent="0.3">
      <c r="A509" t="s">
        <v>1464</v>
      </c>
      <c r="B509" s="1">
        <v>45890</v>
      </c>
      <c r="C509" t="s">
        <v>1179</v>
      </c>
      <c r="D509" t="s">
        <v>3250</v>
      </c>
      <c r="E509" s="1">
        <v>45895</v>
      </c>
      <c r="F509" t="s">
        <v>122</v>
      </c>
      <c r="G509" t="s">
        <v>120</v>
      </c>
      <c r="H509" t="s">
        <v>121</v>
      </c>
      <c r="I509" t="s">
        <v>2627</v>
      </c>
      <c r="J509" t="s">
        <v>2628</v>
      </c>
      <c r="K509" t="s">
        <v>52</v>
      </c>
      <c r="L509">
        <v>26</v>
      </c>
      <c r="M509">
        <v>4</v>
      </c>
      <c r="N509">
        <v>15</v>
      </c>
      <c r="O509" t="s">
        <v>1149</v>
      </c>
      <c r="P509" t="s">
        <v>75</v>
      </c>
      <c r="Q509" t="s">
        <v>58</v>
      </c>
      <c r="R509" t="s">
        <v>71</v>
      </c>
      <c r="S509" t="s">
        <v>123</v>
      </c>
      <c r="T509">
        <v>5</v>
      </c>
      <c r="U509">
        <v>427.53</v>
      </c>
      <c r="V509">
        <v>791.58</v>
      </c>
      <c r="W509">
        <v>5</v>
      </c>
      <c r="X509" t="s">
        <v>45</v>
      </c>
      <c r="Y509">
        <v>2025</v>
      </c>
    </row>
    <row r="510" spans="1:25" x14ac:dyDescent="0.3">
      <c r="A510" t="s">
        <v>1465</v>
      </c>
      <c r="B510" s="1">
        <v>45730</v>
      </c>
      <c r="C510" t="s">
        <v>1466</v>
      </c>
      <c r="D510" t="s">
        <v>3249</v>
      </c>
      <c r="E510" s="1">
        <v>45734</v>
      </c>
      <c r="F510" t="s">
        <v>115</v>
      </c>
      <c r="G510" t="s">
        <v>66</v>
      </c>
      <c r="H510" t="s">
        <v>114</v>
      </c>
      <c r="I510" t="s">
        <v>2631</v>
      </c>
      <c r="J510" t="s">
        <v>2711</v>
      </c>
      <c r="K510" t="s">
        <v>52</v>
      </c>
      <c r="L510">
        <v>20</v>
      </c>
      <c r="M510">
        <v>2</v>
      </c>
      <c r="N510">
        <v>20</v>
      </c>
      <c r="O510" t="s">
        <v>646</v>
      </c>
      <c r="P510" t="s">
        <v>44</v>
      </c>
      <c r="Q510" t="s">
        <v>70</v>
      </c>
      <c r="R510" t="s">
        <v>32</v>
      </c>
      <c r="S510" t="s">
        <v>116</v>
      </c>
      <c r="T510">
        <v>4</v>
      </c>
      <c r="U510">
        <v>416.15</v>
      </c>
      <c r="V510">
        <v>435.88</v>
      </c>
      <c r="W510">
        <v>4</v>
      </c>
      <c r="X510" t="s">
        <v>34</v>
      </c>
      <c r="Y510">
        <v>2025</v>
      </c>
    </row>
    <row r="511" spans="1:25" x14ac:dyDescent="0.3">
      <c r="A511" t="s">
        <v>1467</v>
      </c>
      <c r="B511" s="1">
        <v>45775</v>
      </c>
      <c r="C511" t="s">
        <v>1468</v>
      </c>
      <c r="D511" t="s">
        <v>3248</v>
      </c>
      <c r="E511" s="1">
        <v>45780</v>
      </c>
      <c r="F511" t="s">
        <v>115</v>
      </c>
      <c r="G511" t="s">
        <v>66</v>
      </c>
      <c r="H511" t="s">
        <v>114</v>
      </c>
      <c r="I511" t="s">
        <v>2663</v>
      </c>
      <c r="J511" t="s">
        <v>2664</v>
      </c>
      <c r="K511" t="s">
        <v>52</v>
      </c>
      <c r="L511">
        <v>36</v>
      </c>
      <c r="M511">
        <v>1</v>
      </c>
      <c r="N511">
        <v>20</v>
      </c>
      <c r="O511" t="s">
        <v>1469</v>
      </c>
      <c r="P511" t="s">
        <v>44</v>
      </c>
      <c r="Q511" t="s">
        <v>70</v>
      </c>
      <c r="R511" t="s">
        <v>71</v>
      </c>
      <c r="S511" t="s">
        <v>116</v>
      </c>
      <c r="T511">
        <v>4</v>
      </c>
      <c r="U511">
        <v>584.29999999999995</v>
      </c>
      <c r="V511">
        <v>352.26</v>
      </c>
      <c r="W511">
        <v>5</v>
      </c>
      <c r="X511" t="s">
        <v>49</v>
      </c>
      <c r="Y511">
        <v>2025</v>
      </c>
    </row>
    <row r="512" spans="1:25" x14ac:dyDescent="0.3">
      <c r="A512" t="s">
        <v>1470</v>
      </c>
      <c r="B512" s="1">
        <v>45824</v>
      </c>
      <c r="C512" t="s">
        <v>1471</v>
      </c>
      <c r="D512" t="s">
        <v>3247</v>
      </c>
      <c r="E512" s="1">
        <v>45825</v>
      </c>
      <c r="F512" t="s">
        <v>29</v>
      </c>
      <c r="G512" t="s">
        <v>27</v>
      </c>
      <c r="H512" t="s">
        <v>28</v>
      </c>
      <c r="I512" t="s">
        <v>2633</v>
      </c>
      <c r="J512" t="s">
        <v>2678</v>
      </c>
      <c r="K512" t="s">
        <v>25</v>
      </c>
      <c r="L512">
        <v>56</v>
      </c>
      <c r="M512">
        <v>2</v>
      </c>
      <c r="N512">
        <v>5</v>
      </c>
      <c r="O512" t="s">
        <v>1472</v>
      </c>
      <c r="P512" t="s">
        <v>33</v>
      </c>
      <c r="Q512" t="s">
        <v>70</v>
      </c>
      <c r="R512" t="s">
        <v>62</v>
      </c>
      <c r="S512" t="s">
        <v>30</v>
      </c>
      <c r="T512">
        <v>2</v>
      </c>
      <c r="U512">
        <v>951.36</v>
      </c>
      <c r="V512">
        <v>1301.43</v>
      </c>
      <c r="W512">
        <v>1</v>
      </c>
      <c r="X512" t="s">
        <v>49</v>
      </c>
      <c r="Y512">
        <v>2025</v>
      </c>
    </row>
    <row r="513" spans="1:25" x14ac:dyDescent="0.3">
      <c r="A513" t="s">
        <v>1473</v>
      </c>
      <c r="B513" s="1">
        <v>45631</v>
      </c>
      <c r="C513" t="s">
        <v>1474</v>
      </c>
      <c r="D513" t="s">
        <v>3246</v>
      </c>
      <c r="E513" s="1">
        <v>45634</v>
      </c>
      <c r="F513" t="s">
        <v>122</v>
      </c>
      <c r="G513" t="s">
        <v>120</v>
      </c>
      <c r="H513" t="s">
        <v>121</v>
      </c>
      <c r="I513" t="s">
        <v>2629</v>
      </c>
      <c r="J513" t="s">
        <v>2689</v>
      </c>
      <c r="K513" t="s">
        <v>25</v>
      </c>
      <c r="L513">
        <v>46</v>
      </c>
      <c r="M513">
        <v>4</v>
      </c>
      <c r="N513">
        <v>30</v>
      </c>
      <c r="O513" t="s">
        <v>1339</v>
      </c>
      <c r="P513" t="s">
        <v>44</v>
      </c>
      <c r="Q513" t="s">
        <v>31</v>
      </c>
      <c r="R513" t="s">
        <v>32</v>
      </c>
      <c r="S513" t="s">
        <v>123</v>
      </c>
      <c r="T513">
        <v>1</v>
      </c>
      <c r="U513">
        <v>359.68</v>
      </c>
      <c r="V513">
        <v>588.22</v>
      </c>
      <c r="W513">
        <v>3</v>
      </c>
      <c r="X513" t="s">
        <v>94</v>
      </c>
      <c r="Y513">
        <v>2024</v>
      </c>
    </row>
    <row r="514" spans="1:25" x14ac:dyDescent="0.3">
      <c r="A514" t="s">
        <v>1475</v>
      </c>
      <c r="B514" s="1">
        <v>45939</v>
      </c>
      <c r="C514" t="s">
        <v>1476</v>
      </c>
      <c r="D514" t="s">
        <v>3245</v>
      </c>
      <c r="E514" s="1">
        <v>45940</v>
      </c>
      <c r="F514" t="s">
        <v>29</v>
      </c>
      <c r="G514" t="s">
        <v>27</v>
      </c>
      <c r="H514" t="s">
        <v>28</v>
      </c>
      <c r="I514" t="s">
        <v>2625</v>
      </c>
      <c r="J514" t="s">
        <v>2703</v>
      </c>
      <c r="K514" t="s">
        <v>52</v>
      </c>
      <c r="L514">
        <v>39</v>
      </c>
      <c r="M514">
        <v>1</v>
      </c>
      <c r="N514">
        <v>5</v>
      </c>
      <c r="O514" t="s">
        <v>1477</v>
      </c>
      <c r="P514" t="s">
        <v>75</v>
      </c>
      <c r="Q514" t="s">
        <v>31</v>
      </c>
      <c r="R514" t="s">
        <v>43</v>
      </c>
      <c r="S514" t="s">
        <v>30</v>
      </c>
      <c r="T514">
        <v>5</v>
      </c>
      <c r="U514">
        <v>174.73</v>
      </c>
      <c r="V514">
        <v>87.9</v>
      </c>
      <c r="W514">
        <v>1</v>
      </c>
      <c r="X514" t="s">
        <v>94</v>
      </c>
      <c r="Y514">
        <v>2025</v>
      </c>
    </row>
    <row r="515" spans="1:25" x14ac:dyDescent="0.3">
      <c r="A515" t="s">
        <v>1478</v>
      </c>
      <c r="B515" s="1">
        <v>45750</v>
      </c>
      <c r="C515" t="s">
        <v>1479</v>
      </c>
      <c r="D515" t="s">
        <v>3244</v>
      </c>
      <c r="E515" s="1">
        <v>45752</v>
      </c>
      <c r="F515" t="s">
        <v>140</v>
      </c>
      <c r="G515" t="s">
        <v>38</v>
      </c>
      <c r="H515" t="s">
        <v>139</v>
      </c>
      <c r="I515" t="s">
        <v>2629</v>
      </c>
      <c r="J515" t="s">
        <v>2697</v>
      </c>
      <c r="K515" t="s">
        <v>52</v>
      </c>
      <c r="L515">
        <v>61</v>
      </c>
      <c r="M515">
        <v>2</v>
      </c>
      <c r="N515">
        <v>25</v>
      </c>
      <c r="O515" t="s">
        <v>1339</v>
      </c>
      <c r="P515" t="s">
        <v>33</v>
      </c>
      <c r="Q515" t="s">
        <v>42</v>
      </c>
      <c r="R515" t="s">
        <v>62</v>
      </c>
      <c r="S515" t="s">
        <v>141</v>
      </c>
      <c r="T515">
        <v>1</v>
      </c>
      <c r="U515">
        <v>355.25</v>
      </c>
      <c r="V515">
        <v>340.32</v>
      </c>
      <c r="W515">
        <v>2</v>
      </c>
      <c r="X515" t="s">
        <v>49</v>
      </c>
      <c r="Y515">
        <v>2025</v>
      </c>
    </row>
    <row r="516" spans="1:25" x14ac:dyDescent="0.3">
      <c r="A516" t="s">
        <v>1480</v>
      </c>
      <c r="B516" s="1">
        <v>45785</v>
      </c>
      <c r="C516" t="s">
        <v>1481</v>
      </c>
      <c r="D516" t="s">
        <v>3243</v>
      </c>
      <c r="E516" s="1">
        <v>45789</v>
      </c>
      <c r="F516" t="s">
        <v>128</v>
      </c>
      <c r="G516" t="s">
        <v>98</v>
      </c>
      <c r="H516" t="s">
        <v>127</v>
      </c>
      <c r="I516" t="s">
        <v>2625</v>
      </c>
      <c r="J516" t="s">
        <v>2703</v>
      </c>
      <c r="K516" t="s">
        <v>52</v>
      </c>
      <c r="L516">
        <v>57</v>
      </c>
      <c r="M516">
        <v>3</v>
      </c>
      <c r="N516">
        <v>20</v>
      </c>
      <c r="O516" t="s">
        <v>1482</v>
      </c>
      <c r="P516" t="s">
        <v>33</v>
      </c>
      <c r="Q516" t="s">
        <v>70</v>
      </c>
      <c r="R516" t="s">
        <v>71</v>
      </c>
      <c r="S516" t="s">
        <v>129</v>
      </c>
      <c r="T516">
        <v>2</v>
      </c>
      <c r="U516">
        <v>12.89</v>
      </c>
      <c r="V516">
        <v>17.420000000000002</v>
      </c>
      <c r="W516">
        <v>4</v>
      </c>
      <c r="X516" t="s">
        <v>49</v>
      </c>
      <c r="Y516">
        <v>2025</v>
      </c>
    </row>
    <row r="517" spans="1:25" x14ac:dyDescent="0.3">
      <c r="A517" t="s">
        <v>1483</v>
      </c>
      <c r="B517" s="1">
        <v>46147</v>
      </c>
      <c r="C517" t="s">
        <v>1484</v>
      </c>
      <c r="D517" t="s">
        <v>3242</v>
      </c>
      <c r="E517" s="1">
        <v>46152</v>
      </c>
      <c r="F517" t="s">
        <v>56</v>
      </c>
      <c r="G517" t="s">
        <v>54</v>
      </c>
      <c r="H517" t="s">
        <v>55</v>
      </c>
      <c r="I517" t="s">
        <v>2634</v>
      </c>
      <c r="J517" t="s">
        <v>2650</v>
      </c>
      <c r="K517" t="s">
        <v>25</v>
      </c>
      <c r="L517">
        <v>34</v>
      </c>
      <c r="M517">
        <v>1</v>
      </c>
      <c r="N517">
        <v>0</v>
      </c>
      <c r="O517" t="s">
        <v>1485</v>
      </c>
      <c r="P517" t="s">
        <v>75</v>
      </c>
      <c r="Q517" t="s">
        <v>58</v>
      </c>
      <c r="R517" t="s">
        <v>32</v>
      </c>
      <c r="S517" t="s">
        <v>57</v>
      </c>
      <c r="T517">
        <v>4</v>
      </c>
      <c r="U517">
        <v>526.9</v>
      </c>
      <c r="V517">
        <v>330.28</v>
      </c>
      <c r="W517">
        <v>5</v>
      </c>
      <c r="X517" t="s">
        <v>49</v>
      </c>
      <c r="Y517">
        <v>2026</v>
      </c>
    </row>
    <row r="518" spans="1:25" x14ac:dyDescent="0.3">
      <c r="A518" t="s">
        <v>1486</v>
      </c>
      <c r="B518" s="1">
        <v>45316</v>
      </c>
      <c r="C518" t="s">
        <v>1487</v>
      </c>
      <c r="D518" t="s">
        <v>3241</v>
      </c>
      <c r="E518" s="1">
        <v>45320</v>
      </c>
      <c r="F518" t="s">
        <v>56</v>
      </c>
      <c r="G518" t="s">
        <v>54</v>
      </c>
      <c r="H518" t="s">
        <v>55</v>
      </c>
      <c r="I518" t="s">
        <v>2647</v>
      </c>
      <c r="J518" t="s">
        <v>2721</v>
      </c>
      <c r="K518" t="s">
        <v>25</v>
      </c>
      <c r="L518">
        <v>19</v>
      </c>
      <c r="M518">
        <v>1</v>
      </c>
      <c r="N518">
        <v>15</v>
      </c>
      <c r="O518" t="s">
        <v>1463</v>
      </c>
      <c r="P518" t="s">
        <v>44</v>
      </c>
      <c r="Q518" t="s">
        <v>58</v>
      </c>
      <c r="R518" t="s">
        <v>43</v>
      </c>
      <c r="S518" t="s">
        <v>57</v>
      </c>
      <c r="T518">
        <v>1</v>
      </c>
      <c r="U518">
        <v>87.34</v>
      </c>
      <c r="V518">
        <v>55.45</v>
      </c>
      <c r="W518">
        <v>4</v>
      </c>
      <c r="X518" t="s">
        <v>34</v>
      </c>
      <c r="Y518">
        <v>2024</v>
      </c>
    </row>
    <row r="519" spans="1:25" x14ac:dyDescent="0.3">
      <c r="A519" t="s">
        <v>1488</v>
      </c>
      <c r="B519" s="1">
        <v>46094</v>
      </c>
      <c r="C519" t="s">
        <v>1489</v>
      </c>
      <c r="D519" t="s">
        <v>3240</v>
      </c>
      <c r="E519" s="1">
        <v>46099</v>
      </c>
      <c r="F519" t="s">
        <v>122</v>
      </c>
      <c r="G519" t="s">
        <v>120</v>
      </c>
      <c r="H519" t="s">
        <v>121</v>
      </c>
      <c r="I519" t="s">
        <v>2631</v>
      </c>
      <c r="J519" t="s">
        <v>2694</v>
      </c>
      <c r="K519" t="s">
        <v>25</v>
      </c>
      <c r="L519">
        <v>21</v>
      </c>
      <c r="M519">
        <v>1</v>
      </c>
      <c r="N519">
        <v>0</v>
      </c>
      <c r="O519" t="s">
        <v>700</v>
      </c>
      <c r="P519" t="s">
        <v>33</v>
      </c>
      <c r="Q519" t="s">
        <v>42</v>
      </c>
      <c r="R519" t="s">
        <v>62</v>
      </c>
      <c r="S519" t="s">
        <v>123</v>
      </c>
      <c r="T519">
        <v>3</v>
      </c>
      <c r="U519">
        <v>784.39</v>
      </c>
      <c r="V519">
        <v>593.15</v>
      </c>
      <c r="W519">
        <v>5</v>
      </c>
      <c r="X519" t="s">
        <v>34</v>
      </c>
      <c r="Y519">
        <v>2026</v>
      </c>
    </row>
    <row r="520" spans="1:25" x14ac:dyDescent="0.3">
      <c r="A520" t="s">
        <v>1490</v>
      </c>
      <c r="B520" s="1">
        <v>45856</v>
      </c>
      <c r="C520" t="s">
        <v>1491</v>
      </c>
      <c r="D520" t="s">
        <v>2761</v>
      </c>
      <c r="E520" s="1">
        <v>45863</v>
      </c>
      <c r="F520" t="s">
        <v>140</v>
      </c>
      <c r="G520" t="s">
        <v>38</v>
      </c>
      <c r="H520" t="s">
        <v>139</v>
      </c>
      <c r="I520" t="s">
        <v>2635</v>
      </c>
      <c r="J520" t="s">
        <v>2677</v>
      </c>
      <c r="K520" t="s">
        <v>52</v>
      </c>
      <c r="L520">
        <v>19</v>
      </c>
      <c r="M520">
        <v>1</v>
      </c>
      <c r="N520">
        <v>25</v>
      </c>
      <c r="O520" t="s">
        <v>709</v>
      </c>
      <c r="P520" t="s">
        <v>75</v>
      </c>
      <c r="Q520" t="s">
        <v>42</v>
      </c>
      <c r="R520" t="s">
        <v>32</v>
      </c>
      <c r="S520" t="s">
        <v>141</v>
      </c>
      <c r="T520">
        <v>5</v>
      </c>
      <c r="U520">
        <v>99.51</v>
      </c>
      <c r="V520">
        <v>61.08</v>
      </c>
      <c r="W520">
        <v>7</v>
      </c>
      <c r="X520" t="s">
        <v>45</v>
      </c>
      <c r="Y520">
        <v>2025</v>
      </c>
    </row>
    <row r="521" spans="1:25" x14ac:dyDescent="0.3">
      <c r="A521" t="s">
        <v>1492</v>
      </c>
      <c r="B521" s="1">
        <v>45863</v>
      </c>
      <c r="C521" t="s">
        <v>1493</v>
      </c>
      <c r="D521" t="s">
        <v>2760</v>
      </c>
      <c r="E521" s="1">
        <v>45864</v>
      </c>
      <c r="F521" t="s">
        <v>40</v>
      </c>
      <c r="G521" t="s">
        <v>38</v>
      </c>
      <c r="H521" t="s">
        <v>39</v>
      </c>
      <c r="I521" t="s">
        <v>2634</v>
      </c>
      <c r="J521" t="s">
        <v>2714</v>
      </c>
      <c r="K521" t="s">
        <v>52</v>
      </c>
      <c r="L521">
        <v>50</v>
      </c>
      <c r="M521">
        <v>3</v>
      </c>
      <c r="N521">
        <v>10</v>
      </c>
      <c r="O521" t="s">
        <v>1494</v>
      </c>
      <c r="P521" t="s">
        <v>33</v>
      </c>
      <c r="Q521" t="s">
        <v>117</v>
      </c>
      <c r="R521" t="s">
        <v>43</v>
      </c>
      <c r="S521" t="s">
        <v>41</v>
      </c>
      <c r="T521">
        <v>4</v>
      </c>
      <c r="U521">
        <v>853.18</v>
      </c>
      <c r="V521">
        <v>1637.44</v>
      </c>
      <c r="W521">
        <v>1</v>
      </c>
      <c r="X521" t="s">
        <v>45</v>
      </c>
      <c r="Y521">
        <v>2025</v>
      </c>
    </row>
    <row r="522" spans="1:25" x14ac:dyDescent="0.3">
      <c r="A522" t="s">
        <v>1495</v>
      </c>
      <c r="B522" s="1">
        <v>45911</v>
      </c>
      <c r="C522" t="s">
        <v>1496</v>
      </c>
      <c r="D522" t="s">
        <v>2759</v>
      </c>
      <c r="E522" s="1">
        <v>45913</v>
      </c>
      <c r="F522" t="s">
        <v>100</v>
      </c>
      <c r="G522" t="s">
        <v>98</v>
      </c>
      <c r="H522" t="s">
        <v>99</v>
      </c>
      <c r="I522" t="s">
        <v>2623</v>
      </c>
      <c r="J522" t="s">
        <v>2701</v>
      </c>
      <c r="K522" t="s">
        <v>52</v>
      </c>
      <c r="L522">
        <v>50</v>
      </c>
      <c r="M522">
        <v>4</v>
      </c>
      <c r="N522">
        <v>5</v>
      </c>
      <c r="O522" t="s">
        <v>1497</v>
      </c>
      <c r="P522" t="s">
        <v>33</v>
      </c>
      <c r="Q522" t="s">
        <v>31</v>
      </c>
      <c r="R522" t="s">
        <v>32</v>
      </c>
      <c r="S522" t="s">
        <v>101</v>
      </c>
      <c r="T522">
        <v>2</v>
      </c>
      <c r="U522">
        <v>990.67</v>
      </c>
      <c r="V522">
        <v>2956.29</v>
      </c>
      <c r="W522">
        <v>2</v>
      </c>
      <c r="X522" t="s">
        <v>45</v>
      </c>
      <c r="Y522">
        <v>2025</v>
      </c>
    </row>
    <row r="523" spans="1:25" x14ac:dyDescent="0.3">
      <c r="A523" t="s">
        <v>1498</v>
      </c>
      <c r="B523" s="1">
        <v>45612</v>
      </c>
      <c r="C523" t="s">
        <v>1499</v>
      </c>
      <c r="D523" t="s">
        <v>2758</v>
      </c>
      <c r="E523" s="1">
        <v>45613</v>
      </c>
      <c r="F523" t="s">
        <v>56</v>
      </c>
      <c r="G523" t="s">
        <v>54</v>
      </c>
      <c r="H523" t="s">
        <v>55</v>
      </c>
      <c r="I523" t="s">
        <v>2647</v>
      </c>
      <c r="J523" t="s">
        <v>2648</v>
      </c>
      <c r="K523" t="s">
        <v>52</v>
      </c>
      <c r="L523">
        <v>25</v>
      </c>
      <c r="M523">
        <v>4</v>
      </c>
      <c r="N523">
        <v>15</v>
      </c>
      <c r="O523" t="s">
        <v>1500</v>
      </c>
      <c r="P523" t="s">
        <v>75</v>
      </c>
      <c r="Q523" t="s">
        <v>58</v>
      </c>
      <c r="R523" t="s">
        <v>71</v>
      </c>
      <c r="S523" t="s">
        <v>57</v>
      </c>
      <c r="T523">
        <v>1</v>
      </c>
      <c r="U523">
        <v>905.8</v>
      </c>
      <c r="V523">
        <v>2572.0500000000002</v>
      </c>
      <c r="W523">
        <v>1</v>
      </c>
      <c r="X523" t="s">
        <v>94</v>
      </c>
      <c r="Y523">
        <v>2024</v>
      </c>
    </row>
    <row r="524" spans="1:25" x14ac:dyDescent="0.3">
      <c r="A524" t="s">
        <v>1501</v>
      </c>
      <c r="B524" s="1">
        <v>45304</v>
      </c>
      <c r="C524" t="s">
        <v>1502</v>
      </c>
      <c r="D524" t="s">
        <v>3239</v>
      </c>
      <c r="E524" s="1">
        <v>45309</v>
      </c>
      <c r="F524" t="s">
        <v>56</v>
      </c>
      <c r="G524" t="s">
        <v>54</v>
      </c>
      <c r="H524" t="s">
        <v>55</v>
      </c>
      <c r="I524" t="s">
        <v>2647</v>
      </c>
      <c r="J524" t="s">
        <v>2648</v>
      </c>
      <c r="K524" t="s">
        <v>52</v>
      </c>
      <c r="L524">
        <v>56</v>
      </c>
      <c r="M524">
        <v>1</v>
      </c>
      <c r="N524">
        <v>30</v>
      </c>
      <c r="O524" t="s">
        <v>1201</v>
      </c>
      <c r="P524" t="s">
        <v>33</v>
      </c>
      <c r="Q524" t="s">
        <v>117</v>
      </c>
      <c r="R524" t="s">
        <v>32</v>
      </c>
      <c r="S524" t="s">
        <v>57</v>
      </c>
      <c r="T524">
        <v>1</v>
      </c>
      <c r="U524">
        <v>409.55</v>
      </c>
      <c r="V524">
        <v>181.04</v>
      </c>
      <c r="W524">
        <v>5</v>
      </c>
      <c r="X524" t="s">
        <v>34</v>
      </c>
      <c r="Y524">
        <v>2024</v>
      </c>
    </row>
    <row r="525" spans="1:25" x14ac:dyDescent="0.3">
      <c r="A525" t="s">
        <v>1503</v>
      </c>
      <c r="B525" s="1">
        <v>45434</v>
      </c>
      <c r="C525" t="s">
        <v>1504</v>
      </c>
      <c r="D525" t="s">
        <v>3238</v>
      </c>
      <c r="E525" s="1">
        <v>45439</v>
      </c>
      <c r="F525" t="s">
        <v>29</v>
      </c>
      <c r="G525" t="s">
        <v>27</v>
      </c>
      <c r="H525" t="s">
        <v>28</v>
      </c>
      <c r="I525" t="s">
        <v>2623</v>
      </c>
      <c r="J525" t="s">
        <v>2691</v>
      </c>
      <c r="K525" t="s">
        <v>25</v>
      </c>
      <c r="L525">
        <v>31</v>
      </c>
      <c r="M525">
        <v>1</v>
      </c>
      <c r="N525">
        <v>15</v>
      </c>
      <c r="O525" t="s">
        <v>1505</v>
      </c>
      <c r="P525" t="s">
        <v>44</v>
      </c>
      <c r="Q525" t="s">
        <v>42</v>
      </c>
      <c r="R525" t="s">
        <v>43</v>
      </c>
      <c r="S525" t="s">
        <v>30</v>
      </c>
      <c r="T525">
        <v>5</v>
      </c>
      <c r="U525">
        <v>762.36</v>
      </c>
      <c r="V525">
        <v>447.35</v>
      </c>
      <c r="W525">
        <v>5</v>
      </c>
      <c r="X525" t="s">
        <v>49</v>
      </c>
      <c r="Y525">
        <v>2024</v>
      </c>
    </row>
    <row r="526" spans="1:25" x14ac:dyDescent="0.3">
      <c r="A526" t="s">
        <v>1506</v>
      </c>
      <c r="B526" s="1">
        <v>45816</v>
      </c>
      <c r="C526" t="s">
        <v>1507</v>
      </c>
      <c r="D526" t="s">
        <v>3237</v>
      </c>
      <c r="E526" s="1">
        <v>45817</v>
      </c>
      <c r="F526" t="s">
        <v>56</v>
      </c>
      <c r="G526" t="s">
        <v>54</v>
      </c>
      <c r="H526" t="s">
        <v>55</v>
      </c>
      <c r="I526" t="s">
        <v>2634</v>
      </c>
      <c r="J526" t="s">
        <v>2644</v>
      </c>
      <c r="K526" t="s">
        <v>25</v>
      </c>
      <c r="L526">
        <v>27</v>
      </c>
      <c r="M526">
        <v>4</v>
      </c>
      <c r="N526">
        <v>0</v>
      </c>
      <c r="O526" t="s">
        <v>1508</v>
      </c>
      <c r="P526" t="s">
        <v>44</v>
      </c>
      <c r="Q526" t="s">
        <v>70</v>
      </c>
      <c r="R526" t="s">
        <v>71</v>
      </c>
      <c r="S526" t="s">
        <v>57</v>
      </c>
      <c r="T526">
        <v>5</v>
      </c>
      <c r="U526">
        <v>410.57</v>
      </c>
      <c r="V526">
        <v>1307.8800000000001</v>
      </c>
      <c r="W526">
        <v>1</v>
      </c>
      <c r="X526" t="s">
        <v>49</v>
      </c>
      <c r="Y526">
        <v>2025</v>
      </c>
    </row>
    <row r="527" spans="1:25" x14ac:dyDescent="0.3">
      <c r="A527" t="s">
        <v>1509</v>
      </c>
      <c r="B527" s="1">
        <v>45660</v>
      </c>
      <c r="C527" t="s">
        <v>1510</v>
      </c>
      <c r="D527" t="s">
        <v>3236</v>
      </c>
      <c r="E527" s="1">
        <v>45667</v>
      </c>
      <c r="F527" t="s">
        <v>40</v>
      </c>
      <c r="G527" t="s">
        <v>38</v>
      </c>
      <c r="H527" t="s">
        <v>39</v>
      </c>
      <c r="I527" t="s">
        <v>2679</v>
      </c>
      <c r="J527" t="s">
        <v>2707</v>
      </c>
      <c r="K527" t="s">
        <v>52</v>
      </c>
      <c r="L527">
        <v>40</v>
      </c>
      <c r="M527">
        <v>1</v>
      </c>
      <c r="N527">
        <v>30</v>
      </c>
      <c r="O527" t="s">
        <v>1511</v>
      </c>
      <c r="P527" t="s">
        <v>33</v>
      </c>
      <c r="Q527" t="s">
        <v>42</v>
      </c>
      <c r="R527" t="s">
        <v>62</v>
      </c>
      <c r="S527" t="s">
        <v>41</v>
      </c>
      <c r="T527">
        <v>5</v>
      </c>
      <c r="U527">
        <v>727.1</v>
      </c>
      <c r="V527">
        <v>296.72000000000003</v>
      </c>
      <c r="W527">
        <v>7</v>
      </c>
      <c r="X527" t="s">
        <v>34</v>
      </c>
      <c r="Y527">
        <v>2025</v>
      </c>
    </row>
    <row r="528" spans="1:25" x14ac:dyDescent="0.3">
      <c r="A528" t="s">
        <v>1512</v>
      </c>
      <c r="B528" s="1">
        <v>45785</v>
      </c>
      <c r="C528" t="s">
        <v>1513</v>
      </c>
      <c r="D528" t="s">
        <v>3235</v>
      </c>
      <c r="E528" s="1">
        <v>45791</v>
      </c>
      <c r="F528" t="s">
        <v>122</v>
      </c>
      <c r="G528" t="s">
        <v>120</v>
      </c>
      <c r="H528" t="s">
        <v>121</v>
      </c>
      <c r="I528" t="s">
        <v>2623</v>
      </c>
      <c r="J528" t="s">
        <v>2691</v>
      </c>
      <c r="K528" t="s">
        <v>52</v>
      </c>
      <c r="L528">
        <v>29</v>
      </c>
      <c r="M528">
        <v>4</v>
      </c>
      <c r="N528">
        <v>5</v>
      </c>
      <c r="O528" t="s">
        <v>1514</v>
      </c>
      <c r="P528" t="s">
        <v>44</v>
      </c>
      <c r="Q528" t="s">
        <v>42</v>
      </c>
      <c r="R528" t="s">
        <v>32</v>
      </c>
      <c r="S528" t="s">
        <v>123</v>
      </c>
      <c r="T528">
        <v>5</v>
      </c>
      <c r="U528">
        <v>74.59</v>
      </c>
      <c r="V528">
        <v>234.12</v>
      </c>
      <c r="W528">
        <v>6</v>
      </c>
      <c r="X528" t="s">
        <v>49</v>
      </c>
      <c r="Y528">
        <v>2025</v>
      </c>
    </row>
    <row r="529" spans="1:25" x14ac:dyDescent="0.3">
      <c r="A529" t="s">
        <v>1515</v>
      </c>
      <c r="B529" s="1">
        <v>46151</v>
      </c>
      <c r="C529" t="s">
        <v>1516</v>
      </c>
      <c r="D529" t="s">
        <v>3234</v>
      </c>
      <c r="E529" s="1">
        <v>46155</v>
      </c>
      <c r="F529" t="s">
        <v>56</v>
      </c>
      <c r="G529" t="s">
        <v>54</v>
      </c>
      <c r="H529" t="s">
        <v>55</v>
      </c>
      <c r="I529" t="s">
        <v>2631</v>
      </c>
      <c r="J529" t="s">
        <v>2694</v>
      </c>
      <c r="K529" t="s">
        <v>25</v>
      </c>
      <c r="L529">
        <v>57</v>
      </c>
      <c r="M529">
        <v>3</v>
      </c>
      <c r="N529">
        <v>0</v>
      </c>
      <c r="O529" t="s">
        <v>829</v>
      </c>
      <c r="P529" t="s">
        <v>75</v>
      </c>
      <c r="Q529" t="s">
        <v>42</v>
      </c>
      <c r="R529" t="s">
        <v>43</v>
      </c>
      <c r="S529" t="s">
        <v>57</v>
      </c>
      <c r="T529">
        <v>5</v>
      </c>
      <c r="U529">
        <v>41.12</v>
      </c>
      <c r="V529">
        <v>78.47</v>
      </c>
      <c r="W529">
        <v>4</v>
      </c>
      <c r="X529" t="s">
        <v>49</v>
      </c>
      <c r="Y529">
        <v>2026</v>
      </c>
    </row>
    <row r="530" spans="1:25" x14ac:dyDescent="0.3">
      <c r="A530" t="s">
        <v>1517</v>
      </c>
      <c r="B530" s="1">
        <v>45771</v>
      </c>
      <c r="C530" t="s">
        <v>1518</v>
      </c>
      <c r="D530" t="s">
        <v>3233</v>
      </c>
      <c r="E530" s="1">
        <v>45774</v>
      </c>
      <c r="F530" t="s">
        <v>29</v>
      </c>
      <c r="G530" t="s">
        <v>27</v>
      </c>
      <c r="H530" t="s">
        <v>28</v>
      </c>
      <c r="I530" t="s">
        <v>2629</v>
      </c>
      <c r="J530" t="s">
        <v>2689</v>
      </c>
      <c r="K530" t="s">
        <v>52</v>
      </c>
      <c r="L530">
        <v>57</v>
      </c>
      <c r="M530">
        <v>2</v>
      </c>
      <c r="N530">
        <v>10</v>
      </c>
      <c r="O530" t="s">
        <v>1519</v>
      </c>
      <c r="P530" t="s">
        <v>44</v>
      </c>
      <c r="Q530" t="s">
        <v>117</v>
      </c>
      <c r="R530" t="s">
        <v>71</v>
      </c>
      <c r="S530" t="s">
        <v>30</v>
      </c>
      <c r="T530">
        <v>4</v>
      </c>
      <c r="U530">
        <v>986.06</v>
      </c>
      <c r="V530">
        <v>1288.8</v>
      </c>
      <c r="W530">
        <v>3</v>
      </c>
      <c r="X530" t="s">
        <v>49</v>
      </c>
      <c r="Y530">
        <v>2025</v>
      </c>
    </row>
    <row r="531" spans="1:25" x14ac:dyDescent="0.3">
      <c r="A531" t="s">
        <v>1520</v>
      </c>
      <c r="B531" s="1">
        <v>45828</v>
      </c>
      <c r="C531" t="s">
        <v>1521</v>
      </c>
      <c r="D531" t="s">
        <v>3232</v>
      </c>
      <c r="E531" s="1">
        <v>45834</v>
      </c>
      <c r="F531" t="s">
        <v>100</v>
      </c>
      <c r="G531" t="s">
        <v>98</v>
      </c>
      <c r="H531" t="s">
        <v>99</v>
      </c>
      <c r="I531" t="s">
        <v>2622</v>
      </c>
      <c r="J531" t="s">
        <v>2622</v>
      </c>
      <c r="K531" t="s">
        <v>52</v>
      </c>
      <c r="L531">
        <v>23</v>
      </c>
      <c r="M531">
        <v>3</v>
      </c>
      <c r="N531">
        <v>30</v>
      </c>
      <c r="O531" t="s">
        <v>1522</v>
      </c>
      <c r="P531" t="s">
        <v>33</v>
      </c>
      <c r="Q531" t="s">
        <v>58</v>
      </c>
      <c r="R531" t="s">
        <v>32</v>
      </c>
      <c r="S531" t="s">
        <v>101</v>
      </c>
      <c r="T531">
        <v>1</v>
      </c>
      <c r="U531">
        <v>602.54999999999995</v>
      </c>
      <c r="V531">
        <v>915.89</v>
      </c>
      <c r="W531">
        <v>6</v>
      </c>
      <c r="X531" t="s">
        <v>49</v>
      </c>
      <c r="Y531">
        <v>2025</v>
      </c>
    </row>
    <row r="532" spans="1:25" x14ac:dyDescent="0.3">
      <c r="A532" t="s">
        <v>1523</v>
      </c>
      <c r="B532" s="1">
        <v>45529</v>
      </c>
      <c r="C532" t="s">
        <v>1524</v>
      </c>
      <c r="D532" t="s">
        <v>3231</v>
      </c>
      <c r="E532" s="1">
        <v>45532</v>
      </c>
      <c r="F532" t="s">
        <v>122</v>
      </c>
      <c r="G532" t="s">
        <v>120</v>
      </c>
      <c r="H532" t="s">
        <v>121</v>
      </c>
      <c r="I532" t="s">
        <v>2634</v>
      </c>
      <c r="J532" t="s">
        <v>2650</v>
      </c>
      <c r="K532" t="s">
        <v>25</v>
      </c>
      <c r="L532">
        <v>54</v>
      </c>
      <c r="M532">
        <v>5</v>
      </c>
      <c r="N532">
        <v>10</v>
      </c>
      <c r="O532" t="s">
        <v>1525</v>
      </c>
      <c r="P532" t="s">
        <v>33</v>
      </c>
      <c r="Q532" t="s">
        <v>42</v>
      </c>
      <c r="R532" t="s">
        <v>71</v>
      </c>
      <c r="S532" t="s">
        <v>123</v>
      </c>
      <c r="T532">
        <v>3</v>
      </c>
      <c r="U532">
        <v>353.63</v>
      </c>
      <c r="V532">
        <v>1040.4100000000001</v>
      </c>
      <c r="W532">
        <v>3</v>
      </c>
      <c r="X532" t="s">
        <v>45</v>
      </c>
      <c r="Y532">
        <v>2024</v>
      </c>
    </row>
    <row r="533" spans="1:25" x14ac:dyDescent="0.3">
      <c r="A533" t="s">
        <v>1526</v>
      </c>
      <c r="B533" s="1">
        <v>46042</v>
      </c>
      <c r="C533" t="s">
        <v>1527</v>
      </c>
      <c r="D533" t="s">
        <v>3230</v>
      </c>
      <c r="E533" s="1">
        <v>46047</v>
      </c>
      <c r="F533" t="s">
        <v>68</v>
      </c>
      <c r="G533" t="s">
        <v>66</v>
      </c>
      <c r="H533" t="s">
        <v>67</v>
      </c>
      <c r="I533" t="s">
        <v>2633</v>
      </c>
      <c r="J533" t="s">
        <v>2695</v>
      </c>
      <c r="K533" t="s">
        <v>25</v>
      </c>
      <c r="L533">
        <v>51</v>
      </c>
      <c r="M533">
        <v>3</v>
      </c>
      <c r="N533">
        <v>30</v>
      </c>
      <c r="O533" t="s">
        <v>1528</v>
      </c>
      <c r="P533" t="s">
        <v>44</v>
      </c>
      <c r="Q533" t="s">
        <v>31</v>
      </c>
      <c r="R533" t="s">
        <v>32</v>
      </c>
      <c r="S533" t="s">
        <v>69</v>
      </c>
      <c r="T533">
        <v>2</v>
      </c>
      <c r="U533">
        <v>710.98</v>
      </c>
      <c r="V533">
        <v>1221.44</v>
      </c>
      <c r="W533">
        <v>5</v>
      </c>
      <c r="X533" t="s">
        <v>34</v>
      </c>
      <c r="Y533">
        <v>2026</v>
      </c>
    </row>
    <row r="534" spans="1:25" x14ac:dyDescent="0.3">
      <c r="A534" t="s">
        <v>1529</v>
      </c>
      <c r="B534" s="1">
        <v>45452</v>
      </c>
      <c r="C534" t="s">
        <v>1530</v>
      </c>
      <c r="D534" t="s">
        <v>3229</v>
      </c>
      <c r="E534" s="1">
        <v>45456</v>
      </c>
      <c r="F534" t="s">
        <v>140</v>
      </c>
      <c r="G534" t="s">
        <v>38</v>
      </c>
      <c r="H534" t="s">
        <v>139</v>
      </c>
      <c r="I534" t="s">
        <v>2659</v>
      </c>
      <c r="J534" t="s">
        <v>2681</v>
      </c>
      <c r="K534" t="s">
        <v>52</v>
      </c>
      <c r="L534">
        <v>29</v>
      </c>
      <c r="M534">
        <v>1</v>
      </c>
      <c r="N534">
        <v>15</v>
      </c>
      <c r="O534" t="s">
        <v>1531</v>
      </c>
      <c r="P534" t="s">
        <v>44</v>
      </c>
      <c r="Q534" t="s">
        <v>70</v>
      </c>
      <c r="R534" t="s">
        <v>62</v>
      </c>
      <c r="S534" t="s">
        <v>141</v>
      </c>
      <c r="T534">
        <v>2</v>
      </c>
      <c r="U534">
        <v>37.479999999999997</v>
      </c>
      <c r="V534">
        <v>25.37</v>
      </c>
      <c r="W534">
        <v>4</v>
      </c>
      <c r="X534" t="s">
        <v>49</v>
      </c>
      <c r="Y534">
        <v>2024</v>
      </c>
    </row>
    <row r="535" spans="1:25" x14ac:dyDescent="0.3">
      <c r="A535" t="s">
        <v>1532</v>
      </c>
      <c r="B535" s="1">
        <v>45844</v>
      </c>
      <c r="C535" t="s">
        <v>1533</v>
      </c>
      <c r="D535" t="s">
        <v>3228</v>
      </c>
      <c r="E535" s="1">
        <v>45851</v>
      </c>
      <c r="F535" t="s">
        <v>122</v>
      </c>
      <c r="G535" t="s">
        <v>120</v>
      </c>
      <c r="H535" t="s">
        <v>121</v>
      </c>
      <c r="I535" t="s">
        <v>2625</v>
      </c>
      <c r="J535" t="s">
        <v>2626</v>
      </c>
      <c r="K535" t="s">
        <v>52</v>
      </c>
      <c r="L535">
        <v>52</v>
      </c>
      <c r="M535">
        <v>5</v>
      </c>
      <c r="N535">
        <v>0</v>
      </c>
      <c r="O535" t="s">
        <v>371</v>
      </c>
      <c r="P535" t="s">
        <v>75</v>
      </c>
      <c r="Q535" t="s">
        <v>70</v>
      </c>
      <c r="R535" t="s">
        <v>43</v>
      </c>
      <c r="S535" t="s">
        <v>123</v>
      </c>
      <c r="T535">
        <v>3</v>
      </c>
      <c r="U535">
        <v>665.52</v>
      </c>
      <c r="V535">
        <v>2143.0300000000002</v>
      </c>
      <c r="W535">
        <v>7</v>
      </c>
      <c r="X535" t="s">
        <v>45</v>
      </c>
      <c r="Y535">
        <v>2025</v>
      </c>
    </row>
    <row r="536" spans="1:25" x14ac:dyDescent="0.3">
      <c r="A536" t="s">
        <v>1534</v>
      </c>
      <c r="B536" s="1">
        <v>45681</v>
      </c>
      <c r="C536" t="s">
        <v>1535</v>
      </c>
      <c r="D536" t="s">
        <v>3227</v>
      </c>
      <c r="E536" s="1">
        <v>45682</v>
      </c>
      <c r="F536" t="s">
        <v>29</v>
      </c>
      <c r="G536" t="s">
        <v>27</v>
      </c>
      <c r="H536" t="s">
        <v>28</v>
      </c>
      <c r="I536" t="s">
        <v>2625</v>
      </c>
      <c r="J536" t="s">
        <v>2651</v>
      </c>
      <c r="K536" t="s">
        <v>52</v>
      </c>
      <c r="L536">
        <v>50</v>
      </c>
      <c r="M536">
        <v>1</v>
      </c>
      <c r="N536">
        <v>30</v>
      </c>
      <c r="O536" t="s">
        <v>1536</v>
      </c>
      <c r="P536" t="s">
        <v>44</v>
      </c>
      <c r="Q536" t="s">
        <v>42</v>
      </c>
      <c r="R536" t="s">
        <v>32</v>
      </c>
      <c r="S536" t="s">
        <v>30</v>
      </c>
      <c r="T536">
        <v>2</v>
      </c>
      <c r="U536">
        <v>596.78</v>
      </c>
      <c r="V536">
        <v>284.43</v>
      </c>
      <c r="W536">
        <v>1</v>
      </c>
      <c r="X536" t="s">
        <v>34</v>
      </c>
      <c r="Y536">
        <v>2025</v>
      </c>
    </row>
    <row r="537" spans="1:25" x14ac:dyDescent="0.3">
      <c r="A537" t="s">
        <v>1537</v>
      </c>
      <c r="B537" s="1">
        <v>45463</v>
      </c>
      <c r="C537" t="s">
        <v>1538</v>
      </c>
      <c r="D537" t="s">
        <v>3226</v>
      </c>
      <c r="E537" s="1">
        <v>45470</v>
      </c>
      <c r="F537" t="s">
        <v>100</v>
      </c>
      <c r="G537" t="s">
        <v>98</v>
      </c>
      <c r="H537" t="s">
        <v>99</v>
      </c>
      <c r="I537" t="s">
        <v>2627</v>
      </c>
      <c r="J537" t="s">
        <v>2717</v>
      </c>
      <c r="K537" t="s">
        <v>25</v>
      </c>
      <c r="L537">
        <v>58</v>
      </c>
      <c r="M537">
        <v>4</v>
      </c>
      <c r="N537">
        <v>10</v>
      </c>
      <c r="O537" t="s">
        <v>1400</v>
      </c>
      <c r="P537" t="s">
        <v>75</v>
      </c>
      <c r="Q537" t="s">
        <v>70</v>
      </c>
      <c r="R537" t="s">
        <v>32</v>
      </c>
      <c r="S537" t="s">
        <v>101</v>
      </c>
      <c r="T537">
        <v>4</v>
      </c>
      <c r="U537">
        <v>669.21</v>
      </c>
      <c r="V537">
        <v>1677.7</v>
      </c>
      <c r="W537">
        <v>7</v>
      </c>
      <c r="X537" t="s">
        <v>49</v>
      </c>
      <c r="Y537">
        <v>2024</v>
      </c>
    </row>
    <row r="538" spans="1:25" x14ac:dyDescent="0.3">
      <c r="A538" t="s">
        <v>1539</v>
      </c>
      <c r="B538" s="1">
        <v>45702</v>
      </c>
      <c r="C538" t="s">
        <v>1540</v>
      </c>
      <c r="D538" t="s">
        <v>3225</v>
      </c>
      <c r="E538" s="1">
        <v>45706</v>
      </c>
      <c r="F538" t="s">
        <v>122</v>
      </c>
      <c r="G538" t="s">
        <v>120</v>
      </c>
      <c r="H538" t="s">
        <v>121</v>
      </c>
      <c r="I538" t="s">
        <v>2625</v>
      </c>
      <c r="J538" t="s">
        <v>2703</v>
      </c>
      <c r="K538" t="s">
        <v>52</v>
      </c>
      <c r="L538">
        <v>32</v>
      </c>
      <c r="M538">
        <v>5</v>
      </c>
      <c r="N538">
        <v>15</v>
      </c>
      <c r="O538" t="s">
        <v>1541</v>
      </c>
      <c r="P538" t="s">
        <v>75</v>
      </c>
      <c r="Q538" t="s">
        <v>58</v>
      </c>
      <c r="R538" t="s">
        <v>43</v>
      </c>
      <c r="S538" t="s">
        <v>123</v>
      </c>
      <c r="T538">
        <v>3</v>
      </c>
      <c r="U538">
        <v>47.34</v>
      </c>
      <c r="V538">
        <v>170.4</v>
      </c>
      <c r="W538">
        <v>4</v>
      </c>
      <c r="X538" t="s">
        <v>34</v>
      </c>
      <c r="Y538">
        <v>2025</v>
      </c>
    </row>
    <row r="539" spans="1:25" x14ac:dyDescent="0.3">
      <c r="A539" t="s">
        <v>1542</v>
      </c>
      <c r="B539" s="1">
        <v>46051</v>
      </c>
      <c r="C539" t="s">
        <v>1543</v>
      </c>
      <c r="D539" t="s">
        <v>3224</v>
      </c>
      <c r="E539" s="1">
        <v>46052</v>
      </c>
      <c r="F539" t="s">
        <v>100</v>
      </c>
      <c r="G539" t="s">
        <v>98</v>
      </c>
      <c r="H539" t="s">
        <v>99</v>
      </c>
      <c r="I539" t="s">
        <v>2654</v>
      </c>
      <c r="J539" t="s">
        <v>2684</v>
      </c>
      <c r="K539" t="s">
        <v>52</v>
      </c>
      <c r="L539">
        <v>50</v>
      </c>
      <c r="M539">
        <v>1</v>
      </c>
      <c r="N539">
        <v>30</v>
      </c>
      <c r="O539" t="s">
        <v>818</v>
      </c>
      <c r="P539" t="s">
        <v>44</v>
      </c>
      <c r="Q539" t="s">
        <v>31</v>
      </c>
      <c r="R539" t="s">
        <v>43</v>
      </c>
      <c r="S539" t="s">
        <v>101</v>
      </c>
      <c r="T539">
        <v>1</v>
      </c>
      <c r="U539">
        <v>791.13</v>
      </c>
      <c r="V539">
        <v>370.49</v>
      </c>
      <c r="W539">
        <v>1</v>
      </c>
      <c r="X539" t="s">
        <v>34</v>
      </c>
      <c r="Y539">
        <v>2026</v>
      </c>
    </row>
    <row r="540" spans="1:25" x14ac:dyDescent="0.3">
      <c r="A540" t="s">
        <v>1544</v>
      </c>
      <c r="B540" s="1">
        <v>45599</v>
      </c>
      <c r="C540" t="s">
        <v>1545</v>
      </c>
      <c r="D540" t="s">
        <v>3223</v>
      </c>
      <c r="E540" s="1">
        <v>45606</v>
      </c>
      <c r="F540" t="s">
        <v>29</v>
      </c>
      <c r="G540" t="s">
        <v>27</v>
      </c>
      <c r="H540" t="s">
        <v>28</v>
      </c>
      <c r="I540" t="s">
        <v>2634</v>
      </c>
      <c r="J540" t="s">
        <v>2650</v>
      </c>
      <c r="K540" t="s">
        <v>25</v>
      </c>
      <c r="L540">
        <v>20</v>
      </c>
      <c r="M540">
        <v>4</v>
      </c>
      <c r="N540">
        <v>5</v>
      </c>
      <c r="O540" t="s">
        <v>1546</v>
      </c>
      <c r="P540" t="s">
        <v>44</v>
      </c>
      <c r="Q540" t="s">
        <v>70</v>
      </c>
      <c r="R540" t="s">
        <v>62</v>
      </c>
      <c r="S540" t="s">
        <v>30</v>
      </c>
      <c r="T540">
        <v>3</v>
      </c>
      <c r="U540">
        <v>423.23</v>
      </c>
      <c r="V540">
        <v>1311.13</v>
      </c>
      <c r="W540">
        <v>7</v>
      </c>
      <c r="X540" t="s">
        <v>94</v>
      </c>
      <c r="Y540">
        <v>2024</v>
      </c>
    </row>
    <row r="541" spans="1:25" x14ac:dyDescent="0.3">
      <c r="A541" t="s">
        <v>1547</v>
      </c>
      <c r="B541" s="1">
        <v>45532</v>
      </c>
      <c r="C541" t="s">
        <v>1548</v>
      </c>
      <c r="D541" t="s">
        <v>3222</v>
      </c>
      <c r="E541" s="1">
        <v>45538</v>
      </c>
      <c r="F541" t="s">
        <v>40</v>
      </c>
      <c r="G541" t="s">
        <v>38</v>
      </c>
      <c r="H541" t="s">
        <v>39</v>
      </c>
      <c r="I541" t="s">
        <v>2659</v>
      </c>
      <c r="J541" t="s">
        <v>2681</v>
      </c>
      <c r="K541" t="s">
        <v>52</v>
      </c>
      <c r="L541">
        <v>40</v>
      </c>
      <c r="M541">
        <v>3</v>
      </c>
      <c r="N541">
        <v>0</v>
      </c>
      <c r="O541" t="s">
        <v>1549</v>
      </c>
      <c r="P541" t="s">
        <v>75</v>
      </c>
      <c r="Q541" t="s">
        <v>31</v>
      </c>
      <c r="R541" t="s">
        <v>71</v>
      </c>
      <c r="S541" t="s">
        <v>41</v>
      </c>
      <c r="T541">
        <v>1</v>
      </c>
      <c r="U541">
        <v>177.86</v>
      </c>
      <c r="V541">
        <v>426.98</v>
      </c>
      <c r="W541">
        <v>6</v>
      </c>
      <c r="X541" t="s">
        <v>45</v>
      </c>
      <c r="Y541">
        <v>2024</v>
      </c>
    </row>
    <row r="542" spans="1:25" x14ac:dyDescent="0.3">
      <c r="A542" t="s">
        <v>1550</v>
      </c>
      <c r="B542" s="1">
        <v>45404</v>
      </c>
      <c r="C542" t="s">
        <v>1551</v>
      </c>
      <c r="D542" t="s">
        <v>3221</v>
      </c>
      <c r="E542" s="1">
        <v>45405</v>
      </c>
      <c r="F542" t="s">
        <v>140</v>
      </c>
      <c r="G542" t="s">
        <v>38</v>
      </c>
      <c r="H542" t="s">
        <v>139</v>
      </c>
      <c r="I542" t="s">
        <v>2665</v>
      </c>
      <c r="J542" t="s">
        <v>2693</v>
      </c>
      <c r="K542" t="s">
        <v>52</v>
      </c>
      <c r="L542">
        <v>55</v>
      </c>
      <c r="M542">
        <v>1</v>
      </c>
      <c r="N542">
        <v>0</v>
      </c>
      <c r="O542" t="s">
        <v>1552</v>
      </c>
      <c r="P542" t="s">
        <v>75</v>
      </c>
      <c r="Q542" t="s">
        <v>70</v>
      </c>
      <c r="R542" t="s">
        <v>62</v>
      </c>
      <c r="S542" t="s">
        <v>141</v>
      </c>
      <c r="T542">
        <v>1</v>
      </c>
      <c r="U542">
        <v>943.04</v>
      </c>
      <c r="V542">
        <v>738.31</v>
      </c>
      <c r="W542">
        <v>1</v>
      </c>
      <c r="X542" t="s">
        <v>49</v>
      </c>
      <c r="Y542">
        <v>2024</v>
      </c>
    </row>
    <row r="543" spans="1:25" x14ac:dyDescent="0.3">
      <c r="A543" t="s">
        <v>1553</v>
      </c>
      <c r="B543" s="1">
        <v>45459</v>
      </c>
      <c r="C543" t="s">
        <v>1554</v>
      </c>
      <c r="D543" t="s">
        <v>3220</v>
      </c>
      <c r="E543" s="1">
        <v>45461</v>
      </c>
      <c r="F543" t="s">
        <v>29</v>
      </c>
      <c r="G543" t="s">
        <v>27</v>
      </c>
      <c r="H543" t="s">
        <v>28</v>
      </c>
      <c r="I543" t="s">
        <v>2652</v>
      </c>
      <c r="J543" t="s">
        <v>2653</v>
      </c>
      <c r="K543" t="s">
        <v>25</v>
      </c>
      <c r="L543">
        <v>25</v>
      </c>
      <c r="M543">
        <v>3</v>
      </c>
      <c r="N543">
        <v>15</v>
      </c>
      <c r="O543" t="s">
        <v>209</v>
      </c>
      <c r="P543" t="s">
        <v>44</v>
      </c>
      <c r="Q543" t="s">
        <v>117</v>
      </c>
      <c r="R543" t="s">
        <v>71</v>
      </c>
      <c r="S543" t="s">
        <v>30</v>
      </c>
      <c r="T543">
        <v>5</v>
      </c>
      <c r="U543">
        <v>421.33</v>
      </c>
      <c r="V543">
        <v>694.77</v>
      </c>
      <c r="W543">
        <v>2</v>
      </c>
      <c r="X543" t="s">
        <v>49</v>
      </c>
      <c r="Y543">
        <v>2024</v>
      </c>
    </row>
    <row r="544" spans="1:25" x14ac:dyDescent="0.3">
      <c r="A544" t="s">
        <v>1555</v>
      </c>
      <c r="B544" s="1">
        <v>46018</v>
      </c>
      <c r="C544" t="s">
        <v>1556</v>
      </c>
      <c r="D544" t="s">
        <v>3219</v>
      </c>
      <c r="E544" s="1">
        <v>46024</v>
      </c>
      <c r="F544" t="s">
        <v>122</v>
      </c>
      <c r="G544" t="s">
        <v>120</v>
      </c>
      <c r="H544" t="s">
        <v>121</v>
      </c>
      <c r="I544" t="s">
        <v>2635</v>
      </c>
      <c r="J544" t="s">
        <v>2677</v>
      </c>
      <c r="K544" t="s">
        <v>25</v>
      </c>
      <c r="L544">
        <v>31</v>
      </c>
      <c r="M544">
        <v>1</v>
      </c>
      <c r="N544">
        <v>30</v>
      </c>
      <c r="O544" t="s">
        <v>1557</v>
      </c>
      <c r="P544" t="s">
        <v>75</v>
      </c>
      <c r="Q544" t="s">
        <v>58</v>
      </c>
      <c r="R544" t="s">
        <v>71</v>
      </c>
      <c r="S544" t="s">
        <v>123</v>
      </c>
      <c r="T544">
        <v>3</v>
      </c>
      <c r="U544">
        <v>56.63</v>
      </c>
      <c r="V544">
        <v>30.01</v>
      </c>
      <c r="W544">
        <v>6</v>
      </c>
      <c r="X544" t="s">
        <v>94</v>
      </c>
      <c r="Y544">
        <v>2025</v>
      </c>
    </row>
    <row r="545" spans="1:25" x14ac:dyDescent="0.3">
      <c r="A545" t="s">
        <v>1558</v>
      </c>
      <c r="B545" s="1">
        <v>45299</v>
      </c>
      <c r="C545" t="s">
        <v>1559</v>
      </c>
      <c r="D545" t="s">
        <v>3218</v>
      </c>
      <c r="E545" s="1">
        <v>45304</v>
      </c>
      <c r="F545" t="s">
        <v>56</v>
      </c>
      <c r="G545" t="s">
        <v>54</v>
      </c>
      <c r="H545" t="s">
        <v>55</v>
      </c>
      <c r="I545" t="s">
        <v>2625</v>
      </c>
      <c r="J545" t="s">
        <v>2651</v>
      </c>
      <c r="K545" t="s">
        <v>25</v>
      </c>
      <c r="L545">
        <v>25</v>
      </c>
      <c r="M545">
        <v>2</v>
      </c>
      <c r="N545">
        <v>15</v>
      </c>
      <c r="O545" t="s">
        <v>1560</v>
      </c>
      <c r="P545" t="s">
        <v>75</v>
      </c>
      <c r="Q545" t="s">
        <v>70</v>
      </c>
      <c r="R545" t="s">
        <v>32</v>
      </c>
      <c r="S545" t="s">
        <v>57</v>
      </c>
      <c r="T545">
        <v>4</v>
      </c>
      <c r="U545">
        <v>739.24</v>
      </c>
      <c r="V545">
        <v>751.8</v>
      </c>
      <c r="W545">
        <v>5</v>
      </c>
      <c r="X545" t="s">
        <v>34</v>
      </c>
      <c r="Y545">
        <v>2024</v>
      </c>
    </row>
    <row r="546" spans="1:25" x14ac:dyDescent="0.3">
      <c r="A546" t="s">
        <v>1561</v>
      </c>
      <c r="B546" s="1">
        <v>45818</v>
      </c>
      <c r="C546" t="s">
        <v>1562</v>
      </c>
      <c r="D546" t="s">
        <v>3217</v>
      </c>
      <c r="E546" s="1">
        <v>45822</v>
      </c>
      <c r="F546" t="s">
        <v>29</v>
      </c>
      <c r="G546" t="s">
        <v>27</v>
      </c>
      <c r="H546" t="s">
        <v>28</v>
      </c>
      <c r="I546" t="s">
        <v>2629</v>
      </c>
      <c r="J546" t="s">
        <v>2689</v>
      </c>
      <c r="K546" t="s">
        <v>25</v>
      </c>
      <c r="L546">
        <v>31</v>
      </c>
      <c r="M546">
        <v>3</v>
      </c>
      <c r="N546">
        <v>15</v>
      </c>
      <c r="O546" t="s">
        <v>563</v>
      </c>
      <c r="P546" t="s">
        <v>44</v>
      </c>
      <c r="Q546" t="s">
        <v>117</v>
      </c>
      <c r="R546" t="s">
        <v>71</v>
      </c>
      <c r="S546" t="s">
        <v>30</v>
      </c>
      <c r="T546">
        <v>4</v>
      </c>
      <c r="U546">
        <v>345.58</v>
      </c>
      <c r="V546">
        <v>511.77</v>
      </c>
      <c r="W546">
        <v>4</v>
      </c>
      <c r="X546" t="s">
        <v>49</v>
      </c>
      <c r="Y546">
        <v>2025</v>
      </c>
    </row>
    <row r="547" spans="1:25" x14ac:dyDescent="0.3">
      <c r="A547" t="s">
        <v>1563</v>
      </c>
      <c r="B547" s="1">
        <v>45385</v>
      </c>
      <c r="C547" t="s">
        <v>1564</v>
      </c>
      <c r="D547" t="s">
        <v>3216</v>
      </c>
      <c r="E547" s="1">
        <v>45386</v>
      </c>
      <c r="F547" t="s">
        <v>122</v>
      </c>
      <c r="G547" t="s">
        <v>120</v>
      </c>
      <c r="H547" t="s">
        <v>121</v>
      </c>
      <c r="I547" t="s">
        <v>2623</v>
      </c>
      <c r="J547" t="s">
        <v>2691</v>
      </c>
      <c r="K547" t="s">
        <v>25</v>
      </c>
      <c r="L547">
        <v>57</v>
      </c>
      <c r="M547">
        <v>4</v>
      </c>
      <c r="N547">
        <v>20</v>
      </c>
      <c r="O547" t="s">
        <v>1565</v>
      </c>
      <c r="P547" t="s">
        <v>75</v>
      </c>
      <c r="Q547" t="s">
        <v>117</v>
      </c>
      <c r="R547" t="s">
        <v>43</v>
      </c>
      <c r="S547" t="s">
        <v>123</v>
      </c>
      <c r="T547">
        <v>5</v>
      </c>
      <c r="U547">
        <v>301.39</v>
      </c>
      <c r="V547">
        <v>602.26</v>
      </c>
      <c r="W547">
        <v>1</v>
      </c>
      <c r="X547" t="s">
        <v>49</v>
      </c>
      <c r="Y547">
        <v>2024</v>
      </c>
    </row>
    <row r="548" spans="1:25" x14ac:dyDescent="0.3">
      <c r="A548" t="s">
        <v>1566</v>
      </c>
      <c r="B548" s="1">
        <v>46115</v>
      </c>
      <c r="C548" t="s">
        <v>1567</v>
      </c>
      <c r="D548" t="s">
        <v>3215</v>
      </c>
      <c r="E548" s="1">
        <v>46120</v>
      </c>
      <c r="F548" t="s">
        <v>40</v>
      </c>
      <c r="G548" t="s">
        <v>38</v>
      </c>
      <c r="H548" t="s">
        <v>39</v>
      </c>
      <c r="I548" t="s">
        <v>2625</v>
      </c>
      <c r="J548" t="s">
        <v>2651</v>
      </c>
      <c r="K548" t="s">
        <v>25</v>
      </c>
      <c r="L548">
        <v>34</v>
      </c>
      <c r="M548">
        <v>3</v>
      </c>
      <c r="N548">
        <v>10</v>
      </c>
      <c r="O548" t="s">
        <v>589</v>
      </c>
      <c r="P548" t="s">
        <v>33</v>
      </c>
      <c r="Q548" t="s">
        <v>42</v>
      </c>
      <c r="R548" t="s">
        <v>62</v>
      </c>
      <c r="S548" t="s">
        <v>41</v>
      </c>
      <c r="T548">
        <v>2</v>
      </c>
      <c r="U548">
        <v>766.17</v>
      </c>
      <c r="V548">
        <v>1128.57</v>
      </c>
      <c r="W548">
        <v>5</v>
      </c>
      <c r="X548" t="s">
        <v>49</v>
      </c>
      <c r="Y548">
        <v>2026</v>
      </c>
    </row>
    <row r="549" spans="1:25" x14ac:dyDescent="0.3">
      <c r="A549" t="s">
        <v>1568</v>
      </c>
      <c r="B549" s="1">
        <v>45772</v>
      </c>
      <c r="C549" t="s">
        <v>1569</v>
      </c>
      <c r="D549" t="s">
        <v>3214</v>
      </c>
      <c r="E549" s="1">
        <v>45773</v>
      </c>
      <c r="F549" t="s">
        <v>115</v>
      </c>
      <c r="G549" t="s">
        <v>66</v>
      </c>
      <c r="H549" t="s">
        <v>114</v>
      </c>
      <c r="I549" t="s">
        <v>2622</v>
      </c>
      <c r="J549" t="s">
        <v>2704</v>
      </c>
      <c r="K549" t="s">
        <v>25</v>
      </c>
      <c r="L549">
        <v>26</v>
      </c>
      <c r="M549">
        <v>5</v>
      </c>
      <c r="N549">
        <v>20</v>
      </c>
      <c r="O549" t="s">
        <v>255</v>
      </c>
      <c r="P549" t="s">
        <v>75</v>
      </c>
      <c r="Q549" t="s">
        <v>42</v>
      </c>
      <c r="R549" t="s">
        <v>62</v>
      </c>
      <c r="S549" t="s">
        <v>116</v>
      </c>
      <c r="T549">
        <v>4</v>
      </c>
      <c r="U549">
        <v>346.31</v>
      </c>
      <c r="V549">
        <v>1127.54</v>
      </c>
      <c r="W549">
        <v>1</v>
      </c>
      <c r="X549" t="s">
        <v>49</v>
      </c>
      <c r="Y549">
        <v>2025</v>
      </c>
    </row>
    <row r="550" spans="1:25" x14ac:dyDescent="0.3">
      <c r="A550" t="s">
        <v>1570</v>
      </c>
      <c r="B550" s="1">
        <v>45724</v>
      </c>
      <c r="C550" t="s">
        <v>1571</v>
      </c>
      <c r="D550" t="s">
        <v>3213</v>
      </c>
      <c r="E550" s="1">
        <v>45731</v>
      </c>
      <c r="F550" t="s">
        <v>56</v>
      </c>
      <c r="G550" t="s">
        <v>54</v>
      </c>
      <c r="H550" t="s">
        <v>55</v>
      </c>
      <c r="I550" t="s">
        <v>2629</v>
      </c>
      <c r="J550" t="s">
        <v>2697</v>
      </c>
      <c r="K550" t="s">
        <v>52</v>
      </c>
      <c r="L550">
        <v>28</v>
      </c>
      <c r="M550">
        <v>3</v>
      </c>
      <c r="N550">
        <v>0</v>
      </c>
      <c r="O550" t="s">
        <v>1572</v>
      </c>
      <c r="P550" t="s">
        <v>75</v>
      </c>
      <c r="Q550" t="s">
        <v>70</v>
      </c>
      <c r="R550" t="s">
        <v>62</v>
      </c>
      <c r="S550" t="s">
        <v>57</v>
      </c>
      <c r="T550">
        <v>3</v>
      </c>
      <c r="U550">
        <v>196.25</v>
      </c>
      <c r="V550">
        <v>427.48</v>
      </c>
      <c r="W550">
        <v>7</v>
      </c>
      <c r="X550" t="s">
        <v>34</v>
      </c>
      <c r="Y550">
        <v>2025</v>
      </c>
    </row>
    <row r="551" spans="1:25" x14ac:dyDescent="0.3">
      <c r="A551" t="s">
        <v>1573</v>
      </c>
      <c r="B551" s="1">
        <v>45713</v>
      </c>
      <c r="C551" t="s">
        <v>1574</v>
      </c>
      <c r="D551" t="s">
        <v>3212</v>
      </c>
      <c r="E551" s="1">
        <v>45719</v>
      </c>
      <c r="F551" t="s">
        <v>68</v>
      </c>
      <c r="G551" t="s">
        <v>66</v>
      </c>
      <c r="H551" t="s">
        <v>67</v>
      </c>
      <c r="I551" t="s">
        <v>2629</v>
      </c>
      <c r="J551" t="s">
        <v>2709</v>
      </c>
      <c r="K551" t="s">
        <v>52</v>
      </c>
      <c r="L551">
        <v>40</v>
      </c>
      <c r="M551">
        <v>1</v>
      </c>
      <c r="N551">
        <v>0</v>
      </c>
      <c r="O551" t="s">
        <v>1494</v>
      </c>
      <c r="P551" t="s">
        <v>33</v>
      </c>
      <c r="Q551" t="s">
        <v>117</v>
      </c>
      <c r="R551" t="s">
        <v>43</v>
      </c>
      <c r="S551" t="s">
        <v>69</v>
      </c>
      <c r="T551">
        <v>2</v>
      </c>
      <c r="U551">
        <v>975.21</v>
      </c>
      <c r="V551">
        <v>686.32</v>
      </c>
      <c r="W551">
        <v>6</v>
      </c>
      <c r="X551" t="s">
        <v>34</v>
      </c>
      <c r="Y551">
        <v>2025</v>
      </c>
    </row>
    <row r="552" spans="1:25" x14ac:dyDescent="0.3">
      <c r="A552" t="s">
        <v>1575</v>
      </c>
      <c r="B552" s="1">
        <v>45292</v>
      </c>
      <c r="C552" t="s">
        <v>1576</v>
      </c>
      <c r="D552" t="s">
        <v>3211</v>
      </c>
      <c r="E552" s="1">
        <v>45295</v>
      </c>
      <c r="F552" t="s">
        <v>40</v>
      </c>
      <c r="G552" t="s">
        <v>38</v>
      </c>
      <c r="H552" t="s">
        <v>39</v>
      </c>
      <c r="I552" t="s">
        <v>2623</v>
      </c>
      <c r="J552" t="s">
        <v>2696</v>
      </c>
      <c r="K552" t="s">
        <v>25</v>
      </c>
      <c r="L552">
        <v>21</v>
      </c>
      <c r="M552">
        <v>3</v>
      </c>
      <c r="N552">
        <v>20</v>
      </c>
      <c r="O552" t="s">
        <v>379</v>
      </c>
      <c r="P552" t="s">
        <v>44</v>
      </c>
      <c r="Q552" t="s">
        <v>31</v>
      </c>
      <c r="R552" t="s">
        <v>62</v>
      </c>
      <c r="S552" t="s">
        <v>41</v>
      </c>
      <c r="T552">
        <v>4</v>
      </c>
      <c r="U552">
        <v>815.94</v>
      </c>
      <c r="V552">
        <v>1036.21</v>
      </c>
      <c r="W552">
        <v>3</v>
      </c>
      <c r="X552" t="s">
        <v>34</v>
      </c>
      <c r="Y552">
        <v>2024</v>
      </c>
    </row>
    <row r="553" spans="1:25" x14ac:dyDescent="0.3">
      <c r="A553" t="s">
        <v>1577</v>
      </c>
      <c r="B553" s="1">
        <v>45736</v>
      </c>
      <c r="C553" t="s">
        <v>1578</v>
      </c>
      <c r="D553" t="s">
        <v>3210</v>
      </c>
      <c r="E553" s="1">
        <v>45740</v>
      </c>
      <c r="F553" t="s">
        <v>56</v>
      </c>
      <c r="G553" t="s">
        <v>54</v>
      </c>
      <c r="H553" t="s">
        <v>55</v>
      </c>
      <c r="I553" t="s">
        <v>2654</v>
      </c>
      <c r="J553" t="s">
        <v>2684</v>
      </c>
      <c r="K553" t="s">
        <v>52</v>
      </c>
      <c r="L553">
        <v>49</v>
      </c>
      <c r="M553">
        <v>3</v>
      </c>
      <c r="N553">
        <v>20</v>
      </c>
      <c r="O553" t="s">
        <v>1497</v>
      </c>
      <c r="P553" t="s">
        <v>75</v>
      </c>
      <c r="Q553" t="s">
        <v>31</v>
      </c>
      <c r="R553" t="s">
        <v>71</v>
      </c>
      <c r="S553" t="s">
        <v>57</v>
      </c>
      <c r="T553">
        <v>4</v>
      </c>
      <c r="U553">
        <v>903.59</v>
      </c>
      <c r="V553">
        <v>1360.69</v>
      </c>
      <c r="W553">
        <v>4</v>
      </c>
      <c r="X553" t="s">
        <v>34</v>
      </c>
      <c r="Y553">
        <v>2025</v>
      </c>
    </row>
    <row r="554" spans="1:25" x14ac:dyDescent="0.3">
      <c r="A554" t="s">
        <v>1579</v>
      </c>
      <c r="B554" s="1">
        <v>45824</v>
      </c>
      <c r="C554" t="s">
        <v>1580</v>
      </c>
      <c r="D554" t="s">
        <v>3209</v>
      </c>
      <c r="E554" s="1">
        <v>45831</v>
      </c>
      <c r="F554" t="s">
        <v>68</v>
      </c>
      <c r="G554" t="s">
        <v>66</v>
      </c>
      <c r="H554" t="s">
        <v>67</v>
      </c>
      <c r="I554" t="s">
        <v>2631</v>
      </c>
      <c r="J554" t="s">
        <v>2674</v>
      </c>
      <c r="K554" t="s">
        <v>52</v>
      </c>
      <c r="L554">
        <v>25</v>
      </c>
      <c r="M554">
        <v>2</v>
      </c>
      <c r="N554">
        <v>20</v>
      </c>
      <c r="O554" t="s">
        <v>1164</v>
      </c>
      <c r="P554" t="s">
        <v>33</v>
      </c>
      <c r="Q554" t="s">
        <v>117</v>
      </c>
      <c r="R554" t="s">
        <v>32</v>
      </c>
      <c r="S554" t="s">
        <v>69</v>
      </c>
      <c r="T554">
        <v>4</v>
      </c>
      <c r="U554">
        <v>337.71</v>
      </c>
      <c r="V554">
        <v>391.72</v>
      </c>
      <c r="W554">
        <v>7</v>
      </c>
      <c r="X554" t="s">
        <v>49</v>
      </c>
      <c r="Y554">
        <v>2025</v>
      </c>
    </row>
    <row r="555" spans="1:25" x14ac:dyDescent="0.3">
      <c r="A555" t="s">
        <v>1581</v>
      </c>
      <c r="B555" s="1">
        <v>45734</v>
      </c>
      <c r="C555" t="s">
        <v>1582</v>
      </c>
      <c r="D555" t="s">
        <v>3208</v>
      </c>
      <c r="E555" s="1">
        <v>45738</v>
      </c>
      <c r="F555" t="s">
        <v>140</v>
      </c>
      <c r="G555" t="s">
        <v>38</v>
      </c>
      <c r="H555" t="s">
        <v>139</v>
      </c>
      <c r="I555" t="s">
        <v>2625</v>
      </c>
      <c r="J555" t="s">
        <v>2667</v>
      </c>
      <c r="K555" t="s">
        <v>25</v>
      </c>
      <c r="L555">
        <v>34</v>
      </c>
      <c r="M555">
        <v>2</v>
      </c>
      <c r="N555">
        <v>25</v>
      </c>
      <c r="O555" t="s">
        <v>1583</v>
      </c>
      <c r="P555" t="s">
        <v>44</v>
      </c>
      <c r="Q555" t="s">
        <v>117</v>
      </c>
      <c r="R555" t="s">
        <v>32</v>
      </c>
      <c r="S555" t="s">
        <v>141</v>
      </c>
      <c r="T555">
        <v>3</v>
      </c>
      <c r="U555">
        <v>75.790000000000006</v>
      </c>
      <c r="V555">
        <v>88.19</v>
      </c>
      <c r="W555">
        <v>4</v>
      </c>
      <c r="X555" t="s">
        <v>34</v>
      </c>
      <c r="Y555">
        <v>2025</v>
      </c>
    </row>
    <row r="556" spans="1:25" x14ac:dyDescent="0.3">
      <c r="A556" t="s">
        <v>1584</v>
      </c>
      <c r="B556" s="1">
        <v>45432</v>
      </c>
      <c r="C556" t="s">
        <v>1585</v>
      </c>
      <c r="D556" t="s">
        <v>3207</v>
      </c>
      <c r="E556" s="1">
        <v>45435</v>
      </c>
      <c r="F556" t="s">
        <v>40</v>
      </c>
      <c r="G556" t="s">
        <v>38</v>
      </c>
      <c r="H556" t="s">
        <v>39</v>
      </c>
      <c r="I556" t="s">
        <v>2659</v>
      </c>
      <c r="J556" t="s">
        <v>2660</v>
      </c>
      <c r="K556" t="s">
        <v>25</v>
      </c>
      <c r="L556">
        <v>41</v>
      </c>
      <c r="M556">
        <v>2</v>
      </c>
      <c r="N556">
        <v>0</v>
      </c>
      <c r="O556" t="s">
        <v>97</v>
      </c>
      <c r="P556" t="s">
        <v>75</v>
      </c>
      <c r="Q556" t="s">
        <v>117</v>
      </c>
      <c r="R556" t="s">
        <v>43</v>
      </c>
      <c r="S556" t="s">
        <v>41</v>
      </c>
      <c r="T556">
        <v>2</v>
      </c>
      <c r="U556">
        <v>325.89</v>
      </c>
      <c r="V556">
        <v>549.09</v>
      </c>
      <c r="W556">
        <v>3</v>
      </c>
      <c r="X556" t="s">
        <v>49</v>
      </c>
      <c r="Y556">
        <v>2024</v>
      </c>
    </row>
    <row r="557" spans="1:25" x14ac:dyDescent="0.3">
      <c r="A557" t="s">
        <v>1586</v>
      </c>
      <c r="B557" s="1">
        <v>46191</v>
      </c>
      <c r="C557" t="s">
        <v>1314</v>
      </c>
      <c r="D557" t="s">
        <v>3206</v>
      </c>
      <c r="E557" s="1">
        <v>46192</v>
      </c>
      <c r="F557" t="s">
        <v>56</v>
      </c>
      <c r="G557" t="s">
        <v>54</v>
      </c>
      <c r="H557" t="s">
        <v>55</v>
      </c>
      <c r="I557" t="s">
        <v>2668</v>
      </c>
      <c r="J557" t="s">
        <v>2669</v>
      </c>
      <c r="K557" t="s">
        <v>25</v>
      </c>
      <c r="L557">
        <v>39</v>
      </c>
      <c r="M557">
        <v>1</v>
      </c>
      <c r="N557">
        <v>15</v>
      </c>
      <c r="O557" t="s">
        <v>1587</v>
      </c>
      <c r="P557" t="s">
        <v>33</v>
      </c>
      <c r="Q557" t="s">
        <v>31</v>
      </c>
      <c r="R557" t="s">
        <v>32</v>
      </c>
      <c r="S557" t="s">
        <v>57</v>
      </c>
      <c r="T557">
        <v>2</v>
      </c>
      <c r="U557">
        <v>605.36</v>
      </c>
      <c r="V557">
        <v>285.05</v>
      </c>
      <c r="W557">
        <v>1</v>
      </c>
      <c r="X557" t="s">
        <v>49</v>
      </c>
      <c r="Y557">
        <v>2026</v>
      </c>
    </row>
    <row r="558" spans="1:25" x14ac:dyDescent="0.3">
      <c r="A558" t="s">
        <v>1588</v>
      </c>
      <c r="B558" s="1">
        <v>46101</v>
      </c>
      <c r="C558" t="s">
        <v>1589</v>
      </c>
      <c r="D558" t="s">
        <v>3205</v>
      </c>
      <c r="E558" s="1">
        <v>46107</v>
      </c>
      <c r="F558" t="s">
        <v>29</v>
      </c>
      <c r="G558" t="s">
        <v>27</v>
      </c>
      <c r="H558" t="s">
        <v>28</v>
      </c>
      <c r="I558" t="s">
        <v>2632</v>
      </c>
      <c r="J558" t="s">
        <v>2715</v>
      </c>
      <c r="K558" t="s">
        <v>52</v>
      </c>
      <c r="L558">
        <v>22</v>
      </c>
      <c r="M558">
        <v>1</v>
      </c>
      <c r="N558">
        <v>5</v>
      </c>
      <c r="O558" t="s">
        <v>975</v>
      </c>
      <c r="P558" t="s">
        <v>44</v>
      </c>
      <c r="Q558" t="s">
        <v>70</v>
      </c>
      <c r="R558" t="s">
        <v>71</v>
      </c>
      <c r="S558" t="s">
        <v>30</v>
      </c>
      <c r="T558">
        <v>1</v>
      </c>
      <c r="U558">
        <v>597.9</v>
      </c>
      <c r="V558">
        <v>434.68</v>
      </c>
      <c r="W558">
        <v>6</v>
      </c>
      <c r="X558" t="s">
        <v>34</v>
      </c>
      <c r="Y558">
        <v>2026</v>
      </c>
    </row>
    <row r="559" spans="1:25" x14ac:dyDescent="0.3">
      <c r="A559" t="s">
        <v>1590</v>
      </c>
      <c r="B559" s="1">
        <v>45692</v>
      </c>
      <c r="C559" t="s">
        <v>1591</v>
      </c>
      <c r="D559" t="s">
        <v>3204</v>
      </c>
      <c r="E559" s="1">
        <v>45693</v>
      </c>
      <c r="F559" t="s">
        <v>68</v>
      </c>
      <c r="G559" t="s">
        <v>66</v>
      </c>
      <c r="H559" t="s">
        <v>67</v>
      </c>
      <c r="I559" t="s">
        <v>2672</v>
      </c>
      <c r="J559" t="s">
        <v>2690</v>
      </c>
      <c r="K559" t="s">
        <v>25</v>
      </c>
      <c r="L559">
        <v>43</v>
      </c>
      <c r="M559">
        <v>2</v>
      </c>
      <c r="N559">
        <v>10</v>
      </c>
      <c r="O559" t="s">
        <v>1592</v>
      </c>
      <c r="P559" t="s">
        <v>75</v>
      </c>
      <c r="Q559" t="s">
        <v>42</v>
      </c>
      <c r="R559" t="s">
        <v>62</v>
      </c>
      <c r="S559" t="s">
        <v>69</v>
      </c>
      <c r="T559">
        <v>2</v>
      </c>
      <c r="U559">
        <v>777.98</v>
      </c>
      <c r="V559">
        <v>1120.24</v>
      </c>
      <c r="W559">
        <v>1</v>
      </c>
      <c r="X559" t="s">
        <v>34</v>
      </c>
      <c r="Y559">
        <v>2025</v>
      </c>
    </row>
    <row r="560" spans="1:25" x14ac:dyDescent="0.3">
      <c r="A560" t="s">
        <v>1593</v>
      </c>
      <c r="B560" s="1">
        <v>45467</v>
      </c>
      <c r="C560" t="s">
        <v>1594</v>
      </c>
      <c r="D560" t="s">
        <v>3203</v>
      </c>
      <c r="E560" s="1">
        <v>45473</v>
      </c>
      <c r="F560" t="s">
        <v>122</v>
      </c>
      <c r="G560" t="s">
        <v>120</v>
      </c>
      <c r="H560" t="s">
        <v>121</v>
      </c>
      <c r="I560" t="s">
        <v>2629</v>
      </c>
      <c r="J560" t="s">
        <v>2697</v>
      </c>
      <c r="K560" t="s">
        <v>25</v>
      </c>
      <c r="L560">
        <v>47</v>
      </c>
      <c r="M560">
        <v>5</v>
      </c>
      <c r="N560">
        <v>25</v>
      </c>
      <c r="O560" t="s">
        <v>1525</v>
      </c>
      <c r="P560" t="s">
        <v>75</v>
      </c>
      <c r="Q560" t="s">
        <v>31</v>
      </c>
      <c r="R560" t="s">
        <v>71</v>
      </c>
      <c r="S560" t="s">
        <v>123</v>
      </c>
      <c r="T560">
        <v>5</v>
      </c>
      <c r="U560">
        <v>419.58</v>
      </c>
      <c r="V560">
        <v>1222.51</v>
      </c>
      <c r="W560">
        <v>6</v>
      </c>
      <c r="X560" t="s">
        <v>49</v>
      </c>
      <c r="Y560">
        <v>2024</v>
      </c>
    </row>
    <row r="561" spans="1:25" x14ac:dyDescent="0.3">
      <c r="A561" t="s">
        <v>1595</v>
      </c>
      <c r="B561" s="1">
        <v>46185</v>
      </c>
      <c r="C561" t="s">
        <v>1596</v>
      </c>
      <c r="D561" t="s">
        <v>3202</v>
      </c>
      <c r="E561" s="1">
        <v>46187</v>
      </c>
      <c r="F561" t="s">
        <v>29</v>
      </c>
      <c r="G561" t="s">
        <v>27</v>
      </c>
      <c r="H561" t="s">
        <v>28</v>
      </c>
      <c r="I561" t="s">
        <v>2627</v>
      </c>
      <c r="J561" t="s">
        <v>2628</v>
      </c>
      <c r="K561" t="s">
        <v>25</v>
      </c>
      <c r="L561">
        <v>18</v>
      </c>
      <c r="M561">
        <v>3</v>
      </c>
      <c r="N561">
        <v>0</v>
      </c>
      <c r="O561" t="s">
        <v>1597</v>
      </c>
      <c r="P561" t="s">
        <v>75</v>
      </c>
      <c r="Q561" t="s">
        <v>70</v>
      </c>
      <c r="R561" t="s">
        <v>43</v>
      </c>
      <c r="S561" t="s">
        <v>30</v>
      </c>
      <c r="T561">
        <v>4</v>
      </c>
      <c r="U561">
        <v>301.49</v>
      </c>
      <c r="V561">
        <v>581.05999999999995</v>
      </c>
      <c r="W561">
        <v>2</v>
      </c>
      <c r="X561" t="s">
        <v>49</v>
      </c>
      <c r="Y561">
        <v>2026</v>
      </c>
    </row>
    <row r="562" spans="1:25" x14ac:dyDescent="0.3">
      <c r="A562" t="s">
        <v>1598</v>
      </c>
      <c r="B562" s="1">
        <v>45776</v>
      </c>
      <c r="C562" t="s">
        <v>1599</v>
      </c>
      <c r="D562" t="s">
        <v>3201</v>
      </c>
      <c r="E562" s="1">
        <v>45782</v>
      </c>
      <c r="F562" t="s">
        <v>40</v>
      </c>
      <c r="G562" t="s">
        <v>38</v>
      </c>
      <c r="H562" t="s">
        <v>39</v>
      </c>
      <c r="I562" t="s">
        <v>2635</v>
      </c>
      <c r="J562" t="s">
        <v>2643</v>
      </c>
      <c r="K562" t="s">
        <v>52</v>
      </c>
      <c r="L562">
        <v>58</v>
      </c>
      <c r="M562">
        <v>3</v>
      </c>
      <c r="N562">
        <v>25</v>
      </c>
      <c r="O562" t="s">
        <v>1600</v>
      </c>
      <c r="P562" t="s">
        <v>44</v>
      </c>
      <c r="Q562" t="s">
        <v>117</v>
      </c>
      <c r="R562" t="s">
        <v>71</v>
      </c>
      <c r="S562" t="s">
        <v>41</v>
      </c>
      <c r="T562">
        <v>3</v>
      </c>
      <c r="U562">
        <v>490.5</v>
      </c>
      <c r="V562">
        <v>725.13</v>
      </c>
      <c r="W562">
        <v>6</v>
      </c>
      <c r="X562" t="s">
        <v>49</v>
      </c>
      <c r="Y562">
        <v>2025</v>
      </c>
    </row>
    <row r="563" spans="1:25" x14ac:dyDescent="0.3">
      <c r="A563" t="s">
        <v>1601</v>
      </c>
      <c r="B563" s="1">
        <v>45877</v>
      </c>
      <c r="C563" t="s">
        <v>1602</v>
      </c>
      <c r="D563" t="s">
        <v>3200</v>
      </c>
      <c r="E563" s="1">
        <v>45884</v>
      </c>
      <c r="F563" t="s">
        <v>29</v>
      </c>
      <c r="G563" t="s">
        <v>27</v>
      </c>
      <c r="H563" t="s">
        <v>28</v>
      </c>
      <c r="I563" t="s">
        <v>2639</v>
      </c>
      <c r="J563" t="s">
        <v>2640</v>
      </c>
      <c r="K563" t="s">
        <v>52</v>
      </c>
      <c r="L563">
        <v>18</v>
      </c>
      <c r="M563">
        <v>3</v>
      </c>
      <c r="N563">
        <v>30</v>
      </c>
      <c r="O563" t="s">
        <v>1603</v>
      </c>
      <c r="P563" t="s">
        <v>33</v>
      </c>
      <c r="Q563" t="s">
        <v>58</v>
      </c>
      <c r="R563" t="s">
        <v>62</v>
      </c>
      <c r="S563" t="s">
        <v>30</v>
      </c>
      <c r="T563">
        <v>2</v>
      </c>
      <c r="U563">
        <v>316.2</v>
      </c>
      <c r="V563">
        <v>524.38</v>
      </c>
      <c r="W563">
        <v>7</v>
      </c>
      <c r="X563" t="s">
        <v>45</v>
      </c>
      <c r="Y563">
        <v>2025</v>
      </c>
    </row>
    <row r="564" spans="1:25" x14ac:dyDescent="0.3">
      <c r="A564" t="s">
        <v>1604</v>
      </c>
      <c r="B564" s="1">
        <v>45416</v>
      </c>
      <c r="C564" t="s">
        <v>1605</v>
      </c>
      <c r="D564" t="s">
        <v>3199</v>
      </c>
      <c r="E564" s="1">
        <v>45422</v>
      </c>
      <c r="F564" t="s">
        <v>56</v>
      </c>
      <c r="G564" t="s">
        <v>54</v>
      </c>
      <c r="H564" t="s">
        <v>55</v>
      </c>
      <c r="I564" t="s">
        <v>2637</v>
      </c>
      <c r="J564" t="s">
        <v>99</v>
      </c>
      <c r="K564" t="s">
        <v>52</v>
      </c>
      <c r="L564">
        <v>62</v>
      </c>
      <c r="M564">
        <v>4</v>
      </c>
      <c r="N564">
        <v>5</v>
      </c>
      <c r="O564" t="s">
        <v>1114</v>
      </c>
      <c r="P564" t="s">
        <v>33</v>
      </c>
      <c r="Q564" t="s">
        <v>70</v>
      </c>
      <c r="R564" t="s">
        <v>62</v>
      </c>
      <c r="S564" t="s">
        <v>57</v>
      </c>
      <c r="T564">
        <v>5</v>
      </c>
      <c r="U564">
        <v>460.62</v>
      </c>
      <c r="V564">
        <v>944.72</v>
      </c>
      <c r="W564">
        <v>6</v>
      </c>
      <c r="X564" t="s">
        <v>49</v>
      </c>
      <c r="Y564">
        <v>2024</v>
      </c>
    </row>
    <row r="565" spans="1:25" x14ac:dyDescent="0.3">
      <c r="A565" t="s">
        <v>1606</v>
      </c>
      <c r="B565" s="1">
        <v>46143</v>
      </c>
      <c r="C565" t="s">
        <v>1607</v>
      </c>
      <c r="D565" t="s">
        <v>3198</v>
      </c>
      <c r="E565" s="1">
        <v>46149</v>
      </c>
      <c r="F565" t="s">
        <v>100</v>
      </c>
      <c r="G565" t="s">
        <v>98</v>
      </c>
      <c r="H565" t="s">
        <v>99</v>
      </c>
      <c r="I565" t="s">
        <v>2625</v>
      </c>
      <c r="J565" t="s">
        <v>2626</v>
      </c>
      <c r="K565" t="s">
        <v>25</v>
      </c>
      <c r="L565">
        <v>39</v>
      </c>
      <c r="M565">
        <v>2</v>
      </c>
      <c r="N565">
        <v>10</v>
      </c>
      <c r="O565" t="s">
        <v>1351</v>
      </c>
      <c r="P565" t="s">
        <v>44</v>
      </c>
      <c r="Q565" t="s">
        <v>70</v>
      </c>
      <c r="R565" t="s">
        <v>71</v>
      </c>
      <c r="S565" t="s">
        <v>101</v>
      </c>
      <c r="T565">
        <v>5</v>
      </c>
      <c r="U565">
        <v>612.55999999999995</v>
      </c>
      <c r="V565">
        <v>909.93</v>
      </c>
      <c r="W565">
        <v>6</v>
      </c>
      <c r="X565" t="s">
        <v>49</v>
      </c>
      <c r="Y565">
        <v>2026</v>
      </c>
    </row>
    <row r="566" spans="1:25" x14ac:dyDescent="0.3">
      <c r="A566" t="s">
        <v>1608</v>
      </c>
      <c r="B566" s="1">
        <v>45631</v>
      </c>
      <c r="C566" t="s">
        <v>1609</v>
      </c>
      <c r="D566" t="s">
        <v>3197</v>
      </c>
      <c r="E566" s="1">
        <v>45633</v>
      </c>
      <c r="F566" t="s">
        <v>100</v>
      </c>
      <c r="G566" t="s">
        <v>98</v>
      </c>
      <c r="H566" t="s">
        <v>99</v>
      </c>
      <c r="I566" t="s">
        <v>2663</v>
      </c>
      <c r="J566" t="s">
        <v>2670</v>
      </c>
      <c r="K566" t="s">
        <v>25</v>
      </c>
      <c r="L566">
        <v>52</v>
      </c>
      <c r="M566">
        <v>1</v>
      </c>
      <c r="N566">
        <v>5</v>
      </c>
      <c r="O566" t="s">
        <v>1610</v>
      </c>
      <c r="P566" t="s">
        <v>33</v>
      </c>
      <c r="Q566" t="s">
        <v>31</v>
      </c>
      <c r="R566" t="s">
        <v>62</v>
      </c>
      <c r="S566" t="s">
        <v>101</v>
      </c>
      <c r="T566">
        <v>1</v>
      </c>
      <c r="U566">
        <v>98.8</v>
      </c>
      <c r="V566">
        <v>50.62</v>
      </c>
      <c r="W566">
        <v>2</v>
      </c>
      <c r="X566" t="s">
        <v>94</v>
      </c>
      <c r="Y566">
        <v>2024</v>
      </c>
    </row>
    <row r="567" spans="1:25" x14ac:dyDescent="0.3">
      <c r="A567" t="s">
        <v>1611</v>
      </c>
      <c r="B567" s="1">
        <v>45550</v>
      </c>
      <c r="C567" t="s">
        <v>1612</v>
      </c>
      <c r="D567" t="s">
        <v>3196</v>
      </c>
      <c r="E567" s="1">
        <v>45553</v>
      </c>
      <c r="F567" t="s">
        <v>29</v>
      </c>
      <c r="G567" t="s">
        <v>27</v>
      </c>
      <c r="H567" t="s">
        <v>28</v>
      </c>
      <c r="I567" t="s">
        <v>2675</v>
      </c>
      <c r="J567" t="s">
        <v>2676</v>
      </c>
      <c r="K567" t="s">
        <v>25</v>
      </c>
      <c r="L567">
        <v>40</v>
      </c>
      <c r="M567">
        <v>5</v>
      </c>
      <c r="N567">
        <v>10</v>
      </c>
      <c r="O567" t="s">
        <v>126</v>
      </c>
      <c r="P567" t="s">
        <v>44</v>
      </c>
      <c r="Q567" t="s">
        <v>117</v>
      </c>
      <c r="R567" t="s">
        <v>62</v>
      </c>
      <c r="S567" t="s">
        <v>30</v>
      </c>
      <c r="T567">
        <v>1</v>
      </c>
      <c r="U567">
        <v>227.91</v>
      </c>
      <c r="V567">
        <v>855.1</v>
      </c>
      <c r="W567">
        <v>3</v>
      </c>
      <c r="X567" t="s">
        <v>45</v>
      </c>
      <c r="Y567">
        <v>2024</v>
      </c>
    </row>
    <row r="568" spans="1:25" x14ac:dyDescent="0.3">
      <c r="A568" t="s">
        <v>1613</v>
      </c>
      <c r="B568" s="1">
        <v>45517</v>
      </c>
      <c r="C568" t="s">
        <v>1614</v>
      </c>
      <c r="D568" t="s">
        <v>3195</v>
      </c>
      <c r="E568" s="1">
        <v>45520</v>
      </c>
      <c r="F568" t="s">
        <v>68</v>
      </c>
      <c r="G568" t="s">
        <v>66</v>
      </c>
      <c r="H568" t="s">
        <v>67</v>
      </c>
      <c r="I568" t="s">
        <v>2672</v>
      </c>
      <c r="J568" t="s">
        <v>2716</v>
      </c>
      <c r="K568" t="s">
        <v>25</v>
      </c>
      <c r="L568">
        <v>18</v>
      </c>
      <c r="M568">
        <v>3</v>
      </c>
      <c r="N568">
        <v>10</v>
      </c>
      <c r="O568" t="s">
        <v>1615</v>
      </c>
      <c r="P568" t="s">
        <v>44</v>
      </c>
      <c r="Q568" t="s">
        <v>58</v>
      </c>
      <c r="R568" t="s">
        <v>62</v>
      </c>
      <c r="S568" t="s">
        <v>69</v>
      </c>
      <c r="T568">
        <v>1</v>
      </c>
      <c r="U568">
        <v>617.21</v>
      </c>
      <c r="V568">
        <v>1166.5899999999999</v>
      </c>
      <c r="W568">
        <v>3</v>
      </c>
      <c r="X568" t="s">
        <v>45</v>
      </c>
      <c r="Y568">
        <v>2024</v>
      </c>
    </row>
    <row r="569" spans="1:25" x14ac:dyDescent="0.3">
      <c r="A569" t="s">
        <v>1616</v>
      </c>
      <c r="B569" s="1">
        <v>45987</v>
      </c>
      <c r="C569" t="s">
        <v>1617</v>
      </c>
      <c r="D569" t="s">
        <v>2757</v>
      </c>
      <c r="E569" s="1">
        <v>45992</v>
      </c>
      <c r="F569" t="s">
        <v>68</v>
      </c>
      <c r="G569" t="s">
        <v>66</v>
      </c>
      <c r="H569" t="s">
        <v>67</v>
      </c>
      <c r="I569" t="s">
        <v>2622</v>
      </c>
      <c r="J569" t="s">
        <v>2704</v>
      </c>
      <c r="K569" t="s">
        <v>52</v>
      </c>
      <c r="L569">
        <v>48</v>
      </c>
      <c r="M569">
        <v>3</v>
      </c>
      <c r="N569">
        <v>30</v>
      </c>
      <c r="O569" t="s">
        <v>1618</v>
      </c>
      <c r="P569" t="s">
        <v>33</v>
      </c>
      <c r="Q569" t="s">
        <v>31</v>
      </c>
      <c r="R569" t="s">
        <v>32</v>
      </c>
      <c r="S569" t="s">
        <v>69</v>
      </c>
      <c r="T569">
        <v>3</v>
      </c>
      <c r="U569">
        <v>841.15</v>
      </c>
      <c r="V569">
        <v>973.73</v>
      </c>
      <c r="W569">
        <v>5</v>
      </c>
      <c r="X569" t="s">
        <v>94</v>
      </c>
      <c r="Y569">
        <v>2025</v>
      </c>
    </row>
    <row r="570" spans="1:25" x14ac:dyDescent="0.3">
      <c r="A570" t="s">
        <v>1619</v>
      </c>
      <c r="B570" s="1">
        <v>45327</v>
      </c>
      <c r="C570" t="s">
        <v>1620</v>
      </c>
      <c r="D570" t="s">
        <v>2756</v>
      </c>
      <c r="E570" s="1">
        <v>45333</v>
      </c>
      <c r="F570" t="s">
        <v>68</v>
      </c>
      <c r="G570" t="s">
        <v>66</v>
      </c>
      <c r="H570" t="s">
        <v>67</v>
      </c>
      <c r="I570" t="s">
        <v>2639</v>
      </c>
      <c r="J570" t="s">
        <v>2687</v>
      </c>
      <c r="K570" t="s">
        <v>25</v>
      </c>
      <c r="L570">
        <v>31</v>
      </c>
      <c r="M570">
        <v>3</v>
      </c>
      <c r="N570">
        <v>30</v>
      </c>
      <c r="O570" t="s">
        <v>479</v>
      </c>
      <c r="P570" t="s">
        <v>44</v>
      </c>
      <c r="Q570" t="s">
        <v>117</v>
      </c>
      <c r="R570" t="s">
        <v>43</v>
      </c>
      <c r="S570" t="s">
        <v>69</v>
      </c>
      <c r="T570">
        <v>2</v>
      </c>
      <c r="U570">
        <v>250.22</v>
      </c>
      <c r="V570">
        <v>344.4</v>
      </c>
      <c r="W570">
        <v>6</v>
      </c>
      <c r="X570" t="s">
        <v>34</v>
      </c>
      <c r="Y570">
        <v>2024</v>
      </c>
    </row>
    <row r="571" spans="1:25" x14ac:dyDescent="0.3">
      <c r="A571" t="s">
        <v>1621</v>
      </c>
      <c r="B571" s="1">
        <v>45440</v>
      </c>
      <c r="C571" t="s">
        <v>1622</v>
      </c>
      <c r="D571" t="s">
        <v>2755</v>
      </c>
      <c r="E571" s="1">
        <v>45446</v>
      </c>
      <c r="F571" t="s">
        <v>100</v>
      </c>
      <c r="G571" t="s">
        <v>98</v>
      </c>
      <c r="H571" t="s">
        <v>99</v>
      </c>
      <c r="I571" t="s">
        <v>2665</v>
      </c>
      <c r="J571" t="s">
        <v>2693</v>
      </c>
      <c r="K571" t="s">
        <v>52</v>
      </c>
      <c r="L571">
        <v>61</v>
      </c>
      <c r="M571">
        <v>4</v>
      </c>
      <c r="N571">
        <v>10</v>
      </c>
      <c r="O571" t="s">
        <v>808</v>
      </c>
      <c r="P571" t="s">
        <v>75</v>
      </c>
      <c r="Q571" t="s">
        <v>58</v>
      </c>
      <c r="R571" t="s">
        <v>43</v>
      </c>
      <c r="S571" t="s">
        <v>101</v>
      </c>
      <c r="T571">
        <v>5</v>
      </c>
      <c r="U571">
        <v>629.61</v>
      </c>
      <c r="V571">
        <v>1257.52</v>
      </c>
      <c r="W571">
        <v>6</v>
      </c>
      <c r="X571" t="s">
        <v>49</v>
      </c>
      <c r="Y571">
        <v>2024</v>
      </c>
    </row>
    <row r="572" spans="1:25" x14ac:dyDescent="0.3">
      <c r="A572" t="s">
        <v>1623</v>
      </c>
      <c r="B572" s="1">
        <v>46152</v>
      </c>
      <c r="C572" t="s">
        <v>1624</v>
      </c>
      <c r="D572" t="s">
        <v>2754</v>
      </c>
      <c r="E572" s="1">
        <v>46159</v>
      </c>
      <c r="F572" t="s">
        <v>128</v>
      </c>
      <c r="G572" t="s">
        <v>98</v>
      </c>
      <c r="H572" t="s">
        <v>127</v>
      </c>
      <c r="I572" t="s">
        <v>2631</v>
      </c>
      <c r="J572" t="s">
        <v>2711</v>
      </c>
      <c r="K572" t="s">
        <v>25</v>
      </c>
      <c r="L572">
        <v>31</v>
      </c>
      <c r="M572">
        <v>3</v>
      </c>
      <c r="N572">
        <v>30</v>
      </c>
      <c r="O572" t="s">
        <v>461</v>
      </c>
      <c r="P572" t="s">
        <v>75</v>
      </c>
      <c r="Q572" t="s">
        <v>58</v>
      </c>
      <c r="R572" t="s">
        <v>32</v>
      </c>
      <c r="S572" t="s">
        <v>129</v>
      </c>
      <c r="T572">
        <v>2</v>
      </c>
      <c r="U572">
        <v>24.56</v>
      </c>
      <c r="V572">
        <v>37.729999999999997</v>
      </c>
      <c r="W572">
        <v>7</v>
      </c>
      <c r="X572" t="s">
        <v>49</v>
      </c>
      <c r="Y572">
        <v>2026</v>
      </c>
    </row>
    <row r="573" spans="1:25" x14ac:dyDescent="0.3">
      <c r="A573" t="s">
        <v>1625</v>
      </c>
      <c r="B573" s="1">
        <v>46165</v>
      </c>
      <c r="C573" t="s">
        <v>1626</v>
      </c>
      <c r="D573" t="s">
        <v>3194</v>
      </c>
      <c r="E573" s="1">
        <v>46168</v>
      </c>
      <c r="F573" t="s">
        <v>128</v>
      </c>
      <c r="G573" t="s">
        <v>98</v>
      </c>
      <c r="H573" t="s">
        <v>127</v>
      </c>
      <c r="I573" t="s">
        <v>2635</v>
      </c>
      <c r="J573" t="s">
        <v>2720</v>
      </c>
      <c r="K573" t="s">
        <v>25</v>
      </c>
      <c r="L573">
        <v>26</v>
      </c>
      <c r="M573">
        <v>1</v>
      </c>
      <c r="N573">
        <v>15</v>
      </c>
      <c r="O573" t="s">
        <v>805</v>
      </c>
      <c r="P573" t="s">
        <v>44</v>
      </c>
      <c r="Q573" t="s">
        <v>117</v>
      </c>
      <c r="R573" t="s">
        <v>62</v>
      </c>
      <c r="S573" t="s">
        <v>129</v>
      </c>
      <c r="T573">
        <v>3</v>
      </c>
      <c r="U573">
        <v>448.08</v>
      </c>
      <c r="V573">
        <v>222.84</v>
      </c>
      <c r="W573">
        <v>3</v>
      </c>
      <c r="X573" t="s">
        <v>49</v>
      </c>
      <c r="Y573">
        <v>2026</v>
      </c>
    </row>
    <row r="574" spans="1:25" x14ac:dyDescent="0.3">
      <c r="A574" t="s">
        <v>1627</v>
      </c>
      <c r="B574" s="1">
        <v>46159</v>
      </c>
      <c r="C574" t="s">
        <v>1628</v>
      </c>
      <c r="D574" t="s">
        <v>3193</v>
      </c>
      <c r="E574" s="1">
        <v>46166</v>
      </c>
      <c r="F574" t="s">
        <v>40</v>
      </c>
      <c r="G574" t="s">
        <v>38</v>
      </c>
      <c r="H574" t="s">
        <v>39</v>
      </c>
      <c r="I574" t="s">
        <v>2631</v>
      </c>
      <c r="J574" t="s">
        <v>2674</v>
      </c>
      <c r="K574" t="s">
        <v>25</v>
      </c>
      <c r="L574">
        <v>22</v>
      </c>
      <c r="M574">
        <v>2</v>
      </c>
      <c r="N574">
        <v>10</v>
      </c>
      <c r="O574" t="s">
        <v>874</v>
      </c>
      <c r="P574" t="s">
        <v>75</v>
      </c>
      <c r="Q574" t="s">
        <v>31</v>
      </c>
      <c r="R574" t="s">
        <v>71</v>
      </c>
      <c r="S574" t="s">
        <v>41</v>
      </c>
      <c r="T574">
        <v>2</v>
      </c>
      <c r="U574">
        <v>753.83</v>
      </c>
      <c r="V574">
        <v>986</v>
      </c>
      <c r="W574">
        <v>7</v>
      </c>
      <c r="X574" t="s">
        <v>49</v>
      </c>
      <c r="Y574">
        <v>2026</v>
      </c>
    </row>
    <row r="575" spans="1:25" x14ac:dyDescent="0.3">
      <c r="A575" t="s">
        <v>1629</v>
      </c>
      <c r="B575" s="1">
        <v>45388</v>
      </c>
      <c r="C575" t="s">
        <v>1630</v>
      </c>
      <c r="D575" t="s">
        <v>3192</v>
      </c>
      <c r="E575" s="1">
        <v>45391</v>
      </c>
      <c r="F575" t="s">
        <v>29</v>
      </c>
      <c r="G575" t="s">
        <v>27</v>
      </c>
      <c r="H575" t="s">
        <v>28</v>
      </c>
      <c r="I575" t="s">
        <v>2665</v>
      </c>
      <c r="J575" t="s">
        <v>2666</v>
      </c>
      <c r="K575" t="s">
        <v>25</v>
      </c>
      <c r="L575">
        <v>44</v>
      </c>
      <c r="M575">
        <v>5</v>
      </c>
      <c r="N575">
        <v>10</v>
      </c>
      <c r="O575" t="s">
        <v>159</v>
      </c>
      <c r="P575" t="s">
        <v>33</v>
      </c>
      <c r="Q575" t="s">
        <v>42</v>
      </c>
      <c r="R575" t="s">
        <v>62</v>
      </c>
      <c r="S575" t="s">
        <v>30</v>
      </c>
      <c r="T575">
        <v>4</v>
      </c>
      <c r="U575">
        <v>525.12</v>
      </c>
      <c r="V575">
        <v>1611.68</v>
      </c>
      <c r="W575">
        <v>3</v>
      </c>
      <c r="X575" t="s">
        <v>49</v>
      </c>
      <c r="Y575">
        <v>2024</v>
      </c>
    </row>
    <row r="576" spans="1:25" x14ac:dyDescent="0.3">
      <c r="A576" t="s">
        <v>1631</v>
      </c>
      <c r="B576" s="1">
        <v>46021</v>
      </c>
      <c r="C576" t="s">
        <v>1632</v>
      </c>
      <c r="D576" t="s">
        <v>3191</v>
      </c>
      <c r="E576" s="1">
        <v>46026</v>
      </c>
      <c r="F576" t="s">
        <v>56</v>
      </c>
      <c r="G576" t="s">
        <v>54</v>
      </c>
      <c r="H576" t="s">
        <v>55</v>
      </c>
      <c r="I576" t="s">
        <v>2623</v>
      </c>
      <c r="J576" t="s">
        <v>2624</v>
      </c>
      <c r="K576" t="s">
        <v>52</v>
      </c>
      <c r="L576">
        <v>36</v>
      </c>
      <c r="M576">
        <v>4</v>
      </c>
      <c r="N576">
        <v>10</v>
      </c>
      <c r="O576" t="s">
        <v>1552</v>
      </c>
      <c r="P576" t="s">
        <v>44</v>
      </c>
      <c r="Q576" t="s">
        <v>70</v>
      </c>
      <c r="R576" t="s">
        <v>62</v>
      </c>
      <c r="S576" t="s">
        <v>57</v>
      </c>
      <c r="T576">
        <v>2</v>
      </c>
      <c r="U576">
        <v>969.52</v>
      </c>
      <c r="V576">
        <v>2845.41</v>
      </c>
      <c r="W576">
        <v>5</v>
      </c>
      <c r="X576" t="s">
        <v>94</v>
      </c>
      <c r="Y576">
        <v>2025</v>
      </c>
    </row>
    <row r="577" spans="1:25" x14ac:dyDescent="0.3">
      <c r="A577" t="s">
        <v>1633</v>
      </c>
      <c r="B577" s="1">
        <v>45917</v>
      </c>
      <c r="C577" t="s">
        <v>1634</v>
      </c>
      <c r="D577" t="s">
        <v>3190</v>
      </c>
      <c r="E577" s="1">
        <v>45919</v>
      </c>
      <c r="F577" t="s">
        <v>56</v>
      </c>
      <c r="G577" t="s">
        <v>54</v>
      </c>
      <c r="H577" t="s">
        <v>55</v>
      </c>
      <c r="I577" t="s">
        <v>2672</v>
      </c>
      <c r="J577" t="s">
        <v>2673</v>
      </c>
      <c r="K577" t="s">
        <v>52</v>
      </c>
      <c r="L577">
        <v>61</v>
      </c>
      <c r="M577">
        <v>2</v>
      </c>
      <c r="N577">
        <v>20</v>
      </c>
      <c r="O577" t="s">
        <v>84</v>
      </c>
      <c r="P577" t="s">
        <v>33</v>
      </c>
      <c r="Q577" t="s">
        <v>70</v>
      </c>
      <c r="R577" t="s">
        <v>32</v>
      </c>
      <c r="S577" t="s">
        <v>57</v>
      </c>
      <c r="T577">
        <v>2</v>
      </c>
      <c r="U577">
        <v>564.74</v>
      </c>
      <c r="V577">
        <v>574.62</v>
      </c>
      <c r="W577">
        <v>2</v>
      </c>
      <c r="X577" t="s">
        <v>45</v>
      </c>
      <c r="Y577">
        <v>2025</v>
      </c>
    </row>
    <row r="578" spans="1:25" x14ac:dyDescent="0.3">
      <c r="A578" t="s">
        <v>1635</v>
      </c>
      <c r="B578" s="1">
        <v>45365</v>
      </c>
      <c r="C578" t="s">
        <v>1636</v>
      </c>
      <c r="D578" t="s">
        <v>3189</v>
      </c>
      <c r="E578" s="1">
        <v>45369</v>
      </c>
      <c r="F578" t="s">
        <v>122</v>
      </c>
      <c r="G578" t="s">
        <v>120</v>
      </c>
      <c r="H578" t="s">
        <v>121</v>
      </c>
      <c r="I578" t="s">
        <v>2652</v>
      </c>
      <c r="J578" t="s">
        <v>2653</v>
      </c>
      <c r="K578" t="s">
        <v>52</v>
      </c>
      <c r="L578">
        <v>61</v>
      </c>
      <c r="M578">
        <v>5</v>
      </c>
      <c r="N578">
        <v>0</v>
      </c>
      <c r="O578" t="s">
        <v>1637</v>
      </c>
      <c r="P578" t="s">
        <v>44</v>
      </c>
      <c r="Q578" t="s">
        <v>58</v>
      </c>
      <c r="R578" t="s">
        <v>71</v>
      </c>
      <c r="S578" t="s">
        <v>123</v>
      </c>
      <c r="T578">
        <v>5</v>
      </c>
      <c r="U578">
        <v>243.58</v>
      </c>
      <c r="V578">
        <v>615.91</v>
      </c>
      <c r="W578">
        <v>4</v>
      </c>
      <c r="X578" t="s">
        <v>34</v>
      </c>
      <c r="Y578">
        <v>2024</v>
      </c>
    </row>
    <row r="579" spans="1:25" x14ac:dyDescent="0.3">
      <c r="A579" t="s">
        <v>1638</v>
      </c>
      <c r="B579" s="1">
        <v>45668</v>
      </c>
      <c r="C579" t="s">
        <v>1639</v>
      </c>
      <c r="D579" t="s">
        <v>3188</v>
      </c>
      <c r="E579" s="1">
        <v>45669</v>
      </c>
      <c r="F579" t="s">
        <v>56</v>
      </c>
      <c r="G579" t="s">
        <v>54</v>
      </c>
      <c r="H579" t="s">
        <v>55</v>
      </c>
      <c r="I579" t="s">
        <v>2623</v>
      </c>
      <c r="J579" t="s">
        <v>2624</v>
      </c>
      <c r="K579" t="s">
        <v>52</v>
      </c>
      <c r="L579">
        <v>54</v>
      </c>
      <c r="M579">
        <v>5</v>
      </c>
      <c r="N579">
        <v>15</v>
      </c>
      <c r="O579" t="s">
        <v>1618</v>
      </c>
      <c r="P579" t="s">
        <v>75</v>
      </c>
      <c r="Q579" t="s">
        <v>42</v>
      </c>
      <c r="R579" t="s">
        <v>62</v>
      </c>
      <c r="S579" t="s">
        <v>57</v>
      </c>
      <c r="T579">
        <v>5</v>
      </c>
      <c r="U579">
        <v>186.64</v>
      </c>
      <c r="V579">
        <v>536.35</v>
      </c>
      <c r="W579">
        <v>1</v>
      </c>
      <c r="X579" t="s">
        <v>34</v>
      </c>
      <c r="Y579">
        <v>2025</v>
      </c>
    </row>
    <row r="580" spans="1:25" x14ac:dyDescent="0.3">
      <c r="A580" t="s">
        <v>1640</v>
      </c>
      <c r="B580" s="1">
        <v>45842</v>
      </c>
      <c r="C580" t="s">
        <v>1641</v>
      </c>
      <c r="D580" t="s">
        <v>3187</v>
      </c>
      <c r="E580" s="1">
        <v>45847</v>
      </c>
      <c r="F580" t="s">
        <v>68</v>
      </c>
      <c r="G580" t="s">
        <v>66</v>
      </c>
      <c r="H580" t="s">
        <v>67</v>
      </c>
      <c r="I580" t="s">
        <v>2634</v>
      </c>
      <c r="J580" t="s">
        <v>2644</v>
      </c>
      <c r="K580" t="s">
        <v>25</v>
      </c>
      <c r="L580">
        <v>45</v>
      </c>
      <c r="M580">
        <v>1</v>
      </c>
      <c r="N580">
        <v>25</v>
      </c>
      <c r="O580" t="s">
        <v>1642</v>
      </c>
      <c r="P580" t="s">
        <v>75</v>
      </c>
      <c r="Q580" t="s">
        <v>117</v>
      </c>
      <c r="R580" t="s">
        <v>62</v>
      </c>
      <c r="S580" t="s">
        <v>69</v>
      </c>
      <c r="T580">
        <v>3</v>
      </c>
      <c r="U580">
        <v>789.3</v>
      </c>
      <c r="V580">
        <v>296.94</v>
      </c>
      <c r="W580">
        <v>5</v>
      </c>
      <c r="X580" t="s">
        <v>45</v>
      </c>
      <c r="Y580">
        <v>2025</v>
      </c>
    </row>
    <row r="581" spans="1:25" x14ac:dyDescent="0.3">
      <c r="A581" t="s">
        <v>1643</v>
      </c>
      <c r="B581" s="1">
        <v>45942</v>
      </c>
      <c r="C581" t="s">
        <v>1644</v>
      </c>
      <c r="D581" t="s">
        <v>3186</v>
      </c>
      <c r="E581" s="1">
        <v>45944</v>
      </c>
      <c r="F581" t="s">
        <v>68</v>
      </c>
      <c r="G581" t="s">
        <v>66</v>
      </c>
      <c r="H581" t="s">
        <v>67</v>
      </c>
      <c r="I581" t="s">
        <v>2634</v>
      </c>
      <c r="J581" t="s">
        <v>2644</v>
      </c>
      <c r="K581" t="s">
        <v>25</v>
      </c>
      <c r="L581">
        <v>38</v>
      </c>
      <c r="M581">
        <v>2</v>
      </c>
      <c r="N581">
        <v>20</v>
      </c>
      <c r="O581" t="s">
        <v>1645</v>
      </c>
      <c r="P581" t="s">
        <v>75</v>
      </c>
      <c r="Q581" t="s">
        <v>70</v>
      </c>
      <c r="R581" t="s">
        <v>32</v>
      </c>
      <c r="S581" t="s">
        <v>69</v>
      </c>
      <c r="T581">
        <v>3</v>
      </c>
      <c r="U581">
        <v>787.46</v>
      </c>
      <c r="V581">
        <v>821.56</v>
      </c>
      <c r="W581">
        <v>2</v>
      </c>
      <c r="X581" t="s">
        <v>94</v>
      </c>
      <c r="Y581">
        <v>2025</v>
      </c>
    </row>
    <row r="582" spans="1:25" x14ac:dyDescent="0.3">
      <c r="A582" t="s">
        <v>1646</v>
      </c>
      <c r="B582" s="1">
        <v>45905</v>
      </c>
      <c r="C582" t="s">
        <v>1647</v>
      </c>
      <c r="D582" t="s">
        <v>3185</v>
      </c>
      <c r="E582" s="1">
        <v>45910</v>
      </c>
      <c r="F582" t="s">
        <v>122</v>
      </c>
      <c r="G582" t="s">
        <v>120</v>
      </c>
      <c r="H582" t="s">
        <v>121</v>
      </c>
      <c r="I582" t="s">
        <v>2652</v>
      </c>
      <c r="J582" t="s">
        <v>2688</v>
      </c>
      <c r="K582" t="s">
        <v>52</v>
      </c>
      <c r="L582">
        <v>38</v>
      </c>
      <c r="M582">
        <v>5</v>
      </c>
      <c r="N582">
        <v>0</v>
      </c>
      <c r="O582" t="s">
        <v>379</v>
      </c>
      <c r="P582" t="s">
        <v>44</v>
      </c>
      <c r="Q582" t="s">
        <v>70</v>
      </c>
      <c r="R582" t="s">
        <v>32</v>
      </c>
      <c r="S582" t="s">
        <v>123</v>
      </c>
      <c r="T582">
        <v>5</v>
      </c>
      <c r="U582">
        <v>778.07</v>
      </c>
      <c r="V582">
        <v>2763.08</v>
      </c>
      <c r="W582">
        <v>5</v>
      </c>
      <c r="X582" t="s">
        <v>45</v>
      </c>
      <c r="Y582">
        <v>2025</v>
      </c>
    </row>
    <row r="583" spans="1:25" x14ac:dyDescent="0.3">
      <c r="A583" t="s">
        <v>1648</v>
      </c>
      <c r="B583" s="1">
        <v>45577</v>
      </c>
      <c r="C583" t="s">
        <v>1649</v>
      </c>
      <c r="D583" t="s">
        <v>3184</v>
      </c>
      <c r="E583" s="1">
        <v>45583</v>
      </c>
      <c r="F583" t="s">
        <v>29</v>
      </c>
      <c r="G583" t="s">
        <v>27</v>
      </c>
      <c r="H583" t="s">
        <v>28</v>
      </c>
      <c r="I583" t="s">
        <v>2623</v>
      </c>
      <c r="J583" t="s">
        <v>2624</v>
      </c>
      <c r="K583" t="s">
        <v>52</v>
      </c>
      <c r="L583">
        <v>31</v>
      </c>
      <c r="M583">
        <v>3</v>
      </c>
      <c r="N583">
        <v>10</v>
      </c>
      <c r="O583" t="s">
        <v>255</v>
      </c>
      <c r="P583" t="s">
        <v>44</v>
      </c>
      <c r="Q583" t="s">
        <v>70</v>
      </c>
      <c r="R583" t="s">
        <v>62</v>
      </c>
      <c r="S583" t="s">
        <v>30</v>
      </c>
      <c r="T583">
        <v>1</v>
      </c>
      <c r="U583">
        <v>756.45</v>
      </c>
      <c r="V583">
        <v>1107.75</v>
      </c>
      <c r="W583">
        <v>6</v>
      </c>
      <c r="X583" t="s">
        <v>94</v>
      </c>
      <c r="Y583">
        <v>2024</v>
      </c>
    </row>
    <row r="584" spans="1:25" x14ac:dyDescent="0.3">
      <c r="A584" t="s">
        <v>1650</v>
      </c>
      <c r="B584" s="1">
        <v>46162</v>
      </c>
      <c r="C584" t="s">
        <v>1651</v>
      </c>
      <c r="D584" t="s">
        <v>3183</v>
      </c>
      <c r="E584" s="1">
        <v>46163</v>
      </c>
      <c r="F584" t="s">
        <v>140</v>
      </c>
      <c r="G584" t="s">
        <v>38</v>
      </c>
      <c r="H584" t="s">
        <v>139</v>
      </c>
      <c r="I584" t="s">
        <v>2668</v>
      </c>
      <c r="J584" t="s">
        <v>2669</v>
      </c>
      <c r="K584" t="s">
        <v>52</v>
      </c>
      <c r="L584">
        <v>43</v>
      </c>
      <c r="M584">
        <v>2</v>
      </c>
      <c r="N584">
        <v>25</v>
      </c>
      <c r="O584" t="s">
        <v>969</v>
      </c>
      <c r="P584" t="s">
        <v>33</v>
      </c>
      <c r="Q584" t="s">
        <v>70</v>
      </c>
      <c r="R584" t="s">
        <v>62</v>
      </c>
      <c r="S584" t="s">
        <v>141</v>
      </c>
      <c r="T584">
        <v>3</v>
      </c>
      <c r="U584">
        <v>448.24</v>
      </c>
      <c r="V584">
        <v>446.96</v>
      </c>
      <c r="W584">
        <v>1</v>
      </c>
      <c r="X584" t="s">
        <v>49</v>
      </c>
      <c r="Y584">
        <v>2026</v>
      </c>
    </row>
    <row r="585" spans="1:25" x14ac:dyDescent="0.3">
      <c r="A585" t="s">
        <v>1652</v>
      </c>
      <c r="B585" s="1">
        <v>46026</v>
      </c>
      <c r="C585" t="s">
        <v>1653</v>
      </c>
      <c r="D585" t="s">
        <v>3182</v>
      </c>
      <c r="E585" s="1">
        <v>46030</v>
      </c>
      <c r="F585" t="s">
        <v>29</v>
      </c>
      <c r="G585" t="s">
        <v>27</v>
      </c>
      <c r="H585" t="s">
        <v>28</v>
      </c>
      <c r="I585" t="s">
        <v>2635</v>
      </c>
      <c r="J585" t="s">
        <v>2643</v>
      </c>
      <c r="K585" t="s">
        <v>52</v>
      </c>
      <c r="L585">
        <v>24</v>
      </c>
      <c r="M585">
        <v>2</v>
      </c>
      <c r="N585">
        <v>15</v>
      </c>
      <c r="O585" t="s">
        <v>1654</v>
      </c>
      <c r="P585" t="s">
        <v>44</v>
      </c>
      <c r="Q585" t="s">
        <v>42</v>
      </c>
      <c r="R585" t="s">
        <v>32</v>
      </c>
      <c r="S585" t="s">
        <v>30</v>
      </c>
      <c r="T585">
        <v>1</v>
      </c>
      <c r="U585">
        <v>833.32</v>
      </c>
      <c r="V585">
        <v>954.68</v>
      </c>
      <c r="W585">
        <v>4</v>
      </c>
      <c r="X585" t="s">
        <v>34</v>
      </c>
      <c r="Y585">
        <v>2026</v>
      </c>
    </row>
    <row r="586" spans="1:25" x14ac:dyDescent="0.3">
      <c r="A586" t="s">
        <v>1655</v>
      </c>
      <c r="B586" s="1">
        <v>46189</v>
      </c>
      <c r="C586" t="s">
        <v>1656</v>
      </c>
      <c r="D586" t="s">
        <v>3181</v>
      </c>
      <c r="E586" s="1">
        <v>46190</v>
      </c>
      <c r="F586" t="s">
        <v>56</v>
      </c>
      <c r="G586" t="s">
        <v>54</v>
      </c>
      <c r="H586" t="s">
        <v>55</v>
      </c>
      <c r="I586" t="s">
        <v>2663</v>
      </c>
      <c r="J586" t="s">
        <v>2670</v>
      </c>
      <c r="K586" t="s">
        <v>25</v>
      </c>
      <c r="L586">
        <v>45</v>
      </c>
      <c r="M586">
        <v>3</v>
      </c>
      <c r="N586">
        <v>20</v>
      </c>
      <c r="O586" t="s">
        <v>264</v>
      </c>
      <c r="P586" t="s">
        <v>33</v>
      </c>
      <c r="Q586" t="s">
        <v>42</v>
      </c>
      <c r="R586" t="s">
        <v>32</v>
      </c>
      <c r="S586" t="s">
        <v>57</v>
      </c>
      <c r="T586">
        <v>3</v>
      </c>
      <c r="U586">
        <v>293.18</v>
      </c>
      <c r="V586">
        <v>490.96</v>
      </c>
      <c r="W586">
        <v>1</v>
      </c>
      <c r="X586" t="s">
        <v>49</v>
      </c>
      <c r="Y586">
        <v>2026</v>
      </c>
    </row>
    <row r="587" spans="1:25" x14ac:dyDescent="0.3">
      <c r="A587" t="s">
        <v>1657</v>
      </c>
      <c r="B587" s="1">
        <v>45480</v>
      </c>
      <c r="C587" t="s">
        <v>1658</v>
      </c>
      <c r="D587" t="s">
        <v>3180</v>
      </c>
      <c r="E587" s="1">
        <v>45483</v>
      </c>
      <c r="F587" t="s">
        <v>122</v>
      </c>
      <c r="G587" t="s">
        <v>120</v>
      </c>
      <c r="H587" t="s">
        <v>121</v>
      </c>
      <c r="I587" t="s">
        <v>2668</v>
      </c>
      <c r="J587" t="s">
        <v>2669</v>
      </c>
      <c r="K587" t="s">
        <v>25</v>
      </c>
      <c r="L587">
        <v>56</v>
      </c>
      <c r="M587">
        <v>3</v>
      </c>
      <c r="N587">
        <v>25</v>
      </c>
      <c r="O587" t="s">
        <v>1380</v>
      </c>
      <c r="P587" t="s">
        <v>44</v>
      </c>
      <c r="Q587" t="s">
        <v>42</v>
      </c>
      <c r="R587" t="s">
        <v>32</v>
      </c>
      <c r="S587" t="s">
        <v>123</v>
      </c>
      <c r="T587">
        <v>3</v>
      </c>
      <c r="U587">
        <v>630.54999999999995</v>
      </c>
      <c r="V587">
        <v>732.86</v>
      </c>
      <c r="W587">
        <v>3</v>
      </c>
      <c r="X587" t="s">
        <v>45</v>
      </c>
      <c r="Y587">
        <v>2024</v>
      </c>
    </row>
    <row r="588" spans="1:25" x14ac:dyDescent="0.3">
      <c r="A588" t="s">
        <v>1659</v>
      </c>
      <c r="B588" s="1">
        <v>45966</v>
      </c>
      <c r="C588" t="s">
        <v>1660</v>
      </c>
      <c r="D588" t="s">
        <v>3179</v>
      </c>
      <c r="E588" s="1">
        <v>45970</v>
      </c>
      <c r="F588" t="s">
        <v>128</v>
      </c>
      <c r="G588" t="s">
        <v>98</v>
      </c>
      <c r="H588" t="s">
        <v>127</v>
      </c>
      <c r="I588" t="s">
        <v>2623</v>
      </c>
      <c r="J588" t="s">
        <v>2696</v>
      </c>
      <c r="K588" t="s">
        <v>25</v>
      </c>
      <c r="L588">
        <v>49</v>
      </c>
      <c r="M588">
        <v>2</v>
      </c>
      <c r="N588">
        <v>5</v>
      </c>
      <c r="O588" t="s">
        <v>1661</v>
      </c>
      <c r="P588" t="s">
        <v>33</v>
      </c>
      <c r="Q588" t="s">
        <v>31</v>
      </c>
      <c r="R588" t="s">
        <v>32</v>
      </c>
      <c r="S588" t="s">
        <v>129</v>
      </c>
      <c r="T588">
        <v>2</v>
      </c>
      <c r="U588">
        <v>780.91</v>
      </c>
      <c r="V588">
        <v>816.54</v>
      </c>
      <c r="W588">
        <v>4</v>
      </c>
      <c r="X588" t="s">
        <v>94</v>
      </c>
      <c r="Y588">
        <v>2025</v>
      </c>
    </row>
    <row r="589" spans="1:25" x14ac:dyDescent="0.3">
      <c r="A589" t="s">
        <v>1662</v>
      </c>
      <c r="B589" s="1">
        <v>45643</v>
      </c>
      <c r="C589" t="s">
        <v>373</v>
      </c>
      <c r="D589" t="s">
        <v>3178</v>
      </c>
      <c r="E589" s="1">
        <v>45646</v>
      </c>
      <c r="F589" t="s">
        <v>100</v>
      </c>
      <c r="G589" t="s">
        <v>98</v>
      </c>
      <c r="H589" t="s">
        <v>99</v>
      </c>
      <c r="I589" t="s">
        <v>2631</v>
      </c>
      <c r="J589" t="s">
        <v>2674</v>
      </c>
      <c r="K589" t="s">
        <v>52</v>
      </c>
      <c r="L589">
        <v>24</v>
      </c>
      <c r="M589">
        <v>2</v>
      </c>
      <c r="N589">
        <v>15</v>
      </c>
      <c r="O589" t="s">
        <v>1663</v>
      </c>
      <c r="P589" t="s">
        <v>75</v>
      </c>
      <c r="Q589" t="s">
        <v>70</v>
      </c>
      <c r="R589" t="s">
        <v>71</v>
      </c>
      <c r="S589" t="s">
        <v>101</v>
      </c>
      <c r="T589">
        <v>3</v>
      </c>
      <c r="U589">
        <v>841.7</v>
      </c>
      <c r="V589">
        <v>1002.74</v>
      </c>
      <c r="W589">
        <v>3</v>
      </c>
      <c r="X589" t="s">
        <v>94</v>
      </c>
      <c r="Y589">
        <v>2024</v>
      </c>
    </row>
    <row r="590" spans="1:25" x14ac:dyDescent="0.3">
      <c r="A590" t="s">
        <v>1664</v>
      </c>
      <c r="B590" s="1">
        <v>45918</v>
      </c>
      <c r="C590" t="s">
        <v>1665</v>
      </c>
      <c r="D590" t="s">
        <v>3177</v>
      </c>
      <c r="E590" s="1">
        <v>45924</v>
      </c>
      <c r="F590" t="s">
        <v>29</v>
      </c>
      <c r="G590" t="s">
        <v>27</v>
      </c>
      <c r="H590" t="s">
        <v>28</v>
      </c>
      <c r="I590" t="s">
        <v>2629</v>
      </c>
      <c r="J590" t="s">
        <v>2697</v>
      </c>
      <c r="K590" t="s">
        <v>52</v>
      </c>
      <c r="L590">
        <v>41</v>
      </c>
      <c r="M590">
        <v>3</v>
      </c>
      <c r="N590">
        <v>0</v>
      </c>
      <c r="O590" t="s">
        <v>1666</v>
      </c>
      <c r="P590" t="s">
        <v>44</v>
      </c>
      <c r="Q590" t="s">
        <v>58</v>
      </c>
      <c r="R590" t="s">
        <v>71</v>
      </c>
      <c r="S590" t="s">
        <v>30</v>
      </c>
      <c r="T590">
        <v>1</v>
      </c>
      <c r="U590">
        <v>552.12</v>
      </c>
      <c r="V590">
        <v>1129.24</v>
      </c>
      <c r="W590">
        <v>6</v>
      </c>
      <c r="X590" t="s">
        <v>45</v>
      </c>
      <c r="Y590">
        <v>2025</v>
      </c>
    </row>
    <row r="591" spans="1:25" x14ac:dyDescent="0.3">
      <c r="A591" t="s">
        <v>1667</v>
      </c>
      <c r="B591" s="1">
        <v>45476</v>
      </c>
      <c r="C591" t="s">
        <v>1668</v>
      </c>
      <c r="D591" t="s">
        <v>3176</v>
      </c>
      <c r="E591" s="1">
        <v>45483</v>
      </c>
      <c r="F591" t="s">
        <v>29</v>
      </c>
      <c r="G591" t="s">
        <v>27</v>
      </c>
      <c r="H591" t="s">
        <v>28</v>
      </c>
      <c r="I591" t="s">
        <v>2635</v>
      </c>
      <c r="J591" t="s">
        <v>2643</v>
      </c>
      <c r="K591" t="s">
        <v>52</v>
      </c>
      <c r="L591">
        <v>50</v>
      </c>
      <c r="M591">
        <v>5</v>
      </c>
      <c r="N591">
        <v>15</v>
      </c>
      <c r="O591" t="s">
        <v>1669</v>
      </c>
      <c r="P591" t="s">
        <v>33</v>
      </c>
      <c r="Q591" t="s">
        <v>42</v>
      </c>
      <c r="R591" t="s">
        <v>71</v>
      </c>
      <c r="S591" t="s">
        <v>30</v>
      </c>
      <c r="T591">
        <v>2</v>
      </c>
      <c r="U591">
        <v>43.12</v>
      </c>
      <c r="V591">
        <v>112.26</v>
      </c>
      <c r="W591">
        <v>7</v>
      </c>
      <c r="X591" t="s">
        <v>45</v>
      </c>
      <c r="Y591">
        <v>2024</v>
      </c>
    </row>
    <row r="592" spans="1:25" x14ac:dyDescent="0.3">
      <c r="A592" t="s">
        <v>1670</v>
      </c>
      <c r="B592" s="1">
        <v>45811</v>
      </c>
      <c r="C592" t="s">
        <v>1671</v>
      </c>
      <c r="D592" t="s">
        <v>3175</v>
      </c>
      <c r="E592" s="1">
        <v>45812</v>
      </c>
      <c r="F592" t="s">
        <v>68</v>
      </c>
      <c r="G592" t="s">
        <v>66</v>
      </c>
      <c r="H592" t="s">
        <v>67</v>
      </c>
      <c r="I592" t="s">
        <v>2672</v>
      </c>
      <c r="J592" t="s">
        <v>2690</v>
      </c>
      <c r="K592" t="s">
        <v>25</v>
      </c>
      <c r="L592">
        <v>59</v>
      </c>
      <c r="M592">
        <v>2</v>
      </c>
      <c r="N592">
        <v>30</v>
      </c>
      <c r="O592" t="s">
        <v>1672</v>
      </c>
      <c r="P592" t="s">
        <v>33</v>
      </c>
      <c r="Q592" t="s">
        <v>42</v>
      </c>
      <c r="R592" t="s">
        <v>32</v>
      </c>
      <c r="S592" t="s">
        <v>69</v>
      </c>
      <c r="T592">
        <v>5</v>
      </c>
      <c r="U592">
        <v>905.54</v>
      </c>
      <c r="V592">
        <v>1046.71</v>
      </c>
      <c r="W592">
        <v>1</v>
      </c>
      <c r="X592" t="s">
        <v>49</v>
      </c>
      <c r="Y592">
        <v>2025</v>
      </c>
    </row>
    <row r="593" spans="1:25" x14ac:dyDescent="0.3">
      <c r="A593" t="s">
        <v>1673</v>
      </c>
      <c r="B593" s="1">
        <v>45515</v>
      </c>
      <c r="C593" t="s">
        <v>1674</v>
      </c>
      <c r="D593" t="s">
        <v>3174</v>
      </c>
      <c r="E593" s="1">
        <v>45519</v>
      </c>
      <c r="F593" t="s">
        <v>29</v>
      </c>
      <c r="G593" t="s">
        <v>27</v>
      </c>
      <c r="H593" t="s">
        <v>28</v>
      </c>
      <c r="I593" t="s">
        <v>2629</v>
      </c>
      <c r="J593" t="s">
        <v>2697</v>
      </c>
      <c r="K593" t="s">
        <v>25</v>
      </c>
      <c r="L593">
        <v>61</v>
      </c>
      <c r="M593">
        <v>3</v>
      </c>
      <c r="N593">
        <v>10</v>
      </c>
      <c r="O593" t="s">
        <v>1675</v>
      </c>
      <c r="P593" t="s">
        <v>33</v>
      </c>
      <c r="Q593" t="s">
        <v>70</v>
      </c>
      <c r="R593" t="s">
        <v>71</v>
      </c>
      <c r="S593" t="s">
        <v>30</v>
      </c>
      <c r="T593">
        <v>4</v>
      </c>
      <c r="U593">
        <v>117.31</v>
      </c>
      <c r="V593">
        <v>167.8</v>
      </c>
      <c r="W593">
        <v>4</v>
      </c>
      <c r="X593" t="s">
        <v>45</v>
      </c>
      <c r="Y593">
        <v>2024</v>
      </c>
    </row>
    <row r="594" spans="1:25" x14ac:dyDescent="0.3">
      <c r="A594" t="s">
        <v>1676</v>
      </c>
      <c r="B594" s="1">
        <v>45546</v>
      </c>
      <c r="C594" t="s">
        <v>1677</v>
      </c>
      <c r="D594" t="s">
        <v>3173</v>
      </c>
      <c r="E594" s="1">
        <v>45553</v>
      </c>
      <c r="F594" t="s">
        <v>115</v>
      </c>
      <c r="G594" t="s">
        <v>66</v>
      </c>
      <c r="H594" t="s">
        <v>114</v>
      </c>
      <c r="I594" t="s">
        <v>2625</v>
      </c>
      <c r="J594" t="s">
        <v>2703</v>
      </c>
      <c r="K594" t="s">
        <v>52</v>
      </c>
      <c r="L594">
        <v>20</v>
      </c>
      <c r="M594">
        <v>4</v>
      </c>
      <c r="N594">
        <v>25</v>
      </c>
      <c r="O594" t="s">
        <v>1029</v>
      </c>
      <c r="P594" t="s">
        <v>33</v>
      </c>
      <c r="Q594" t="s">
        <v>58</v>
      </c>
      <c r="R594" t="s">
        <v>62</v>
      </c>
      <c r="S594" t="s">
        <v>116</v>
      </c>
      <c r="T594">
        <v>3</v>
      </c>
      <c r="U594">
        <v>282.45999999999998</v>
      </c>
      <c r="V594">
        <v>504.34</v>
      </c>
      <c r="W594">
        <v>7</v>
      </c>
      <c r="X594" t="s">
        <v>45</v>
      </c>
      <c r="Y594">
        <v>2024</v>
      </c>
    </row>
    <row r="595" spans="1:25" x14ac:dyDescent="0.3">
      <c r="A595" t="s">
        <v>1678</v>
      </c>
      <c r="B595" s="1">
        <v>45689</v>
      </c>
      <c r="C595" t="s">
        <v>1679</v>
      </c>
      <c r="D595" t="s">
        <v>3172</v>
      </c>
      <c r="E595" s="1">
        <v>45692</v>
      </c>
      <c r="F595" t="s">
        <v>40</v>
      </c>
      <c r="G595" t="s">
        <v>38</v>
      </c>
      <c r="H595" t="s">
        <v>39</v>
      </c>
      <c r="I595" t="s">
        <v>2659</v>
      </c>
      <c r="J595" t="s">
        <v>2681</v>
      </c>
      <c r="K595" t="s">
        <v>25</v>
      </c>
      <c r="L595">
        <v>54</v>
      </c>
      <c r="M595">
        <v>4</v>
      </c>
      <c r="N595">
        <v>5</v>
      </c>
      <c r="O595" t="s">
        <v>1149</v>
      </c>
      <c r="P595" t="s">
        <v>75</v>
      </c>
      <c r="Q595" t="s">
        <v>70</v>
      </c>
      <c r="R595" t="s">
        <v>32</v>
      </c>
      <c r="S595" t="s">
        <v>41</v>
      </c>
      <c r="T595">
        <v>5</v>
      </c>
      <c r="U595">
        <v>482.27</v>
      </c>
      <c r="V595">
        <v>1139.19</v>
      </c>
      <c r="W595">
        <v>3</v>
      </c>
      <c r="X595" t="s">
        <v>34</v>
      </c>
      <c r="Y595">
        <v>2025</v>
      </c>
    </row>
    <row r="596" spans="1:25" x14ac:dyDescent="0.3">
      <c r="A596" t="s">
        <v>1680</v>
      </c>
      <c r="B596" s="1">
        <v>46081</v>
      </c>
      <c r="C596" t="s">
        <v>1241</v>
      </c>
      <c r="D596" t="s">
        <v>2753</v>
      </c>
      <c r="E596" s="1">
        <v>46088</v>
      </c>
      <c r="F596" t="s">
        <v>122</v>
      </c>
      <c r="G596" t="s">
        <v>120</v>
      </c>
      <c r="H596" t="s">
        <v>121</v>
      </c>
      <c r="I596" t="s">
        <v>2652</v>
      </c>
      <c r="J596" t="s">
        <v>2653</v>
      </c>
      <c r="K596" t="s">
        <v>25</v>
      </c>
      <c r="L596">
        <v>41</v>
      </c>
      <c r="M596">
        <v>5</v>
      </c>
      <c r="N596">
        <v>10</v>
      </c>
      <c r="O596" t="s">
        <v>1681</v>
      </c>
      <c r="P596" t="s">
        <v>44</v>
      </c>
      <c r="Q596" t="s">
        <v>31</v>
      </c>
      <c r="R596" t="s">
        <v>32</v>
      </c>
      <c r="S596" t="s">
        <v>123</v>
      </c>
      <c r="T596">
        <v>5</v>
      </c>
      <c r="U596">
        <v>465.3</v>
      </c>
      <c r="V596">
        <v>1189.6600000000001</v>
      </c>
      <c r="W596">
        <v>7</v>
      </c>
      <c r="X596" t="s">
        <v>34</v>
      </c>
      <c r="Y596">
        <v>2026</v>
      </c>
    </row>
    <row r="597" spans="1:25" x14ac:dyDescent="0.3">
      <c r="A597" t="s">
        <v>1682</v>
      </c>
      <c r="B597" s="1">
        <v>45983</v>
      </c>
      <c r="C597" t="s">
        <v>1683</v>
      </c>
      <c r="D597" t="s">
        <v>3171</v>
      </c>
      <c r="E597" s="1">
        <v>45985</v>
      </c>
      <c r="F597" t="s">
        <v>56</v>
      </c>
      <c r="G597" t="s">
        <v>54</v>
      </c>
      <c r="H597" t="s">
        <v>55</v>
      </c>
      <c r="I597" t="s">
        <v>2631</v>
      </c>
      <c r="J597" t="s">
        <v>2711</v>
      </c>
      <c r="K597" t="s">
        <v>52</v>
      </c>
      <c r="L597">
        <v>25</v>
      </c>
      <c r="M597">
        <v>5</v>
      </c>
      <c r="N597">
        <v>0</v>
      </c>
      <c r="O597" t="s">
        <v>1684</v>
      </c>
      <c r="P597" t="s">
        <v>75</v>
      </c>
      <c r="Q597" t="s">
        <v>70</v>
      </c>
      <c r="R597" t="s">
        <v>62</v>
      </c>
      <c r="S597" t="s">
        <v>57</v>
      </c>
      <c r="T597">
        <v>4</v>
      </c>
      <c r="U597">
        <v>136.41999999999999</v>
      </c>
      <c r="V597">
        <v>355.19</v>
      </c>
      <c r="W597">
        <v>2</v>
      </c>
      <c r="X597" t="s">
        <v>94</v>
      </c>
      <c r="Y597">
        <v>2025</v>
      </c>
    </row>
    <row r="598" spans="1:25" x14ac:dyDescent="0.3">
      <c r="A598" t="s">
        <v>1685</v>
      </c>
      <c r="B598" s="1">
        <v>46167</v>
      </c>
      <c r="C598" t="s">
        <v>1686</v>
      </c>
      <c r="D598" t="s">
        <v>3170</v>
      </c>
      <c r="E598" s="1">
        <v>46169</v>
      </c>
      <c r="F598" t="s">
        <v>122</v>
      </c>
      <c r="G598" t="s">
        <v>120</v>
      </c>
      <c r="H598" t="s">
        <v>121</v>
      </c>
      <c r="I598" t="s">
        <v>2654</v>
      </c>
      <c r="J598" t="s">
        <v>2684</v>
      </c>
      <c r="K598" t="s">
        <v>52</v>
      </c>
      <c r="L598">
        <v>30</v>
      </c>
      <c r="M598">
        <v>5</v>
      </c>
      <c r="N598">
        <v>0</v>
      </c>
      <c r="O598" t="s">
        <v>264</v>
      </c>
      <c r="P598" t="s">
        <v>75</v>
      </c>
      <c r="Q598" t="s">
        <v>42</v>
      </c>
      <c r="R598" t="s">
        <v>62</v>
      </c>
      <c r="S598" t="s">
        <v>123</v>
      </c>
      <c r="T598">
        <v>1</v>
      </c>
      <c r="U598">
        <v>553.69000000000005</v>
      </c>
      <c r="V598">
        <v>1531.13</v>
      </c>
      <c r="W598">
        <v>2</v>
      </c>
      <c r="X598" t="s">
        <v>49</v>
      </c>
      <c r="Y598">
        <v>2026</v>
      </c>
    </row>
    <row r="599" spans="1:25" x14ac:dyDescent="0.3">
      <c r="A599" t="s">
        <v>1687</v>
      </c>
      <c r="B599" s="1">
        <v>45981</v>
      </c>
      <c r="C599" t="s">
        <v>1688</v>
      </c>
      <c r="D599" t="s">
        <v>2752</v>
      </c>
      <c r="E599" s="1">
        <v>45982</v>
      </c>
      <c r="F599" t="s">
        <v>128</v>
      </c>
      <c r="G599" t="s">
        <v>98</v>
      </c>
      <c r="H599" t="s">
        <v>127</v>
      </c>
      <c r="I599" t="s">
        <v>2622</v>
      </c>
      <c r="J599" t="s">
        <v>2686</v>
      </c>
      <c r="K599" t="s">
        <v>25</v>
      </c>
      <c r="L599">
        <v>52</v>
      </c>
      <c r="M599">
        <v>3</v>
      </c>
      <c r="N599">
        <v>30</v>
      </c>
      <c r="O599" t="s">
        <v>1689</v>
      </c>
      <c r="P599" t="s">
        <v>75</v>
      </c>
      <c r="Q599" t="s">
        <v>117</v>
      </c>
      <c r="R599" t="s">
        <v>62</v>
      </c>
      <c r="S599" t="s">
        <v>129</v>
      </c>
      <c r="T599">
        <v>4</v>
      </c>
      <c r="U599">
        <v>751.63</v>
      </c>
      <c r="V599">
        <v>1143.01</v>
      </c>
      <c r="W599">
        <v>1</v>
      </c>
      <c r="X599" t="s">
        <v>94</v>
      </c>
      <c r="Y599">
        <v>2025</v>
      </c>
    </row>
    <row r="600" spans="1:25" x14ac:dyDescent="0.3">
      <c r="A600" t="s">
        <v>1690</v>
      </c>
      <c r="B600" s="1">
        <v>45532</v>
      </c>
      <c r="C600" t="s">
        <v>1691</v>
      </c>
      <c r="D600" t="s">
        <v>2750</v>
      </c>
      <c r="E600" s="1">
        <v>45536</v>
      </c>
      <c r="F600" t="s">
        <v>128</v>
      </c>
      <c r="G600" t="s">
        <v>98</v>
      </c>
      <c r="H600" t="s">
        <v>127</v>
      </c>
      <c r="I600" t="s">
        <v>2652</v>
      </c>
      <c r="J600" t="s">
        <v>2653</v>
      </c>
      <c r="K600" t="s">
        <v>52</v>
      </c>
      <c r="L600">
        <v>32</v>
      </c>
      <c r="M600">
        <v>5</v>
      </c>
      <c r="N600">
        <v>5</v>
      </c>
      <c r="O600" t="s">
        <v>1692</v>
      </c>
      <c r="P600" t="s">
        <v>44</v>
      </c>
      <c r="Q600" t="s">
        <v>31</v>
      </c>
      <c r="R600" t="s">
        <v>43</v>
      </c>
      <c r="S600" t="s">
        <v>129</v>
      </c>
      <c r="T600">
        <v>2</v>
      </c>
      <c r="U600">
        <v>967.42</v>
      </c>
      <c r="V600">
        <v>3597.23</v>
      </c>
      <c r="W600">
        <v>4</v>
      </c>
      <c r="X600" t="s">
        <v>45</v>
      </c>
      <c r="Y600">
        <v>2024</v>
      </c>
    </row>
    <row r="601" spans="1:25" x14ac:dyDescent="0.3">
      <c r="A601" t="s">
        <v>1693</v>
      </c>
      <c r="B601" s="1">
        <v>45527</v>
      </c>
      <c r="C601" t="s">
        <v>1694</v>
      </c>
      <c r="D601" t="s">
        <v>3169</v>
      </c>
      <c r="E601" s="1">
        <v>45531</v>
      </c>
      <c r="F601" t="s">
        <v>115</v>
      </c>
      <c r="G601" t="s">
        <v>66</v>
      </c>
      <c r="H601" t="s">
        <v>114</v>
      </c>
      <c r="I601" t="s">
        <v>2629</v>
      </c>
      <c r="J601" t="s">
        <v>2689</v>
      </c>
      <c r="K601" t="s">
        <v>52</v>
      </c>
      <c r="L601">
        <v>47</v>
      </c>
      <c r="M601">
        <v>3</v>
      </c>
      <c r="N601">
        <v>20</v>
      </c>
      <c r="O601" t="s">
        <v>1695</v>
      </c>
      <c r="P601" t="s">
        <v>33</v>
      </c>
      <c r="Q601" t="s">
        <v>117</v>
      </c>
      <c r="R601" t="s">
        <v>62</v>
      </c>
      <c r="S601" t="s">
        <v>116</v>
      </c>
      <c r="T601">
        <v>2</v>
      </c>
      <c r="U601">
        <v>104.43</v>
      </c>
      <c r="V601">
        <v>132.74</v>
      </c>
      <c r="W601">
        <v>4</v>
      </c>
      <c r="X601" t="s">
        <v>45</v>
      </c>
      <c r="Y601">
        <v>2024</v>
      </c>
    </row>
    <row r="602" spans="1:25" x14ac:dyDescent="0.3">
      <c r="A602" t="s">
        <v>1696</v>
      </c>
      <c r="B602" s="1">
        <v>45720</v>
      </c>
      <c r="C602" t="s">
        <v>1697</v>
      </c>
      <c r="D602" t="s">
        <v>2751</v>
      </c>
      <c r="E602" s="1">
        <v>45725</v>
      </c>
      <c r="F602" t="s">
        <v>40</v>
      </c>
      <c r="G602" t="s">
        <v>38</v>
      </c>
      <c r="H602" t="s">
        <v>39</v>
      </c>
      <c r="I602" t="s">
        <v>2654</v>
      </c>
      <c r="J602" t="s">
        <v>2655</v>
      </c>
      <c r="K602" t="s">
        <v>25</v>
      </c>
      <c r="L602">
        <v>33</v>
      </c>
      <c r="M602">
        <v>3</v>
      </c>
      <c r="N602">
        <v>10</v>
      </c>
      <c r="O602" t="s">
        <v>637</v>
      </c>
      <c r="P602" t="s">
        <v>75</v>
      </c>
      <c r="Q602" t="s">
        <v>70</v>
      </c>
      <c r="R602" t="s">
        <v>62</v>
      </c>
      <c r="S602" t="s">
        <v>41</v>
      </c>
      <c r="T602">
        <v>1</v>
      </c>
      <c r="U602">
        <v>423.84</v>
      </c>
      <c r="V602">
        <v>573.54</v>
      </c>
      <c r="W602">
        <v>5</v>
      </c>
      <c r="X602" t="s">
        <v>34</v>
      </c>
      <c r="Y602">
        <v>2025</v>
      </c>
    </row>
    <row r="603" spans="1:25" x14ac:dyDescent="0.3">
      <c r="A603" t="s">
        <v>1698</v>
      </c>
      <c r="B603" s="1">
        <v>45866</v>
      </c>
      <c r="C603" t="s">
        <v>1699</v>
      </c>
      <c r="D603" t="s">
        <v>3168</v>
      </c>
      <c r="E603" s="1">
        <v>45869</v>
      </c>
      <c r="F603" t="s">
        <v>29</v>
      </c>
      <c r="G603" t="s">
        <v>27</v>
      </c>
      <c r="H603" t="s">
        <v>28</v>
      </c>
      <c r="I603" t="s">
        <v>2654</v>
      </c>
      <c r="J603" t="s">
        <v>2702</v>
      </c>
      <c r="K603" t="s">
        <v>52</v>
      </c>
      <c r="L603">
        <v>61</v>
      </c>
      <c r="M603">
        <v>3</v>
      </c>
      <c r="N603">
        <v>25</v>
      </c>
      <c r="O603" t="s">
        <v>1700</v>
      </c>
      <c r="P603" t="s">
        <v>33</v>
      </c>
      <c r="Q603" t="s">
        <v>42</v>
      </c>
      <c r="R603" t="s">
        <v>71</v>
      </c>
      <c r="S603" t="s">
        <v>30</v>
      </c>
      <c r="T603">
        <v>1</v>
      </c>
      <c r="U603">
        <v>243.71</v>
      </c>
      <c r="V603">
        <v>317.32</v>
      </c>
      <c r="W603">
        <v>3</v>
      </c>
      <c r="X603" t="s">
        <v>45</v>
      </c>
      <c r="Y603">
        <v>2025</v>
      </c>
    </row>
    <row r="604" spans="1:25" x14ac:dyDescent="0.3">
      <c r="A604" t="s">
        <v>1701</v>
      </c>
      <c r="B604" s="1">
        <v>45539</v>
      </c>
      <c r="C604" t="s">
        <v>1702</v>
      </c>
      <c r="D604" t="s">
        <v>3167</v>
      </c>
      <c r="E604" s="1">
        <v>45546</v>
      </c>
      <c r="F604" t="s">
        <v>68</v>
      </c>
      <c r="G604" t="s">
        <v>66</v>
      </c>
      <c r="H604" t="s">
        <v>67</v>
      </c>
      <c r="I604" t="s">
        <v>2629</v>
      </c>
      <c r="J604" t="s">
        <v>2630</v>
      </c>
      <c r="K604" t="s">
        <v>52</v>
      </c>
      <c r="L604">
        <v>56</v>
      </c>
      <c r="M604">
        <v>1</v>
      </c>
      <c r="N604">
        <v>20</v>
      </c>
      <c r="O604" t="s">
        <v>1703</v>
      </c>
      <c r="P604" t="s">
        <v>44</v>
      </c>
      <c r="Q604" t="s">
        <v>70</v>
      </c>
      <c r="R604" t="s">
        <v>62</v>
      </c>
      <c r="S604" t="s">
        <v>69</v>
      </c>
      <c r="T604">
        <v>2</v>
      </c>
      <c r="U604">
        <v>689.69</v>
      </c>
      <c r="V604">
        <v>377.13</v>
      </c>
      <c r="W604">
        <v>7</v>
      </c>
      <c r="X604" t="s">
        <v>45</v>
      </c>
      <c r="Y604">
        <v>2024</v>
      </c>
    </row>
    <row r="605" spans="1:25" x14ac:dyDescent="0.3">
      <c r="A605" t="s">
        <v>1704</v>
      </c>
      <c r="B605" s="1">
        <v>46112</v>
      </c>
      <c r="C605" t="s">
        <v>1705</v>
      </c>
      <c r="D605" t="s">
        <v>3166</v>
      </c>
      <c r="E605" s="1">
        <v>46114</v>
      </c>
      <c r="F605" t="s">
        <v>68</v>
      </c>
      <c r="G605" t="s">
        <v>66</v>
      </c>
      <c r="H605" t="s">
        <v>67</v>
      </c>
      <c r="I605" t="s">
        <v>2634</v>
      </c>
      <c r="J605" t="s">
        <v>2644</v>
      </c>
      <c r="K605" t="s">
        <v>52</v>
      </c>
      <c r="L605">
        <v>51</v>
      </c>
      <c r="M605">
        <v>2</v>
      </c>
      <c r="N605">
        <v>15</v>
      </c>
      <c r="O605" t="s">
        <v>276</v>
      </c>
      <c r="P605" t="s">
        <v>75</v>
      </c>
      <c r="Q605" t="s">
        <v>31</v>
      </c>
      <c r="R605" t="s">
        <v>71</v>
      </c>
      <c r="S605" t="s">
        <v>69</v>
      </c>
      <c r="T605">
        <v>2</v>
      </c>
      <c r="U605">
        <v>69.290000000000006</v>
      </c>
      <c r="V605">
        <v>60.16</v>
      </c>
      <c r="W605">
        <v>2</v>
      </c>
      <c r="X605" t="s">
        <v>34</v>
      </c>
      <c r="Y605">
        <v>2026</v>
      </c>
    </row>
    <row r="606" spans="1:25" x14ac:dyDescent="0.3">
      <c r="A606" t="s">
        <v>1706</v>
      </c>
      <c r="B606" s="1">
        <v>45772</v>
      </c>
      <c r="C606" t="s">
        <v>1707</v>
      </c>
      <c r="D606" t="s">
        <v>3165</v>
      </c>
      <c r="E606" s="1">
        <v>45773</v>
      </c>
      <c r="F606" t="s">
        <v>68</v>
      </c>
      <c r="G606" t="s">
        <v>66</v>
      </c>
      <c r="H606" t="s">
        <v>67</v>
      </c>
      <c r="I606" t="s">
        <v>2635</v>
      </c>
      <c r="J606" t="s">
        <v>2720</v>
      </c>
      <c r="K606" t="s">
        <v>25</v>
      </c>
      <c r="L606">
        <v>62</v>
      </c>
      <c r="M606">
        <v>1</v>
      </c>
      <c r="N606">
        <v>15</v>
      </c>
      <c r="O606" t="s">
        <v>350</v>
      </c>
      <c r="P606" t="s">
        <v>33</v>
      </c>
      <c r="Q606" t="s">
        <v>70</v>
      </c>
      <c r="R606" t="s">
        <v>62</v>
      </c>
      <c r="S606" t="s">
        <v>69</v>
      </c>
      <c r="T606">
        <v>5</v>
      </c>
      <c r="U606">
        <v>596.9</v>
      </c>
      <c r="V606">
        <v>411.16</v>
      </c>
      <c r="W606">
        <v>1</v>
      </c>
      <c r="X606" t="s">
        <v>49</v>
      </c>
      <c r="Y606">
        <v>2025</v>
      </c>
    </row>
    <row r="607" spans="1:25" x14ac:dyDescent="0.3">
      <c r="A607" t="s">
        <v>1708</v>
      </c>
      <c r="B607" s="1">
        <v>46109</v>
      </c>
      <c r="C607" t="s">
        <v>1709</v>
      </c>
      <c r="D607" t="s">
        <v>3164</v>
      </c>
      <c r="E607" s="1">
        <v>46115</v>
      </c>
      <c r="F607" t="s">
        <v>68</v>
      </c>
      <c r="G607" t="s">
        <v>66</v>
      </c>
      <c r="H607" t="s">
        <v>67</v>
      </c>
      <c r="I607" t="s">
        <v>2654</v>
      </c>
      <c r="J607" t="s">
        <v>2655</v>
      </c>
      <c r="K607" t="s">
        <v>25</v>
      </c>
      <c r="L607">
        <v>26</v>
      </c>
      <c r="M607">
        <v>1</v>
      </c>
      <c r="N607">
        <v>10</v>
      </c>
      <c r="O607" t="s">
        <v>1600</v>
      </c>
      <c r="P607" t="s">
        <v>33</v>
      </c>
      <c r="Q607" t="s">
        <v>117</v>
      </c>
      <c r="R607" t="s">
        <v>71</v>
      </c>
      <c r="S607" t="s">
        <v>69</v>
      </c>
      <c r="T607">
        <v>2</v>
      </c>
      <c r="U607">
        <v>150.33000000000001</v>
      </c>
      <c r="V607">
        <v>88.06</v>
      </c>
      <c r="W607">
        <v>6</v>
      </c>
      <c r="X607" t="s">
        <v>34</v>
      </c>
      <c r="Y607">
        <v>2026</v>
      </c>
    </row>
    <row r="608" spans="1:25" x14ac:dyDescent="0.3">
      <c r="A608" t="s">
        <v>1710</v>
      </c>
      <c r="B608" s="1">
        <v>46000</v>
      </c>
      <c r="C608" t="s">
        <v>1711</v>
      </c>
      <c r="D608" t="s">
        <v>3163</v>
      </c>
      <c r="E608" s="1">
        <v>46003</v>
      </c>
      <c r="F608" t="s">
        <v>140</v>
      </c>
      <c r="G608" t="s">
        <v>38</v>
      </c>
      <c r="H608" t="s">
        <v>139</v>
      </c>
      <c r="I608" t="s">
        <v>2634</v>
      </c>
      <c r="J608" t="s">
        <v>2650</v>
      </c>
      <c r="K608" t="s">
        <v>25</v>
      </c>
      <c r="L608">
        <v>39</v>
      </c>
      <c r="M608">
        <v>4</v>
      </c>
      <c r="N608">
        <v>15</v>
      </c>
      <c r="O608" t="s">
        <v>1712</v>
      </c>
      <c r="P608" t="s">
        <v>75</v>
      </c>
      <c r="Q608" t="s">
        <v>117</v>
      </c>
      <c r="R608" t="s">
        <v>43</v>
      </c>
      <c r="S608" t="s">
        <v>141</v>
      </c>
      <c r="T608">
        <v>2</v>
      </c>
      <c r="U608">
        <v>300.99</v>
      </c>
      <c r="V608">
        <v>741.26</v>
      </c>
      <c r="W608">
        <v>3</v>
      </c>
      <c r="X608" t="s">
        <v>94</v>
      </c>
      <c r="Y608">
        <v>2025</v>
      </c>
    </row>
    <row r="609" spans="1:25" x14ac:dyDescent="0.3">
      <c r="A609" t="s">
        <v>1713</v>
      </c>
      <c r="B609" s="1">
        <v>45397</v>
      </c>
      <c r="C609" t="s">
        <v>1714</v>
      </c>
      <c r="D609" t="s">
        <v>3162</v>
      </c>
      <c r="E609" s="1">
        <v>45400</v>
      </c>
      <c r="F609" t="s">
        <v>56</v>
      </c>
      <c r="G609" t="s">
        <v>54</v>
      </c>
      <c r="H609" t="s">
        <v>55</v>
      </c>
      <c r="I609" t="s">
        <v>2625</v>
      </c>
      <c r="J609" t="s">
        <v>2651</v>
      </c>
      <c r="K609" t="s">
        <v>52</v>
      </c>
      <c r="L609">
        <v>32</v>
      </c>
      <c r="M609">
        <v>4</v>
      </c>
      <c r="N609">
        <v>5</v>
      </c>
      <c r="O609" t="s">
        <v>1715</v>
      </c>
      <c r="P609" t="s">
        <v>33</v>
      </c>
      <c r="Q609" t="s">
        <v>42</v>
      </c>
      <c r="R609" t="s">
        <v>71</v>
      </c>
      <c r="S609" t="s">
        <v>57</v>
      </c>
      <c r="T609">
        <v>3</v>
      </c>
      <c r="U609">
        <v>568.14</v>
      </c>
      <c r="V609">
        <v>1136.75</v>
      </c>
      <c r="W609">
        <v>3</v>
      </c>
      <c r="X609" t="s">
        <v>49</v>
      </c>
      <c r="Y609">
        <v>2024</v>
      </c>
    </row>
    <row r="610" spans="1:25" x14ac:dyDescent="0.3">
      <c r="A610" t="s">
        <v>1716</v>
      </c>
      <c r="B610" s="1">
        <v>45850</v>
      </c>
      <c r="C610" t="s">
        <v>1717</v>
      </c>
      <c r="D610" t="s">
        <v>3161</v>
      </c>
      <c r="E610" s="1">
        <v>45854</v>
      </c>
      <c r="F610" t="s">
        <v>40</v>
      </c>
      <c r="G610" t="s">
        <v>38</v>
      </c>
      <c r="H610" t="s">
        <v>39</v>
      </c>
      <c r="I610" t="s">
        <v>2633</v>
      </c>
      <c r="J610" t="s">
        <v>2636</v>
      </c>
      <c r="K610" t="s">
        <v>25</v>
      </c>
      <c r="L610">
        <v>33</v>
      </c>
      <c r="M610">
        <v>2</v>
      </c>
      <c r="N610">
        <v>5</v>
      </c>
      <c r="O610" t="s">
        <v>204</v>
      </c>
      <c r="P610" t="s">
        <v>75</v>
      </c>
      <c r="Q610" t="s">
        <v>58</v>
      </c>
      <c r="R610" t="s">
        <v>43</v>
      </c>
      <c r="S610" t="s">
        <v>41</v>
      </c>
      <c r="T610">
        <v>3</v>
      </c>
      <c r="U610">
        <v>682.29</v>
      </c>
      <c r="V610">
        <v>980.23</v>
      </c>
      <c r="W610">
        <v>4</v>
      </c>
      <c r="X610" t="s">
        <v>45</v>
      </c>
      <c r="Y610">
        <v>2025</v>
      </c>
    </row>
    <row r="611" spans="1:25" x14ac:dyDescent="0.3">
      <c r="A611" t="s">
        <v>1718</v>
      </c>
      <c r="B611" s="1">
        <v>45332</v>
      </c>
      <c r="C611" t="s">
        <v>1719</v>
      </c>
      <c r="D611" t="s">
        <v>3160</v>
      </c>
      <c r="E611" s="1">
        <v>45336</v>
      </c>
      <c r="F611" t="s">
        <v>128</v>
      </c>
      <c r="G611" t="s">
        <v>98</v>
      </c>
      <c r="H611" t="s">
        <v>127</v>
      </c>
      <c r="I611" t="s">
        <v>2622</v>
      </c>
      <c r="J611" t="s">
        <v>2686</v>
      </c>
      <c r="K611" t="s">
        <v>52</v>
      </c>
      <c r="L611">
        <v>23</v>
      </c>
      <c r="M611">
        <v>3</v>
      </c>
      <c r="N611">
        <v>20</v>
      </c>
      <c r="O611" t="s">
        <v>1720</v>
      </c>
      <c r="P611" t="s">
        <v>44</v>
      </c>
      <c r="Q611" t="s">
        <v>31</v>
      </c>
      <c r="R611" t="s">
        <v>71</v>
      </c>
      <c r="S611" t="s">
        <v>129</v>
      </c>
      <c r="T611">
        <v>4</v>
      </c>
      <c r="U611">
        <v>43.71</v>
      </c>
      <c r="V611">
        <v>58.27</v>
      </c>
      <c r="W611">
        <v>4</v>
      </c>
      <c r="X611" t="s">
        <v>34</v>
      </c>
      <c r="Y611">
        <v>2024</v>
      </c>
    </row>
    <row r="612" spans="1:25" x14ac:dyDescent="0.3">
      <c r="A612" t="s">
        <v>1721</v>
      </c>
      <c r="B612" s="1">
        <v>45778</v>
      </c>
      <c r="C612" t="s">
        <v>1722</v>
      </c>
      <c r="D612" t="s">
        <v>3159</v>
      </c>
      <c r="E612" s="1">
        <v>45781</v>
      </c>
      <c r="F612" t="s">
        <v>29</v>
      </c>
      <c r="G612" t="s">
        <v>27</v>
      </c>
      <c r="H612" t="s">
        <v>28</v>
      </c>
      <c r="I612" t="s">
        <v>2668</v>
      </c>
      <c r="J612" t="s">
        <v>2682</v>
      </c>
      <c r="K612" t="s">
        <v>25</v>
      </c>
      <c r="L612">
        <v>23</v>
      </c>
      <c r="M612">
        <v>4</v>
      </c>
      <c r="N612">
        <v>30</v>
      </c>
      <c r="O612" t="s">
        <v>1723</v>
      </c>
      <c r="P612" t="s">
        <v>75</v>
      </c>
      <c r="Q612" t="s">
        <v>42</v>
      </c>
      <c r="R612" t="s">
        <v>71</v>
      </c>
      <c r="S612" t="s">
        <v>30</v>
      </c>
      <c r="T612">
        <v>1</v>
      </c>
      <c r="U612">
        <v>314.61</v>
      </c>
      <c r="V612">
        <v>693.34</v>
      </c>
      <c r="W612">
        <v>3</v>
      </c>
      <c r="X612" t="s">
        <v>49</v>
      </c>
      <c r="Y612">
        <v>2025</v>
      </c>
    </row>
    <row r="613" spans="1:25" x14ac:dyDescent="0.3">
      <c r="A613" t="s">
        <v>1724</v>
      </c>
      <c r="B613" s="1">
        <v>45870</v>
      </c>
      <c r="C613" t="s">
        <v>1725</v>
      </c>
      <c r="D613" t="s">
        <v>3158</v>
      </c>
      <c r="E613" s="1">
        <v>45872</v>
      </c>
      <c r="F613" t="s">
        <v>56</v>
      </c>
      <c r="G613" t="s">
        <v>54</v>
      </c>
      <c r="H613" t="s">
        <v>55</v>
      </c>
      <c r="I613" t="s">
        <v>2632</v>
      </c>
      <c r="J613" t="s">
        <v>2646</v>
      </c>
      <c r="K613" t="s">
        <v>52</v>
      </c>
      <c r="L613">
        <v>25</v>
      </c>
      <c r="M613">
        <v>3</v>
      </c>
      <c r="N613">
        <v>15</v>
      </c>
      <c r="O613" t="s">
        <v>204</v>
      </c>
      <c r="P613" t="s">
        <v>75</v>
      </c>
      <c r="Q613" t="s">
        <v>70</v>
      </c>
      <c r="R613" t="s">
        <v>62</v>
      </c>
      <c r="S613" t="s">
        <v>57</v>
      </c>
      <c r="T613">
        <v>2</v>
      </c>
      <c r="U613">
        <v>709.29</v>
      </c>
      <c r="V613">
        <v>1055.6500000000001</v>
      </c>
      <c r="W613">
        <v>2</v>
      </c>
      <c r="X613" t="s">
        <v>45</v>
      </c>
      <c r="Y613">
        <v>2025</v>
      </c>
    </row>
    <row r="614" spans="1:25" x14ac:dyDescent="0.3">
      <c r="A614" t="s">
        <v>1726</v>
      </c>
      <c r="B614" s="1">
        <v>45706</v>
      </c>
      <c r="C614" t="s">
        <v>1727</v>
      </c>
      <c r="D614" t="s">
        <v>3157</v>
      </c>
      <c r="E614" s="1">
        <v>45708</v>
      </c>
      <c r="F614" t="s">
        <v>29</v>
      </c>
      <c r="G614" t="s">
        <v>27</v>
      </c>
      <c r="H614" t="s">
        <v>28</v>
      </c>
      <c r="I614" t="s">
        <v>2625</v>
      </c>
      <c r="J614" t="s">
        <v>2651</v>
      </c>
      <c r="K614" t="s">
        <v>25</v>
      </c>
      <c r="L614">
        <v>44</v>
      </c>
      <c r="M614">
        <v>1</v>
      </c>
      <c r="N614">
        <v>25</v>
      </c>
      <c r="O614" t="s">
        <v>1728</v>
      </c>
      <c r="P614" t="s">
        <v>75</v>
      </c>
      <c r="Q614" t="s">
        <v>117</v>
      </c>
      <c r="R614" t="s">
        <v>71</v>
      </c>
      <c r="S614" t="s">
        <v>30</v>
      </c>
      <c r="T614">
        <v>1</v>
      </c>
      <c r="U614">
        <v>822.6</v>
      </c>
      <c r="V614">
        <v>405.25</v>
      </c>
      <c r="W614">
        <v>2</v>
      </c>
      <c r="X614" t="s">
        <v>34</v>
      </c>
      <c r="Y614">
        <v>2025</v>
      </c>
    </row>
    <row r="615" spans="1:25" x14ac:dyDescent="0.3">
      <c r="A615" t="s">
        <v>1729</v>
      </c>
      <c r="B615" s="1">
        <v>45388</v>
      </c>
      <c r="C615" t="s">
        <v>1730</v>
      </c>
      <c r="D615" t="s">
        <v>3156</v>
      </c>
      <c r="E615" s="1">
        <v>45390</v>
      </c>
      <c r="F615" t="s">
        <v>56</v>
      </c>
      <c r="G615" t="s">
        <v>54</v>
      </c>
      <c r="H615" t="s">
        <v>55</v>
      </c>
      <c r="I615" t="s">
        <v>2625</v>
      </c>
      <c r="J615" t="s">
        <v>2651</v>
      </c>
      <c r="K615" t="s">
        <v>52</v>
      </c>
      <c r="L615">
        <v>50</v>
      </c>
      <c r="M615">
        <v>3</v>
      </c>
      <c r="N615">
        <v>20</v>
      </c>
      <c r="O615" t="s">
        <v>1731</v>
      </c>
      <c r="P615" t="s">
        <v>33</v>
      </c>
      <c r="Q615" t="s">
        <v>42</v>
      </c>
      <c r="R615" t="s">
        <v>62</v>
      </c>
      <c r="S615" t="s">
        <v>57</v>
      </c>
      <c r="T615">
        <v>4</v>
      </c>
      <c r="U615">
        <v>486.54</v>
      </c>
      <c r="V615">
        <v>926.55</v>
      </c>
      <c r="W615">
        <v>2</v>
      </c>
      <c r="X615" t="s">
        <v>49</v>
      </c>
      <c r="Y615">
        <v>2024</v>
      </c>
    </row>
    <row r="616" spans="1:25" x14ac:dyDescent="0.3">
      <c r="A616" t="s">
        <v>1732</v>
      </c>
      <c r="B616" s="1">
        <v>45914</v>
      </c>
      <c r="C616" t="s">
        <v>1733</v>
      </c>
      <c r="D616" t="s">
        <v>3155</v>
      </c>
      <c r="E616" s="1">
        <v>45918</v>
      </c>
      <c r="F616" t="s">
        <v>115</v>
      </c>
      <c r="G616" t="s">
        <v>66</v>
      </c>
      <c r="H616" t="s">
        <v>114</v>
      </c>
      <c r="I616" t="s">
        <v>2668</v>
      </c>
      <c r="J616" t="s">
        <v>2682</v>
      </c>
      <c r="K616" t="s">
        <v>25</v>
      </c>
      <c r="L616">
        <v>45</v>
      </c>
      <c r="M616">
        <v>4</v>
      </c>
      <c r="N616">
        <v>0</v>
      </c>
      <c r="O616" t="s">
        <v>1084</v>
      </c>
      <c r="P616" t="s">
        <v>33</v>
      </c>
      <c r="Q616" t="s">
        <v>70</v>
      </c>
      <c r="R616" t="s">
        <v>71</v>
      </c>
      <c r="S616" t="s">
        <v>116</v>
      </c>
      <c r="T616">
        <v>5</v>
      </c>
      <c r="U616">
        <v>489.09</v>
      </c>
      <c r="V616">
        <v>1241.3</v>
      </c>
      <c r="W616">
        <v>4</v>
      </c>
      <c r="X616" t="s">
        <v>45</v>
      </c>
      <c r="Y616">
        <v>2025</v>
      </c>
    </row>
    <row r="617" spans="1:25" x14ac:dyDescent="0.3">
      <c r="A617" t="s">
        <v>1734</v>
      </c>
      <c r="B617" s="1">
        <v>45850</v>
      </c>
      <c r="C617" t="s">
        <v>1735</v>
      </c>
      <c r="D617" t="s">
        <v>3154</v>
      </c>
      <c r="E617" s="1">
        <v>45855</v>
      </c>
      <c r="F617" t="s">
        <v>29</v>
      </c>
      <c r="G617" t="s">
        <v>27</v>
      </c>
      <c r="H617" t="s">
        <v>28</v>
      </c>
      <c r="I617" t="s">
        <v>2661</v>
      </c>
      <c r="J617" t="s">
        <v>2662</v>
      </c>
      <c r="K617" t="s">
        <v>25</v>
      </c>
      <c r="L617">
        <v>51</v>
      </c>
      <c r="M617">
        <v>3</v>
      </c>
      <c r="N617">
        <v>20</v>
      </c>
      <c r="O617" t="s">
        <v>1736</v>
      </c>
      <c r="P617" t="s">
        <v>33</v>
      </c>
      <c r="Q617" t="s">
        <v>31</v>
      </c>
      <c r="R617" t="s">
        <v>71</v>
      </c>
      <c r="S617" t="s">
        <v>30</v>
      </c>
      <c r="T617">
        <v>4</v>
      </c>
      <c r="U617">
        <v>544.99</v>
      </c>
      <c r="V617">
        <v>692.35</v>
      </c>
      <c r="W617">
        <v>5</v>
      </c>
      <c r="X617" t="s">
        <v>45</v>
      </c>
      <c r="Y617">
        <v>2025</v>
      </c>
    </row>
    <row r="618" spans="1:25" x14ac:dyDescent="0.3">
      <c r="A618" t="s">
        <v>1737</v>
      </c>
      <c r="B618" s="1">
        <v>45832</v>
      </c>
      <c r="C618" t="s">
        <v>1738</v>
      </c>
      <c r="D618" t="s">
        <v>3153</v>
      </c>
      <c r="E618" s="1">
        <v>45839</v>
      </c>
      <c r="F618" t="s">
        <v>29</v>
      </c>
      <c r="G618" t="s">
        <v>27</v>
      </c>
      <c r="H618" t="s">
        <v>28</v>
      </c>
      <c r="I618" t="s">
        <v>2672</v>
      </c>
      <c r="J618" t="s">
        <v>2716</v>
      </c>
      <c r="K618" t="s">
        <v>25</v>
      </c>
      <c r="L618">
        <v>31</v>
      </c>
      <c r="M618">
        <v>3</v>
      </c>
      <c r="N618">
        <v>0</v>
      </c>
      <c r="O618" t="s">
        <v>1739</v>
      </c>
      <c r="P618" t="s">
        <v>75</v>
      </c>
      <c r="Q618" t="s">
        <v>117</v>
      </c>
      <c r="R618" t="s">
        <v>62</v>
      </c>
      <c r="S618" t="s">
        <v>30</v>
      </c>
      <c r="T618">
        <v>1</v>
      </c>
      <c r="U618">
        <v>661.78</v>
      </c>
      <c r="V618">
        <v>1259.3599999999999</v>
      </c>
      <c r="W618">
        <v>7</v>
      </c>
      <c r="X618" t="s">
        <v>49</v>
      </c>
      <c r="Y618">
        <v>2025</v>
      </c>
    </row>
    <row r="619" spans="1:25" x14ac:dyDescent="0.3">
      <c r="A619" t="s">
        <v>1740</v>
      </c>
      <c r="B619" s="1">
        <v>45895</v>
      </c>
      <c r="C619" t="s">
        <v>1741</v>
      </c>
      <c r="D619" t="s">
        <v>3152</v>
      </c>
      <c r="E619" s="1">
        <v>45898</v>
      </c>
      <c r="F619" t="s">
        <v>29</v>
      </c>
      <c r="G619" t="s">
        <v>27</v>
      </c>
      <c r="H619" t="s">
        <v>28</v>
      </c>
      <c r="I619" t="s">
        <v>2634</v>
      </c>
      <c r="J619" t="s">
        <v>2650</v>
      </c>
      <c r="K619" t="s">
        <v>25</v>
      </c>
      <c r="L619">
        <v>63</v>
      </c>
      <c r="M619">
        <v>2</v>
      </c>
      <c r="N619">
        <v>30</v>
      </c>
      <c r="O619" t="s">
        <v>1531</v>
      </c>
      <c r="P619" t="s">
        <v>44</v>
      </c>
      <c r="Q619" t="s">
        <v>70</v>
      </c>
      <c r="R619" t="s">
        <v>71</v>
      </c>
      <c r="S619" t="s">
        <v>30</v>
      </c>
      <c r="T619">
        <v>1</v>
      </c>
      <c r="U619">
        <v>693.02</v>
      </c>
      <c r="V619">
        <v>544.11</v>
      </c>
      <c r="W619">
        <v>3</v>
      </c>
      <c r="X619" t="s">
        <v>45</v>
      </c>
      <c r="Y619">
        <v>2025</v>
      </c>
    </row>
    <row r="620" spans="1:25" x14ac:dyDescent="0.3">
      <c r="A620" t="s">
        <v>1742</v>
      </c>
      <c r="B620" s="1">
        <v>45890</v>
      </c>
      <c r="C620" t="s">
        <v>1743</v>
      </c>
      <c r="D620" t="s">
        <v>3151</v>
      </c>
      <c r="E620" s="1">
        <v>45893</v>
      </c>
      <c r="F620" t="s">
        <v>140</v>
      </c>
      <c r="G620" t="s">
        <v>38</v>
      </c>
      <c r="H620" t="s">
        <v>139</v>
      </c>
      <c r="I620" t="s">
        <v>2639</v>
      </c>
      <c r="J620" t="s">
        <v>2704</v>
      </c>
      <c r="K620" t="s">
        <v>25</v>
      </c>
      <c r="L620">
        <v>50</v>
      </c>
      <c r="M620">
        <v>3</v>
      </c>
      <c r="N620">
        <v>5</v>
      </c>
      <c r="O620" t="s">
        <v>1744</v>
      </c>
      <c r="P620" t="s">
        <v>33</v>
      </c>
      <c r="Q620" t="s">
        <v>70</v>
      </c>
      <c r="R620" t="s">
        <v>32</v>
      </c>
      <c r="S620" t="s">
        <v>141</v>
      </c>
      <c r="T620">
        <v>4</v>
      </c>
      <c r="U620">
        <v>868.75</v>
      </c>
      <c r="V620">
        <v>1459.81</v>
      </c>
      <c r="W620">
        <v>3</v>
      </c>
      <c r="X620" t="s">
        <v>45</v>
      </c>
      <c r="Y620">
        <v>2025</v>
      </c>
    </row>
    <row r="621" spans="1:25" x14ac:dyDescent="0.3">
      <c r="A621" t="s">
        <v>1745</v>
      </c>
      <c r="B621" s="1">
        <v>45309</v>
      </c>
      <c r="C621" t="s">
        <v>1746</v>
      </c>
      <c r="D621" t="s">
        <v>3150</v>
      </c>
      <c r="E621" s="1">
        <v>45315</v>
      </c>
      <c r="F621" t="s">
        <v>122</v>
      </c>
      <c r="G621" t="s">
        <v>120</v>
      </c>
      <c r="H621" t="s">
        <v>121</v>
      </c>
      <c r="I621" t="s">
        <v>2625</v>
      </c>
      <c r="J621" t="s">
        <v>2703</v>
      </c>
      <c r="K621" t="s">
        <v>52</v>
      </c>
      <c r="L621">
        <v>63</v>
      </c>
      <c r="M621">
        <v>1</v>
      </c>
      <c r="N621">
        <v>30</v>
      </c>
      <c r="O621" t="s">
        <v>440</v>
      </c>
      <c r="P621" t="s">
        <v>33</v>
      </c>
      <c r="Q621" t="s">
        <v>70</v>
      </c>
      <c r="R621" t="s">
        <v>62</v>
      </c>
      <c r="S621" t="s">
        <v>123</v>
      </c>
      <c r="T621">
        <v>3</v>
      </c>
      <c r="U621">
        <v>974.08</v>
      </c>
      <c r="V621">
        <v>501.45</v>
      </c>
      <c r="W621">
        <v>6</v>
      </c>
      <c r="X621" t="s">
        <v>34</v>
      </c>
      <c r="Y621">
        <v>2024</v>
      </c>
    </row>
    <row r="622" spans="1:25" x14ac:dyDescent="0.3">
      <c r="A622" t="s">
        <v>1747</v>
      </c>
      <c r="B622" s="1">
        <v>45583</v>
      </c>
      <c r="C622" t="s">
        <v>1748</v>
      </c>
      <c r="D622" t="s">
        <v>3149</v>
      </c>
      <c r="E622" s="1">
        <v>45587</v>
      </c>
      <c r="F622" t="s">
        <v>115</v>
      </c>
      <c r="G622" t="s">
        <v>66</v>
      </c>
      <c r="H622" t="s">
        <v>114</v>
      </c>
      <c r="I622" t="s">
        <v>2639</v>
      </c>
      <c r="J622" t="s">
        <v>2687</v>
      </c>
      <c r="K622" t="s">
        <v>52</v>
      </c>
      <c r="L622">
        <v>40</v>
      </c>
      <c r="M622">
        <v>3</v>
      </c>
      <c r="N622">
        <v>15</v>
      </c>
      <c r="O622" t="s">
        <v>490</v>
      </c>
      <c r="P622" t="s">
        <v>75</v>
      </c>
      <c r="Q622" t="s">
        <v>58</v>
      </c>
      <c r="R622" t="s">
        <v>43</v>
      </c>
      <c r="S622" t="s">
        <v>116</v>
      </c>
      <c r="T622">
        <v>3</v>
      </c>
      <c r="U622">
        <v>404.02</v>
      </c>
      <c r="V622">
        <v>683.24</v>
      </c>
      <c r="W622">
        <v>4</v>
      </c>
      <c r="X622" t="s">
        <v>94</v>
      </c>
      <c r="Y622">
        <v>2024</v>
      </c>
    </row>
    <row r="623" spans="1:25" x14ac:dyDescent="0.3">
      <c r="A623" t="s">
        <v>1749</v>
      </c>
      <c r="B623" s="1">
        <v>46045</v>
      </c>
      <c r="C623" t="s">
        <v>1179</v>
      </c>
      <c r="D623" t="s">
        <v>3148</v>
      </c>
      <c r="E623" s="1">
        <v>46050</v>
      </c>
      <c r="F623" t="s">
        <v>29</v>
      </c>
      <c r="G623" t="s">
        <v>27</v>
      </c>
      <c r="H623" t="s">
        <v>28</v>
      </c>
      <c r="I623" t="s">
        <v>2631</v>
      </c>
      <c r="J623" t="s">
        <v>2694</v>
      </c>
      <c r="K623" t="s">
        <v>25</v>
      </c>
      <c r="L623">
        <v>24</v>
      </c>
      <c r="M623">
        <v>3</v>
      </c>
      <c r="N623">
        <v>5</v>
      </c>
      <c r="O623" t="s">
        <v>484</v>
      </c>
      <c r="P623" t="s">
        <v>44</v>
      </c>
      <c r="Q623" t="s">
        <v>70</v>
      </c>
      <c r="R623" t="s">
        <v>62</v>
      </c>
      <c r="S623" t="s">
        <v>30</v>
      </c>
      <c r="T623">
        <v>1</v>
      </c>
      <c r="U623">
        <v>282.52999999999997</v>
      </c>
      <c r="V623">
        <v>648.46</v>
      </c>
      <c r="W623">
        <v>5</v>
      </c>
      <c r="X623" t="s">
        <v>34</v>
      </c>
      <c r="Y623">
        <v>2026</v>
      </c>
    </row>
    <row r="624" spans="1:25" x14ac:dyDescent="0.3">
      <c r="A624" t="s">
        <v>1750</v>
      </c>
      <c r="B624" s="1">
        <v>45856</v>
      </c>
      <c r="C624" t="s">
        <v>1262</v>
      </c>
      <c r="D624" t="s">
        <v>3147</v>
      </c>
      <c r="E624" s="1">
        <v>45860</v>
      </c>
      <c r="F624" t="s">
        <v>56</v>
      </c>
      <c r="G624" t="s">
        <v>54</v>
      </c>
      <c r="H624" t="s">
        <v>55</v>
      </c>
      <c r="I624" t="s">
        <v>2639</v>
      </c>
      <c r="J624" t="s">
        <v>2704</v>
      </c>
      <c r="K624" t="s">
        <v>52</v>
      </c>
      <c r="L624">
        <v>32</v>
      </c>
      <c r="M624">
        <v>3</v>
      </c>
      <c r="N624">
        <v>0</v>
      </c>
      <c r="O624" t="s">
        <v>1751</v>
      </c>
      <c r="P624" t="s">
        <v>44</v>
      </c>
      <c r="Q624" t="s">
        <v>117</v>
      </c>
      <c r="R624" t="s">
        <v>62</v>
      </c>
      <c r="S624" t="s">
        <v>57</v>
      </c>
      <c r="T624">
        <v>2</v>
      </c>
      <c r="U624">
        <v>140.19</v>
      </c>
      <c r="V624">
        <v>246.74</v>
      </c>
      <c r="W624">
        <v>4</v>
      </c>
      <c r="X624" t="s">
        <v>45</v>
      </c>
      <c r="Y624">
        <v>2025</v>
      </c>
    </row>
    <row r="625" spans="1:25" x14ac:dyDescent="0.3">
      <c r="A625" t="s">
        <v>1752</v>
      </c>
      <c r="B625" s="1">
        <v>45892</v>
      </c>
      <c r="C625" t="s">
        <v>1753</v>
      </c>
      <c r="D625" t="s">
        <v>3146</v>
      </c>
      <c r="E625" s="1">
        <v>45898</v>
      </c>
      <c r="F625" t="s">
        <v>122</v>
      </c>
      <c r="G625" t="s">
        <v>120</v>
      </c>
      <c r="H625" t="s">
        <v>121</v>
      </c>
      <c r="I625" t="s">
        <v>2633</v>
      </c>
      <c r="J625" t="s">
        <v>2636</v>
      </c>
      <c r="K625" t="s">
        <v>25</v>
      </c>
      <c r="L625">
        <v>29</v>
      </c>
      <c r="M625">
        <v>2</v>
      </c>
      <c r="N625">
        <v>5</v>
      </c>
      <c r="O625" t="s">
        <v>1754</v>
      </c>
      <c r="P625" t="s">
        <v>33</v>
      </c>
      <c r="Q625" t="s">
        <v>117</v>
      </c>
      <c r="R625" t="s">
        <v>62</v>
      </c>
      <c r="S625" t="s">
        <v>123</v>
      </c>
      <c r="T625">
        <v>4</v>
      </c>
      <c r="U625">
        <v>185.6</v>
      </c>
      <c r="V625">
        <v>186.48</v>
      </c>
      <c r="W625">
        <v>6</v>
      </c>
      <c r="X625" t="s">
        <v>45</v>
      </c>
      <c r="Y625">
        <v>2025</v>
      </c>
    </row>
    <row r="626" spans="1:25" x14ac:dyDescent="0.3">
      <c r="A626" t="s">
        <v>1755</v>
      </c>
      <c r="B626" s="1">
        <v>45468</v>
      </c>
      <c r="C626" t="s">
        <v>1756</v>
      </c>
      <c r="D626" t="s">
        <v>3145</v>
      </c>
      <c r="E626" s="1">
        <v>45475</v>
      </c>
      <c r="F626" t="s">
        <v>29</v>
      </c>
      <c r="G626" t="s">
        <v>27</v>
      </c>
      <c r="H626" t="s">
        <v>28</v>
      </c>
      <c r="I626" t="s">
        <v>2659</v>
      </c>
      <c r="J626" t="s">
        <v>2660</v>
      </c>
      <c r="K626" t="s">
        <v>25</v>
      </c>
      <c r="L626">
        <v>25</v>
      </c>
      <c r="M626">
        <v>4</v>
      </c>
      <c r="N626">
        <v>30</v>
      </c>
      <c r="O626" t="s">
        <v>1757</v>
      </c>
      <c r="P626" t="s">
        <v>75</v>
      </c>
      <c r="Q626" t="s">
        <v>58</v>
      </c>
      <c r="R626" t="s">
        <v>62</v>
      </c>
      <c r="S626" t="s">
        <v>30</v>
      </c>
      <c r="T626">
        <v>5</v>
      </c>
      <c r="U626">
        <v>679.85</v>
      </c>
      <c r="V626">
        <v>1594.19</v>
      </c>
      <c r="W626">
        <v>7</v>
      </c>
      <c r="X626" t="s">
        <v>49</v>
      </c>
      <c r="Y626">
        <v>2024</v>
      </c>
    </row>
    <row r="627" spans="1:25" x14ac:dyDescent="0.3">
      <c r="A627" t="s">
        <v>1758</v>
      </c>
      <c r="B627" s="1">
        <v>45349</v>
      </c>
      <c r="C627" t="s">
        <v>1759</v>
      </c>
      <c r="D627" t="s">
        <v>3144</v>
      </c>
      <c r="E627" s="1">
        <v>45356</v>
      </c>
      <c r="F627" t="s">
        <v>122</v>
      </c>
      <c r="G627" t="s">
        <v>120</v>
      </c>
      <c r="H627" t="s">
        <v>121</v>
      </c>
      <c r="I627" t="s">
        <v>2668</v>
      </c>
      <c r="J627" t="s">
        <v>2669</v>
      </c>
      <c r="K627" t="s">
        <v>52</v>
      </c>
      <c r="L627">
        <v>34</v>
      </c>
      <c r="M627">
        <v>4</v>
      </c>
      <c r="N627">
        <v>5</v>
      </c>
      <c r="O627" t="s">
        <v>1222</v>
      </c>
      <c r="P627" t="s">
        <v>75</v>
      </c>
      <c r="Q627" t="s">
        <v>70</v>
      </c>
      <c r="R627" t="s">
        <v>62</v>
      </c>
      <c r="S627" t="s">
        <v>123</v>
      </c>
      <c r="T627">
        <v>1</v>
      </c>
      <c r="U627">
        <v>945.39</v>
      </c>
      <c r="V627">
        <v>2268.56</v>
      </c>
      <c r="W627">
        <v>7</v>
      </c>
      <c r="X627" t="s">
        <v>34</v>
      </c>
      <c r="Y627">
        <v>2024</v>
      </c>
    </row>
    <row r="628" spans="1:25" x14ac:dyDescent="0.3">
      <c r="A628" t="s">
        <v>1760</v>
      </c>
      <c r="B628" s="1">
        <v>45787</v>
      </c>
      <c r="C628" t="s">
        <v>1761</v>
      </c>
      <c r="D628" t="s">
        <v>3143</v>
      </c>
      <c r="E628" s="1">
        <v>45791</v>
      </c>
      <c r="F628" t="s">
        <v>122</v>
      </c>
      <c r="G628" t="s">
        <v>120</v>
      </c>
      <c r="H628" t="s">
        <v>121</v>
      </c>
      <c r="I628" t="s">
        <v>2668</v>
      </c>
      <c r="J628" t="s">
        <v>2682</v>
      </c>
      <c r="K628" t="s">
        <v>25</v>
      </c>
      <c r="L628">
        <v>53</v>
      </c>
      <c r="M628">
        <v>3</v>
      </c>
      <c r="N628">
        <v>25</v>
      </c>
      <c r="O628" t="s">
        <v>883</v>
      </c>
      <c r="P628" t="s">
        <v>75</v>
      </c>
      <c r="Q628" t="s">
        <v>117</v>
      </c>
      <c r="R628" t="s">
        <v>43</v>
      </c>
      <c r="S628" t="s">
        <v>123</v>
      </c>
      <c r="T628">
        <v>1</v>
      </c>
      <c r="U628">
        <v>950.69</v>
      </c>
      <c r="V628">
        <v>1652.06</v>
      </c>
      <c r="W628">
        <v>4</v>
      </c>
      <c r="X628" t="s">
        <v>49</v>
      </c>
      <c r="Y628">
        <v>2025</v>
      </c>
    </row>
    <row r="629" spans="1:25" x14ac:dyDescent="0.3">
      <c r="A629" t="s">
        <v>1762</v>
      </c>
      <c r="B629" s="1">
        <v>45717</v>
      </c>
      <c r="C629" t="s">
        <v>1763</v>
      </c>
      <c r="D629" t="s">
        <v>3142</v>
      </c>
      <c r="E629" s="1">
        <v>45722</v>
      </c>
      <c r="F629" t="s">
        <v>128</v>
      </c>
      <c r="G629" t="s">
        <v>98</v>
      </c>
      <c r="H629" t="s">
        <v>127</v>
      </c>
      <c r="I629" t="s">
        <v>2623</v>
      </c>
      <c r="J629" t="s">
        <v>2696</v>
      </c>
      <c r="K629" t="s">
        <v>25</v>
      </c>
      <c r="L629">
        <v>45</v>
      </c>
      <c r="M629">
        <v>5</v>
      </c>
      <c r="N629">
        <v>20</v>
      </c>
      <c r="O629" t="s">
        <v>771</v>
      </c>
      <c r="P629" t="s">
        <v>33</v>
      </c>
      <c r="Q629" t="s">
        <v>117</v>
      </c>
      <c r="R629" t="s">
        <v>71</v>
      </c>
      <c r="S629" t="s">
        <v>129</v>
      </c>
      <c r="T629">
        <v>1</v>
      </c>
      <c r="U629">
        <v>218.67</v>
      </c>
      <c r="V629">
        <v>457.92</v>
      </c>
      <c r="W629">
        <v>5</v>
      </c>
      <c r="X629" t="s">
        <v>34</v>
      </c>
      <c r="Y629">
        <v>2025</v>
      </c>
    </row>
    <row r="630" spans="1:25" x14ac:dyDescent="0.3">
      <c r="A630" t="s">
        <v>1764</v>
      </c>
      <c r="B630" s="1">
        <v>45427</v>
      </c>
      <c r="C630" t="s">
        <v>1765</v>
      </c>
      <c r="D630" t="s">
        <v>3141</v>
      </c>
      <c r="E630" s="1">
        <v>45432</v>
      </c>
      <c r="F630" t="s">
        <v>68</v>
      </c>
      <c r="G630" t="s">
        <v>66</v>
      </c>
      <c r="H630" t="s">
        <v>67</v>
      </c>
      <c r="I630" t="s">
        <v>2679</v>
      </c>
      <c r="J630" t="s">
        <v>2707</v>
      </c>
      <c r="K630" t="s">
        <v>52</v>
      </c>
      <c r="L630">
        <v>39</v>
      </c>
      <c r="M630">
        <v>1</v>
      </c>
      <c r="N630">
        <v>30</v>
      </c>
      <c r="O630" t="s">
        <v>1161</v>
      </c>
      <c r="P630" t="s">
        <v>75</v>
      </c>
      <c r="Q630" t="s">
        <v>117</v>
      </c>
      <c r="R630" t="s">
        <v>32</v>
      </c>
      <c r="S630" t="s">
        <v>69</v>
      </c>
      <c r="T630">
        <v>1</v>
      </c>
      <c r="U630">
        <v>505.2</v>
      </c>
      <c r="V630">
        <v>264.01</v>
      </c>
      <c r="W630">
        <v>5</v>
      </c>
      <c r="X630" t="s">
        <v>49</v>
      </c>
      <c r="Y630">
        <v>2024</v>
      </c>
    </row>
    <row r="631" spans="1:25" x14ac:dyDescent="0.3">
      <c r="A631" t="s">
        <v>1766</v>
      </c>
      <c r="B631" s="1">
        <v>45511</v>
      </c>
      <c r="C631" t="s">
        <v>1767</v>
      </c>
      <c r="D631" t="s">
        <v>3140</v>
      </c>
      <c r="E631" s="1">
        <v>45518</v>
      </c>
      <c r="F631" t="s">
        <v>68</v>
      </c>
      <c r="G631" t="s">
        <v>66</v>
      </c>
      <c r="H631" t="s">
        <v>67</v>
      </c>
      <c r="I631" t="s">
        <v>2641</v>
      </c>
      <c r="J631" t="s">
        <v>2713</v>
      </c>
      <c r="K631" t="s">
        <v>52</v>
      </c>
      <c r="L631">
        <v>65</v>
      </c>
      <c r="M631">
        <v>3</v>
      </c>
      <c r="N631">
        <v>25</v>
      </c>
      <c r="O631" t="s">
        <v>1327</v>
      </c>
      <c r="P631" t="s">
        <v>44</v>
      </c>
      <c r="Q631" t="s">
        <v>58</v>
      </c>
      <c r="R631" t="s">
        <v>62</v>
      </c>
      <c r="S631" t="s">
        <v>69</v>
      </c>
      <c r="T631">
        <v>5</v>
      </c>
      <c r="U631">
        <v>430.05</v>
      </c>
      <c r="V631">
        <v>710.73</v>
      </c>
      <c r="W631">
        <v>7</v>
      </c>
      <c r="X631" t="s">
        <v>45</v>
      </c>
      <c r="Y631">
        <v>2024</v>
      </c>
    </row>
    <row r="632" spans="1:25" x14ac:dyDescent="0.3">
      <c r="A632" t="s">
        <v>1768</v>
      </c>
      <c r="B632" s="1">
        <v>45428</v>
      </c>
      <c r="C632" t="s">
        <v>1769</v>
      </c>
      <c r="D632" t="s">
        <v>3139</v>
      </c>
      <c r="E632" s="1">
        <v>45434</v>
      </c>
      <c r="F632" t="s">
        <v>29</v>
      </c>
      <c r="G632" t="s">
        <v>27</v>
      </c>
      <c r="H632" t="s">
        <v>28</v>
      </c>
      <c r="I632" t="s">
        <v>2633</v>
      </c>
      <c r="J632" t="s">
        <v>2695</v>
      </c>
      <c r="K632" t="s">
        <v>52</v>
      </c>
      <c r="L632">
        <v>40</v>
      </c>
      <c r="M632">
        <v>5</v>
      </c>
      <c r="N632">
        <v>15</v>
      </c>
      <c r="O632" t="s">
        <v>78</v>
      </c>
      <c r="P632" t="s">
        <v>33</v>
      </c>
      <c r="Q632" t="s">
        <v>70</v>
      </c>
      <c r="R632" t="s">
        <v>32</v>
      </c>
      <c r="S632" t="s">
        <v>30</v>
      </c>
      <c r="T632">
        <v>1</v>
      </c>
      <c r="U632">
        <v>758.16</v>
      </c>
      <c r="V632">
        <v>2367.4499999999998</v>
      </c>
      <c r="W632">
        <v>6</v>
      </c>
      <c r="X632" t="s">
        <v>49</v>
      </c>
      <c r="Y632">
        <v>2024</v>
      </c>
    </row>
    <row r="633" spans="1:25" x14ac:dyDescent="0.3">
      <c r="A633" t="s">
        <v>1770</v>
      </c>
      <c r="B633" s="1">
        <v>45860</v>
      </c>
      <c r="C633" t="s">
        <v>1771</v>
      </c>
      <c r="D633" t="s">
        <v>3138</v>
      </c>
      <c r="E633" s="1">
        <v>45865</v>
      </c>
      <c r="F633" t="s">
        <v>122</v>
      </c>
      <c r="G633" t="s">
        <v>120</v>
      </c>
      <c r="H633" t="s">
        <v>121</v>
      </c>
      <c r="I633" t="s">
        <v>2629</v>
      </c>
      <c r="J633" t="s">
        <v>2689</v>
      </c>
      <c r="K633" t="s">
        <v>25</v>
      </c>
      <c r="L633">
        <v>28</v>
      </c>
      <c r="M633">
        <v>2</v>
      </c>
      <c r="N633">
        <v>10</v>
      </c>
      <c r="O633" t="s">
        <v>1772</v>
      </c>
      <c r="P633" t="s">
        <v>75</v>
      </c>
      <c r="Q633" t="s">
        <v>42</v>
      </c>
      <c r="R633" t="s">
        <v>62</v>
      </c>
      <c r="S633" t="s">
        <v>123</v>
      </c>
      <c r="T633">
        <v>4</v>
      </c>
      <c r="U633">
        <v>197.3</v>
      </c>
      <c r="V633">
        <v>232.18</v>
      </c>
      <c r="W633">
        <v>5</v>
      </c>
      <c r="X633" t="s">
        <v>45</v>
      </c>
      <c r="Y633">
        <v>2025</v>
      </c>
    </row>
    <row r="634" spans="1:25" x14ac:dyDescent="0.3">
      <c r="A634" t="s">
        <v>1773</v>
      </c>
      <c r="B634" s="1">
        <v>45576</v>
      </c>
      <c r="C634" t="s">
        <v>1774</v>
      </c>
      <c r="D634" t="s">
        <v>3137</v>
      </c>
      <c r="E634" s="1">
        <v>45580</v>
      </c>
      <c r="F634" t="s">
        <v>128</v>
      </c>
      <c r="G634" t="s">
        <v>98</v>
      </c>
      <c r="H634" t="s">
        <v>127</v>
      </c>
      <c r="I634" t="s">
        <v>2629</v>
      </c>
      <c r="J634" t="s">
        <v>2697</v>
      </c>
      <c r="K634" t="s">
        <v>25</v>
      </c>
      <c r="L634">
        <v>26</v>
      </c>
      <c r="M634">
        <v>4</v>
      </c>
      <c r="N634">
        <v>10</v>
      </c>
      <c r="O634" t="s">
        <v>1435</v>
      </c>
      <c r="P634" t="s">
        <v>44</v>
      </c>
      <c r="Q634" t="s">
        <v>42</v>
      </c>
      <c r="R634" t="s">
        <v>43</v>
      </c>
      <c r="S634" t="s">
        <v>129</v>
      </c>
      <c r="T634">
        <v>4</v>
      </c>
      <c r="U634">
        <v>231.12</v>
      </c>
      <c r="V634">
        <v>511.65</v>
      </c>
      <c r="W634">
        <v>4</v>
      </c>
      <c r="X634" t="s">
        <v>94</v>
      </c>
      <c r="Y634">
        <v>2024</v>
      </c>
    </row>
    <row r="635" spans="1:25" x14ac:dyDescent="0.3">
      <c r="A635" t="s">
        <v>1775</v>
      </c>
      <c r="B635" s="1">
        <v>45889</v>
      </c>
      <c r="C635" t="s">
        <v>1776</v>
      </c>
      <c r="D635" t="s">
        <v>3136</v>
      </c>
      <c r="E635" s="1">
        <v>45892</v>
      </c>
      <c r="F635" t="s">
        <v>100</v>
      </c>
      <c r="G635" t="s">
        <v>98</v>
      </c>
      <c r="H635" t="s">
        <v>99</v>
      </c>
      <c r="I635" t="s">
        <v>2663</v>
      </c>
      <c r="J635" t="s">
        <v>2664</v>
      </c>
      <c r="K635" t="s">
        <v>25</v>
      </c>
      <c r="L635">
        <v>36</v>
      </c>
      <c r="M635">
        <v>2</v>
      </c>
      <c r="N635">
        <v>20</v>
      </c>
      <c r="O635" t="s">
        <v>1777</v>
      </c>
      <c r="P635" t="s">
        <v>33</v>
      </c>
      <c r="Q635" t="s">
        <v>58</v>
      </c>
      <c r="R635" t="s">
        <v>32</v>
      </c>
      <c r="S635" t="s">
        <v>101</v>
      </c>
      <c r="T635">
        <v>5</v>
      </c>
      <c r="U635">
        <v>829.98</v>
      </c>
      <c r="V635">
        <v>962.67</v>
      </c>
      <c r="W635">
        <v>3</v>
      </c>
      <c r="X635" t="s">
        <v>45</v>
      </c>
      <c r="Y635">
        <v>2025</v>
      </c>
    </row>
    <row r="636" spans="1:25" x14ac:dyDescent="0.3">
      <c r="A636" t="s">
        <v>1778</v>
      </c>
      <c r="B636" s="1">
        <v>45597</v>
      </c>
      <c r="C636" t="s">
        <v>1779</v>
      </c>
      <c r="D636" t="s">
        <v>3135</v>
      </c>
      <c r="E636" s="1">
        <v>45604</v>
      </c>
      <c r="F636" t="s">
        <v>29</v>
      </c>
      <c r="G636" t="s">
        <v>27</v>
      </c>
      <c r="H636" t="s">
        <v>28</v>
      </c>
      <c r="I636" t="s">
        <v>2637</v>
      </c>
      <c r="J636" t="s">
        <v>2649</v>
      </c>
      <c r="K636" t="s">
        <v>52</v>
      </c>
      <c r="L636">
        <v>57</v>
      </c>
      <c r="M636">
        <v>5</v>
      </c>
      <c r="N636">
        <v>25</v>
      </c>
      <c r="O636" t="s">
        <v>1780</v>
      </c>
      <c r="P636" t="s">
        <v>44</v>
      </c>
      <c r="Q636" t="s">
        <v>70</v>
      </c>
      <c r="R636" t="s">
        <v>43</v>
      </c>
      <c r="S636" t="s">
        <v>30</v>
      </c>
      <c r="T636">
        <v>2</v>
      </c>
      <c r="U636">
        <v>943.06</v>
      </c>
      <c r="V636">
        <v>1835.78</v>
      </c>
      <c r="W636">
        <v>7</v>
      </c>
      <c r="X636" t="s">
        <v>94</v>
      </c>
      <c r="Y636">
        <v>2024</v>
      </c>
    </row>
    <row r="637" spans="1:25" x14ac:dyDescent="0.3">
      <c r="A637" t="s">
        <v>1781</v>
      </c>
      <c r="B637" s="1">
        <v>46112</v>
      </c>
      <c r="C637" t="s">
        <v>1782</v>
      </c>
      <c r="D637" t="s">
        <v>3134</v>
      </c>
      <c r="E637" s="1">
        <v>46118</v>
      </c>
      <c r="F637" t="s">
        <v>56</v>
      </c>
      <c r="G637" t="s">
        <v>54</v>
      </c>
      <c r="H637" t="s">
        <v>55</v>
      </c>
      <c r="I637" t="s">
        <v>2647</v>
      </c>
      <c r="J637" t="s">
        <v>2658</v>
      </c>
      <c r="K637" t="s">
        <v>25</v>
      </c>
      <c r="L637">
        <v>48</v>
      </c>
      <c r="M637">
        <v>5</v>
      </c>
      <c r="N637">
        <v>20</v>
      </c>
      <c r="O637" t="s">
        <v>1783</v>
      </c>
      <c r="P637" t="s">
        <v>44</v>
      </c>
      <c r="Q637" t="s">
        <v>42</v>
      </c>
      <c r="R637" t="s">
        <v>62</v>
      </c>
      <c r="S637" t="s">
        <v>57</v>
      </c>
      <c r="T637">
        <v>4</v>
      </c>
      <c r="U637">
        <v>489.83</v>
      </c>
      <c r="V637">
        <v>1533.46</v>
      </c>
      <c r="W637">
        <v>6</v>
      </c>
      <c r="X637" t="s">
        <v>34</v>
      </c>
      <c r="Y637">
        <v>2026</v>
      </c>
    </row>
    <row r="638" spans="1:25" x14ac:dyDescent="0.3">
      <c r="A638" t="s">
        <v>1784</v>
      </c>
      <c r="B638" s="1">
        <v>46125</v>
      </c>
      <c r="C638" t="s">
        <v>1785</v>
      </c>
      <c r="D638" t="s">
        <v>3133</v>
      </c>
      <c r="E638" s="1">
        <v>46129</v>
      </c>
      <c r="F638" t="s">
        <v>122</v>
      </c>
      <c r="G638" t="s">
        <v>120</v>
      </c>
      <c r="H638" t="s">
        <v>121</v>
      </c>
      <c r="I638" t="s">
        <v>2634</v>
      </c>
      <c r="J638" t="s">
        <v>2714</v>
      </c>
      <c r="K638" t="s">
        <v>52</v>
      </c>
      <c r="L638">
        <v>30</v>
      </c>
      <c r="M638">
        <v>4</v>
      </c>
      <c r="N638">
        <v>15</v>
      </c>
      <c r="O638" t="s">
        <v>543</v>
      </c>
      <c r="P638" t="s">
        <v>44</v>
      </c>
      <c r="Q638" t="s">
        <v>31</v>
      </c>
      <c r="R638" t="s">
        <v>43</v>
      </c>
      <c r="S638" t="s">
        <v>123</v>
      </c>
      <c r="T638">
        <v>5</v>
      </c>
      <c r="U638">
        <v>846.78</v>
      </c>
      <c r="V638">
        <v>1799.77</v>
      </c>
      <c r="W638">
        <v>4</v>
      </c>
      <c r="X638" t="s">
        <v>49</v>
      </c>
      <c r="Y638">
        <v>2026</v>
      </c>
    </row>
    <row r="639" spans="1:25" x14ac:dyDescent="0.3">
      <c r="A639" t="s">
        <v>1786</v>
      </c>
      <c r="B639" s="1">
        <v>45782</v>
      </c>
      <c r="C639" t="s">
        <v>1787</v>
      </c>
      <c r="D639" t="s">
        <v>3132</v>
      </c>
      <c r="E639" s="1">
        <v>45787</v>
      </c>
      <c r="F639" t="s">
        <v>68</v>
      </c>
      <c r="G639" t="s">
        <v>66</v>
      </c>
      <c r="H639" t="s">
        <v>67</v>
      </c>
      <c r="I639" t="s">
        <v>2623</v>
      </c>
      <c r="J639" t="s">
        <v>2696</v>
      </c>
      <c r="K639" t="s">
        <v>52</v>
      </c>
      <c r="L639">
        <v>40</v>
      </c>
      <c r="M639">
        <v>4</v>
      </c>
      <c r="N639">
        <v>15</v>
      </c>
      <c r="O639" t="s">
        <v>1788</v>
      </c>
      <c r="P639" t="s">
        <v>33</v>
      </c>
      <c r="Q639" t="s">
        <v>42</v>
      </c>
      <c r="R639" t="s">
        <v>62</v>
      </c>
      <c r="S639" t="s">
        <v>69</v>
      </c>
      <c r="T639">
        <v>1</v>
      </c>
      <c r="U639">
        <v>732.29</v>
      </c>
      <c r="V639">
        <v>1871.67</v>
      </c>
      <c r="W639">
        <v>5</v>
      </c>
      <c r="X639" t="s">
        <v>49</v>
      </c>
      <c r="Y639">
        <v>2025</v>
      </c>
    </row>
    <row r="640" spans="1:25" x14ac:dyDescent="0.3">
      <c r="A640" t="s">
        <v>1789</v>
      </c>
      <c r="B640" s="1">
        <v>45547</v>
      </c>
      <c r="C640" t="s">
        <v>1790</v>
      </c>
      <c r="D640" t="s">
        <v>3131</v>
      </c>
      <c r="E640" s="1">
        <v>45549</v>
      </c>
      <c r="F640" t="s">
        <v>100</v>
      </c>
      <c r="G640" t="s">
        <v>98</v>
      </c>
      <c r="H640" t="s">
        <v>99</v>
      </c>
      <c r="I640" t="s">
        <v>2679</v>
      </c>
      <c r="J640" t="s">
        <v>2685</v>
      </c>
      <c r="K640" t="s">
        <v>52</v>
      </c>
      <c r="L640">
        <v>30</v>
      </c>
      <c r="M640">
        <v>4</v>
      </c>
      <c r="N640">
        <v>20</v>
      </c>
      <c r="O640" t="s">
        <v>1791</v>
      </c>
      <c r="P640" t="s">
        <v>33</v>
      </c>
      <c r="Q640" t="s">
        <v>70</v>
      </c>
      <c r="R640" t="s">
        <v>32</v>
      </c>
      <c r="S640" t="s">
        <v>101</v>
      </c>
      <c r="T640">
        <v>3</v>
      </c>
      <c r="U640">
        <v>910</v>
      </c>
      <c r="V640">
        <v>2217.9</v>
      </c>
      <c r="W640">
        <v>2</v>
      </c>
      <c r="X640" t="s">
        <v>45</v>
      </c>
      <c r="Y640">
        <v>2024</v>
      </c>
    </row>
    <row r="641" spans="1:25" x14ac:dyDescent="0.3">
      <c r="A641" t="s">
        <v>1792</v>
      </c>
      <c r="B641" s="1">
        <v>45846</v>
      </c>
      <c r="C641" t="s">
        <v>1793</v>
      </c>
      <c r="D641" t="s">
        <v>3130</v>
      </c>
      <c r="E641" s="1">
        <v>45849</v>
      </c>
      <c r="F641" t="s">
        <v>29</v>
      </c>
      <c r="G641" t="s">
        <v>27</v>
      </c>
      <c r="H641" t="s">
        <v>28</v>
      </c>
      <c r="I641" t="s">
        <v>2668</v>
      </c>
      <c r="J641" t="s">
        <v>2708</v>
      </c>
      <c r="K641" t="s">
        <v>52</v>
      </c>
      <c r="L641">
        <v>64</v>
      </c>
      <c r="M641">
        <v>4</v>
      </c>
      <c r="N641">
        <v>20</v>
      </c>
      <c r="O641" t="s">
        <v>889</v>
      </c>
      <c r="P641" t="s">
        <v>75</v>
      </c>
      <c r="Q641" t="s">
        <v>117</v>
      </c>
      <c r="R641" t="s">
        <v>43</v>
      </c>
      <c r="S641" t="s">
        <v>30</v>
      </c>
      <c r="T641">
        <v>5</v>
      </c>
      <c r="U641">
        <v>311.19</v>
      </c>
      <c r="V641">
        <v>656.73</v>
      </c>
      <c r="W641">
        <v>3</v>
      </c>
      <c r="X641" t="s">
        <v>45</v>
      </c>
      <c r="Y641">
        <v>2025</v>
      </c>
    </row>
    <row r="642" spans="1:25" x14ac:dyDescent="0.3">
      <c r="A642" t="s">
        <v>1794</v>
      </c>
      <c r="B642" s="1">
        <v>45667</v>
      </c>
      <c r="C642" t="s">
        <v>1795</v>
      </c>
      <c r="D642" t="s">
        <v>3129</v>
      </c>
      <c r="E642" s="1">
        <v>45668</v>
      </c>
      <c r="F642" t="s">
        <v>56</v>
      </c>
      <c r="G642" t="s">
        <v>54</v>
      </c>
      <c r="H642" t="s">
        <v>55</v>
      </c>
      <c r="I642" t="s">
        <v>2654</v>
      </c>
      <c r="J642" t="s">
        <v>2702</v>
      </c>
      <c r="K642" t="s">
        <v>52</v>
      </c>
      <c r="L642">
        <v>23</v>
      </c>
      <c r="M642">
        <v>5</v>
      </c>
      <c r="N642">
        <v>15</v>
      </c>
      <c r="O642" t="s">
        <v>1109</v>
      </c>
      <c r="P642" t="s">
        <v>44</v>
      </c>
      <c r="Q642" t="s">
        <v>58</v>
      </c>
      <c r="R642" t="s">
        <v>43</v>
      </c>
      <c r="S642" t="s">
        <v>57</v>
      </c>
      <c r="T642">
        <v>5</v>
      </c>
      <c r="U642">
        <v>394.96</v>
      </c>
      <c r="V642">
        <v>1286.0999999999999</v>
      </c>
      <c r="W642">
        <v>1</v>
      </c>
      <c r="X642" t="s">
        <v>34</v>
      </c>
      <c r="Y642">
        <v>2025</v>
      </c>
    </row>
    <row r="643" spans="1:25" x14ac:dyDescent="0.3">
      <c r="A643" t="s">
        <v>1796</v>
      </c>
      <c r="B643" s="1">
        <v>46121</v>
      </c>
      <c r="C643" t="s">
        <v>1797</v>
      </c>
      <c r="D643" t="s">
        <v>3128</v>
      </c>
      <c r="E643" s="1">
        <v>46125</v>
      </c>
      <c r="F643" t="s">
        <v>122</v>
      </c>
      <c r="G643" t="s">
        <v>120</v>
      </c>
      <c r="H643" t="s">
        <v>121</v>
      </c>
      <c r="I643" t="s">
        <v>2668</v>
      </c>
      <c r="J643" t="s">
        <v>2682</v>
      </c>
      <c r="K643" t="s">
        <v>52</v>
      </c>
      <c r="L643">
        <v>55</v>
      </c>
      <c r="M643">
        <v>5</v>
      </c>
      <c r="N643">
        <v>10</v>
      </c>
      <c r="O643" t="s">
        <v>1059</v>
      </c>
      <c r="P643" t="s">
        <v>75</v>
      </c>
      <c r="Q643" t="s">
        <v>58</v>
      </c>
      <c r="R643" t="s">
        <v>32</v>
      </c>
      <c r="S643" t="s">
        <v>123</v>
      </c>
      <c r="T643">
        <v>3</v>
      </c>
      <c r="U643">
        <v>232.45</v>
      </c>
      <c r="V643">
        <v>547.89</v>
      </c>
      <c r="W643">
        <v>4</v>
      </c>
      <c r="X643" t="s">
        <v>49</v>
      </c>
      <c r="Y643">
        <v>2026</v>
      </c>
    </row>
    <row r="644" spans="1:25" x14ac:dyDescent="0.3">
      <c r="A644" t="s">
        <v>1798</v>
      </c>
      <c r="B644" s="1">
        <v>45414</v>
      </c>
      <c r="C644" t="s">
        <v>1799</v>
      </c>
      <c r="D644" t="s">
        <v>3127</v>
      </c>
      <c r="E644" s="1">
        <v>45415</v>
      </c>
      <c r="F644" t="s">
        <v>122</v>
      </c>
      <c r="G644" t="s">
        <v>120</v>
      </c>
      <c r="H644" t="s">
        <v>121</v>
      </c>
      <c r="I644" t="s">
        <v>2661</v>
      </c>
      <c r="J644" t="s">
        <v>2671</v>
      </c>
      <c r="K644" t="s">
        <v>52</v>
      </c>
      <c r="L644">
        <v>45</v>
      </c>
      <c r="M644">
        <v>3</v>
      </c>
      <c r="N644">
        <v>0</v>
      </c>
      <c r="O644" t="s">
        <v>1669</v>
      </c>
      <c r="P644" t="s">
        <v>75</v>
      </c>
      <c r="Q644" t="s">
        <v>31</v>
      </c>
      <c r="R644" t="s">
        <v>62</v>
      </c>
      <c r="S644" t="s">
        <v>123</v>
      </c>
      <c r="T644">
        <v>2</v>
      </c>
      <c r="U644">
        <v>172.18</v>
      </c>
      <c r="V644">
        <v>348.2</v>
      </c>
      <c r="W644">
        <v>1</v>
      </c>
      <c r="X644" t="s">
        <v>49</v>
      </c>
      <c r="Y644">
        <v>2024</v>
      </c>
    </row>
    <row r="645" spans="1:25" x14ac:dyDescent="0.3">
      <c r="A645" t="s">
        <v>1800</v>
      </c>
      <c r="B645" s="1">
        <v>45536</v>
      </c>
      <c r="C645" t="s">
        <v>1801</v>
      </c>
      <c r="D645" t="s">
        <v>2749</v>
      </c>
      <c r="E645" s="1">
        <v>45541</v>
      </c>
      <c r="F645" t="s">
        <v>100</v>
      </c>
      <c r="G645" t="s">
        <v>98</v>
      </c>
      <c r="H645" t="s">
        <v>99</v>
      </c>
      <c r="I645" t="s">
        <v>2625</v>
      </c>
      <c r="J645" t="s">
        <v>2667</v>
      </c>
      <c r="K645" t="s">
        <v>25</v>
      </c>
      <c r="L645">
        <v>20</v>
      </c>
      <c r="M645">
        <v>4</v>
      </c>
      <c r="N645">
        <v>10</v>
      </c>
      <c r="O645" t="s">
        <v>1802</v>
      </c>
      <c r="P645" t="s">
        <v>75</v>
      </c>
      <c r="Q645" t="s">
        <v>58</v>
      </c>
      <c r="R645" t="s">
        <v>43</v>
      </c>
      <c r="S645" t="s">
        <v>101</v>
      </c>
      <c r="T645">
        <v>5</v>
      </c>
      <c r="U645">
        <v>272.16000000000003</v>
      </c>
      <c r="V645">
        <v>774.21</v>
      </c>
      <c r="W645">
        <v>5</v>
      </c>
      <c r="X645" t="s">
        <v>45</v>
      </c>
      <c r="Y645">
        <v>2024</v>
      </c>
    </row>
    <row r="646" spans="1:25" x14ac:dyDescent="0.3">
      <c r="A646" t="s">
        <v>1803</v>
      </c>
      <c r="B646" s="1">
        <v>45663</v>
      </c>
      <c r="C646" t="s">
        <v>1804</v>
      </c>
      <c r="D646" t="s">
        <v>3126</v>
      </c>
      <c r="E646" s="1">
        <v>45670</v>
      </c>
      <c r="F646" t="s">
        <v>56</v>
      </c>
      <c r="G646" t="s">
        <v>54</v>
      </c>
      <c r="H646" t="s">
        <v>55</v>
      </c>
      <c r="I646" t="s">
        <v>2632</v>
      </c>
      <c r="J646" t="s">
        <v>2645</v>
      </c>
      <c r="K646" t="s">
        <v>52</v>
      </c>
      <c r="L646">
        <v>41</v>
      </c>
      <c r="M646">
        <v>3</v>
      </c>
      <c r="N646">
        <v>30</v>
      </c>
      <c r="O646" t="s">
        <v>1805</v>
      </c>
      <c r="P646" t="s">
        <v>75</v>
      </c>
      <c r="Q646" t="s">
        <v>58</v>
      </c>
      <c r="R646" t="s">
        <v>32</v>
      </c>
      <c r="S646" t="s">
        <v>57</v>
      </c>
      <c r="T646">
        <v>3</v>
      </c>
      <c r="U646">
        <v>776.26</v>
      </c>
      <c r="V646">
        <v>1331.91</v>
      </c>
      <c r="W646">
        <v>7</v>
      </c>
      <c r="X646" t="s">
        <v>34</v>
      </c>
      <c r="Y646">
        <v>2025</v>
      </c>
    </row>
    <row r="647" spans="1:25" x14ac:dyDescent="0.3">
      <c r="A647" t="s">
        <v>1806</v>
      </c>
      <c r="B647" s="1">
        <v>45749</v>
      </c>
      <c r="C647" t="s">
        <v>1807</v>
      </c>
      <c r="D647" t="s">
        <v>3125</v>
      </c>
      <c r="E647" s="1">
        <v>45753</v>
      </c>
      <c r="F647" t="s">
        <v>40</v>
      </c>
      <c r="G647" t="s">
        <v>38</v>
      </c>
      <c r="H647" t="s">
        <v>39</v>
      </c>
      <c r="I647" t="s">
        <v>2668</v>
      </c>
      <c r="J647" t="s">
        <v>2708</v>
      </c>
      <c r="K647" t="s">
        <v>52</v>
      </c>
      <c r="L647">
        <v>45</v>
      </c>
      <c r="M647">
        <v>5</v>
      </c>
      <c r="N647">
        <v>0</v>
      </c>
      <c r="O647" t="s">
        <v>1295</v>
      </c>
      <c r="P647" t="s">
        <v>44</v>
      </c>
      <c r="Q647" t="s">
        <v>70</v>
      </c>
      <c r="R647" t="s">
        <v>43</v>
      </c>
      <c r="S647" t="s">
        <v>41</v>
      </c>
      <c r="T647">
        <v>2</v>
      </c>
      <c r="U647">
        <v>770.87</v>
      </c>
      <c r="V647">
        <v>2195.36</v>
      </c>
      <c r="W647">
        <v>4</v>
      </c>
      <c r="X647" t="s">
        <v>49</v>
      </c>
      <c r="Y647">
        <v>2025</v>
      </c>
    </row>
    <row r="648" spans="1:25" x14ac:dyDescent="0.3">
      <c r="A648" t="s">
        <v>1808</v>
      </c>
      <c r="B648" s="1">
        <v>45659</v>
      </c>
      <c r="C648" t="s">
        <v>1809</v>
      </c>
      <c r="D648" t="s">
        <v>2748</v>
      </c>
      <c r="E648" s="1">
        <v>45666</v>
      </c>
      <c r="F648" t="s">
        <v>115</v>
      </c>
      <c r="G648" t="s">
        <v>66</v>
      </c>
      <c r="H648" t="s">
        <v>114</v>
      </c>
      <c r="I648" t="s">
        <v>2622</v>
      </c>
      <c r="J648" t="s">
        <v>2686</v>
      </c>
      <c r="K648" t="s">
        <v>52</v>
      </c>
      <c r="L648">
        <v>62</v>
      </c>
      <c r="M648">
        <v>4</v>
      </c>
      <c r="N648">
        <v>15</v>
      </c>
      <c r="O648" t="s">
        <v>687</v>
      </c>
      <c r="P648" t="s">
        <v>33</v>
      </c>
      <c r="Q648" t="s">
        <v>70</v>
      </c>
      <c r="R648" t="s">
        <v>43</v>
      </c>
      <c r="S648" t="s">
        <v>116</v>
      </c>
      <c r="T648">
        <v>2</v>
      </c>
      <c r="U648">
        <v>71.72</v>
      </c>
      <c r="V648">
        <v>191.49</v>
      </c>
      <c r="W648">
        <v>7</v>
      </c>
      <c r="X648" t="s">
        <v>34</v>
      </c>
      <c r="Y648">
        <v>2025</v>
      </c>
    </row>
    <row r="649" spans="1:25" x14ac:dyDescent="0.3">
      <c r="A649" t="s">
        <v>1810</v>
      </c>
      <c r="B649" s="1">
        <v>45461</v>
      </c>
      <c r="C649" t="s">
        <v>1811</v>
      </c>
      <c r="D649" t="s">
        <v>2746</v>
      </c>
      <c r="E649" s="1">
        <v>45466</v>
      </c>
      <c r="F649" t="s">
        <v>40</v>
      </c>
      <c r="G649" t="s">
        <v>38</v>
      </c>
      <c r="H649" t="s">
        <v>39</v>
      </c>
      <c r="I649" t="s">
        <v>2631</v>
      </c>
      <c r="J649" t="s">
        <v>2674</v>
      </c>
      <c r="K649" t="s">
        <v>52</v>
      </c>
      <c r="L649">
        <v>47</v>
      </c>
      <c r="M649">
        <v>5</v>
      </c>
      <c r="N649">
        <v>0</v>
      </c>
      <c r="O649" t="s">
        <v>347</v>
      </c>
      <c r="P649" t="s">
        <v>44</v>
      </c>
      <c r="Q649" t="s">
        <v>31</v>
      </c>
      <c r="R649" t="s">
        <v>62</v>
      </c>
      <c r="S649" t="s">
        <v>41</v>
      </c>
      <c r="T649">
        <v>1</v>
      </c>
      <c r="U649">
        <v>425.1</v>
      </c>
      <c r="V649">
        <v>1492.4</v>
      </c>
      <c r="W649">
        <v>5</v>
      </c>
      <c r="X649" t="s">
        <v>49</v>
      </c>
      <c r="Y649">
        <v>2024</v>
      </c>
    </row>
    <row r="650" spans="1:25" x14ac:dyDescent="0.3">
      <c r="A650" t="s">
        <v>1812</v>
      </c>
      <c r="B650" s="1">
        <v>46163</v>
      </c>
      <c r="C650" t="s">
        <v>1813</v>
      </c>
      <c r="D650" t="s">
        <v>3124</v>
      </c>
      <c r="E650" s="1">
        <v>46164</v>
      </c>
      <c r="F650" t="s">
        <v>140</v>
      </c>
      <c r="G650" t="s">
        <v>38</v>
      </c>
      <c r="H650" t="s">
        <v>139</v>
      </c>
      <c r="I650" t="s">
        <v>2656</v>
      </c>
      <c r="J650" t="s">
        <v>2712</v>
      </c>
      <c r="K650" t="s">
        <v>52</v>
      </c>
      <c r="L650">
        <v>43</v>
      </c>
      <c r="M650">
        <v>4</v>
      </c>
      <c r="N650">
        <v>20</v>
      </c>
      <c r="O650" t="s">
        <v>1814</v>
      </c>
      <c r="P650" t="s">
        <v>33</v>
      </c>
      <c r="Q650" t="s">
        <v>31</v>
      </c>
      <c r="R650" t="s">
        <v>43</v>
      </c>
      <c r="S650" t="s">
        <v>141</v>
      </c>
      <c r="T650">
        <v>3</v>
      </c>
      <c r="U650">
        <v>499.31</v>
      </c>
      <c r="V650">
        <v>1144.54</v>
      </c>
      <c r="W650">
        <v>1</v>
      </c>
      <c r="X650" t="s">
        <v>49</v>
      </c>
      <c r="Y650">
        <v>2026</v>
      </c>
    </row>
    <row r="651" spans="1:25" x14ac:dyDescent="0.3">
      <c r="A651" t="s">
        <v>1815</v>
      </c>
      <c r="B651" s="1">
        <v>45299</v>
      </c>
      <c r="C651" t="s">
        <v>1816</v>
      </c>
      <c r="D651" t="s">
        <v>2747</v>
      </c>
      <c r="E651" s="1">
        <v>45302</v>
      </c>
      <c r="F651" t="s">
        <v>122</v>
      </c>
      <c r="G651" t="s">
        <v>120</v>
      </c>
      <c r="H651" t="s">
        <v>121</v>
      </c>
      <c r="I651" t="s">
        <v>2679</v>
      </c>
      <c r="J651" t="s">
        <v>2685</v>
      </c>
      <c r="K651" t="s">
        <v>25</v>
      </c>
      <c r="L651">
        <v>24</v>
      </c>
      <c r="M651">
        <v>1</v>
      </c>
      <c r="N651">
        <v>15</v>
      </c>
      <c r="O651" t="s">
        <v>1059</v>
      </c>
      <c r="P651" t="s">
        <v>75</v>
      </c>
      <c r="Q651" t="s">
        <v>117</v>
      </c>
      <c r="R651" t="s">
        <v>43</v>
      </c>
      <c r="S651" t="s">
        <v>123</v>
      </c>
      <c r="T651">
        <v>1</v>
      </c>
      <c r="U651">
        <v>650.23</v>
      </c>
      <c r="V651">
        <v>338.6</v>
      </c>
      <c r="W651">
        <v>3</v>
      </c>
      <c r="X651" t="s">
        <v>34</v>
      </c>
      <c r="Y651">
        <v>2024</v>
      </c>
    </row>
    <row r="652" spans="1:25" x14ac:dyDescent="0.3">
      <c r="A652" t="s">
        <v>1817</v>
      </c>
      <c r="B652" s="1">
        <v>46052</v>
      </c>
      <c r="C652" t="s">
        <v>1818</v>
      </c>
      <c r="D652" t="s">
        <v>3123</v>
      </c>
      <c r="E652" s="1">
        <v>46055</v>
      </c>
      <c r="F652" t="s">
        <v>122</v>
      </c>
      <c r="G652" t="s">
        <v>120</v>
      </c>
      <c r="H652" t="s">
        <v>121</v>
      </c>
      <c r="I652" t="s">
        <v>2679</v>
      </c>
      <c r="J652" t="s">
        <v>2707</v>
      </c>
      <c r="K652" t="s">
        <v>52</v>
      </c>
      <c r="L652">
        <v>26</v>
      </c>
      <c r="M652">
        <v>2</v>
      </c>
      <c r="N652">
        <v>15</v>
      </c>
      <c r="O652" t="s">
        <v>899</v>
      </c>
      <c r="P652" t="s">
        <v>75</v>
      </c>
      <c r="Q652" t="s">
        <v>31</v>
      </c>
      <c r="R652" t="s">
        <v>62</v>
      </c>
      <c r="S652" t="s">
        <v>123</v>
      </c>
      <c r="T652">
        <v>2</v>
      </c>
      <c r="U652">
        <v>268.19</v>
      </c>
      <c r="V652">
        <v>345.97</v>
      </c>
      <c r="W652">
        <v>3</v>
      </c>
      <c r="X652" t="s">
        <v>34</v>
      </c>
      <c r="Y652">
        <v>2026</v>
      </c>
    </row>
    <row r="653" spans="1:25" x14ac:dyDescent="0.3">
      <c r="A653" t="s">
        <v>1819</v>
      </c>
      <c r="B653" s="1">
        <v>45802</v>
      </c>
      <c r="C653" t="s">
        <v>1820</v>
      </c>
      <c r="D653" t="s">
        <v>3122</v>
      </c>
      <c r="E653" s="1">
        <v>45807</v>
      </c>
      <c r="F653" t="s">
        <v>122</v>
      </c>
      <c r="G653" t="s">
        <v>120</v>
      </c>
      <c r="H653" t="s">
        <v>121</v>
      </c>
      <c r="I653" t="s">
        <v>2632</v>
      </c>
      <c r="J653" t="s">
        <v>2645</v>
      </c>
      <c r="K653" t="s">
        <v>52</v>
      </c>
      <c r="L653">
        <v>20</v>
      </c>
      <c r="M653">
        <v>4</v>
      </c>
      <c r="N653">
        <v>15</v>
      </c>
      <c r="O653" t="s">
        <v>1821</v>
      </c>
      <c r="P653" t="s">
        <v>75</v>
      </c>
      <c r="Q653" t="s">
        <v>42</v>
      </c>
      <c r="R653" t="s">
        <v>71</v>
      </c>
      <c r="S653" t="s">
        <v>123</v>
      </c>
      <c r="T653">
        <v>3</v>
      </c>
      <c r="U653">
        <v>796.92</v>
      </c>
      <c r="V653">
        <v>1946.25</v>
      </c>
      <c r="W653">
        <v>5</v>
      </c>
      <c r="X653" t="s">
        <v>49</v>
      </c>
      <c r="Y653">
        <v>2025</v>
      </c>
    </row>
    <row r="654" spans="1:25" x14ac:dyDescent="0.3">
      <c r="A654" t="s">
        <v>1822</v>
      </c>
      <c r="B654" s="1">
        <v>45342</v>
      </c>
      <c r="C654" t="s">
        <v>1823</v>
      </c>
      <c r="D654" t="s">
        <v>3121</v>
      </c>
      <c r="E654" s="1">
        <v>45344</v>
      </c>
      <c r="F654" t="s">
        <v>29</v>
      </c>
      <c r="G654" t="s">
        <v>27</v>
      </c>
      <c r="H654" t="s">
        <v>28</v>
      </c>
      <c r="I654" t="s">
        <v>2632</v>
      </c>
      <c r="J654" t="s">
        <v>2645</v>
      </c>
      <c r="K654" t="s">
        <v>25</v>
      </c>
      <c r="L654">
        <v>35</v>
      </c>
      <c r="M654">
        <v>3</v>
      </c>
      <c r="N654">
        <v>20</v>
      </c>
      <c r="O654" t="s">
        <v>1180</v>
      </c>
      <c r="P654" t="s">
        <v>33</v>
      </c>
      <c r="Q654" t="s">
        <v>31</v>
      </c>
      <c r="R654" t="s">
        <v>62</v>
      </c>
      <c r="S654" t="s">
        <v>30</v>
      </c>
      <c r="T654">
        <v>4</v>
      </c>
      <c r="U654">
        <v>605.34</v>
      </c>
      <c r="V654">
        <v>1064.9000000000001</v>
      </c>
      <c r="W654">
        <v>2</v>
      </c>
      <c r="X654" t="s">
        <v>34</v>
      </c>
      <c r="Y654">
        <v>2024</v>
      </c>
    </row>
    <row r="655" spans="1:25" x14ac:dyDescent="0.3">
      <c r="A655" t="s">
        <v>1824</v>
      </c>
      <c r="B655" s="1">
        <v>45968</v>
      </c>
      <c r="C655" t="s">
        <v>1825</v>
      </c>
      <c r="D655" t="s">
        <v>3120</v>
      </c>
      <c r="E655" s="1">
        <v>45975</v>
      </c>
      <c r="F655" t="s">
        <v>128</v>
      </c>
      <c r="G655" t="s">
        <v>98</v>
      </c>
      <c r="H655" t="s">
        <v>127</v>
      </c>
      <c r="I655" t="s">
        <v>2623</v>
      </c>
      <c r="J655" t="s">
        <v>2691</v>
      </c>
      <c r="K655" t="s">
        <v>52</v>
      </c>
      <c r="L655">
        <v>60</v>
      </c>
      <c r="M655">
        <v>4</v>
      </c>
      <c r="N655">
        <v>5</v>
      </c>
      <c r="O655" t="s">
        <v>291</v>
      </c>
      <c r="P655" t="s">
        <v>44</v>
      </c>
      <c r="Q655" t="s">
        <v>42</v>
      </c>
      <c r="R655" t="s">
        <v>71</v>
      </c>
      <c r="S655" t="s">
        <v>129</v>
      </c>
      <c r="T655">
        <v>3</v>
      </c>
      <c r="U655">
        <v>826.33</v>
      </c>
      <c r="V655">
        <v>2057.62</v>
      </c>
      <c r="W655">
        <v>7</v>
      </c>
      <c r="X655" t="s">
        <v>94</v>
      </c>
      <c r="Y655">
        <v>2025</v>
      </c>
    </row>
    <row r="656" spans="1:25" x14ac:dyDescent="0.3">
      <c r="A656" t="s">
        <v>1826</v>
      </c>
      <c r="B656" s="1">
        <v>45417</v>
      </c>
      <c r="C656" t="s">
        <v>1827</v>
      </c>
      <c r="D656" t="s">
        <v>3119</v>
      </c>
      <c r="E656" s="1">
        <v>45419</v>
      </c>
      <c r="F656" t="s">
        <v>122</v>
      </c>
      <c r="G656" t="s">
        <v>120</v>
      </c>
      <c r="H656" t="s">
        <v>121</v>
      </c>
      <c r="I656" t="s">
        <v>2635</v>
      </c>
      <c r="J656" t="s">
        <v>2643</v>
      </c>
      <c r="K656" t="s">
        <v>52</v>
      </c>
      <c r="L656">
        <v>21</v>
      </c>
      <c r="M656">
        <v>1</v>
      </c>
      <c r="N656">
        <v>30</v>
      </c>
      <c r="O656" t="s">
        <v>920</v>
      </c>
      <c r="P656" t="s">
        <v>44</v>
      </c>
      <c r="Q656" t="s">
        <v>70</v>
      </c>
      <c r="R656" t="s">
        <v>71</v>
      </c>
      <c r="S656" t="s">
        <v>123</v>
      </c>
      <c r="T656">
        <v>2</v>
      </c>
      <c r="U656">
        <v>355.64</v>
      </c>
      <c r="V656">
        <v>139.44</v>
      </c>
      <c r="W656">
        <v>2</v>
      </c>
      <c r="X656" t="s">
        <v>49</v>
      </c>
      <c r="Y656">
        <v>2024</v>
      </c>
    </row>
    <row r="657" spans="1:25" x14ac:dyDescent="0.3">
      <c r="A657" t="s">
        <v>1828</v>
      </c>
      <c r="B657" s="1">
        <v>45556</v>
      </c>
      <c r="C657" t="s">
        <v>1829</v>
      </c>
      <c r="D657" t="s">
        <v>3118</v>
      </c>
      <c r="E657" s="1">
        <v>45558</v>
      </c>
      <c r="F657" t="s">
        <v>29</v>
      </c>
      <c r="G657" t="s">
        <v>27</v>
      </c>
      <c r="H657" t="s">
        <v>28</v>
      </c>
      <c r="I657" t="s">
        <v>2633</v>
      </c>
      <c r="J657" t="s">
        <v>2636</v>
      </c>
      <c r="K657" t="s">
        <v>25</v>
      </c>
      <c r="L657">
        <v>33</v>
      </c>
      <c r="M657">
        <v>5</v>
      </c>
      <c r="N657">
        <v>10</v>
      </c>
      <c r="O657" t="s">
        <v>1830</v>
      </c>
      <c r="P657" t="s">
        <v>44</v>
      </c>
      <c r="Q657" t="s">
        <v>42</v>
      </c>
      <c r="R657" t="s">
        <v>62</v>
      </c>
      <c r="S657" t="s">
        <v>30</v>
      </c>
      <c r="T657">
        <v>2</v>
      </c>
      <c r="U657">
        <v>664.73</v>
      </c>
      <c r="V657">
        <v>1826.07</v>
      </c>
      <c r="W657">
        <v>2</v>
      </c>
      <c r="X657" t="s">
        <v>45</v>
      </c>
      <c r="Y657">
        <v>2024</v>
      </c>
    </row>
    <row r="658" spans="1:25" x14ac:dyDescent="0.3">
      <c r="A658" t="s">
        <v>1831</v>
      </c>
      <c r="B658" s="1">
        <v>45539</v>
      </c>
      <c r="C658" t="s">
        <v>1832</v>
      </c>
      <c r="D658" t="s">
        <v>3117</v>
      </c>
      <c r="E658" s="1">
        <v>45540</v>
      </c>
      <c r="F658" t="s">
        <v>140</v>
      </c>
      <c r="G658" t="s">
        <v>38</v>
      </c>
      <c r="H658" t="s">
        <v>139</v>
      </c>
      <c r="I658" t="s">
        <v>2631</v>
      </c>
      <c r="J658" t="s">
        <v>2694</v>
      </c>
      <c r="K658" t="s">
        <v>25</v>
      </c>
      <c r="L658">
        <v>64</v>
      </c>
      <c r="M658">
        <v>5</v>
      </c>
      <c r="N658">
        <v>5</v>
      </c>
      <c r="O658" t="s">
        <v>156</v>
      </c>
      <c r="P658" t="s">
        <v>44</v>
      </c>
      <c r="Q658" t="s">
        <v>58</v>
      </c>
      <c r="R658" t="s">
        <v>71</v>
      </c>
      <c r="S658" t="s">
        <v>141</v>
      </c>
      <c r="T658">
        <v>5</v>
      </c>
      <c r="U658">
        <v>303.98</v>
      </c>
      <c r="V658">
        <v>865.91</v>
      </c>
      <c r="W658">
        <v>1</v>
      </c>
      <c r="X658" t="s">
        <v>45</v>
      </c>
      <c r="Y658">
        <v>2024</v>
      </c>
    </row>
    <row r="659" spans="1:25" x14ac:dyDescent="0.3">
      <c r="A659" t="s">
        <v>1833</v>
      </c>
      <c r="B659" s="1">
        <v>45454</v>
      </c>
      <c r="C659" t="s">
        <v>1834</v>
      </c>
      <c r="D659" t="s">
        <v>3116</v>
      </c>
      <c r="E659" s="1">
        <v>45455</v>
      </c>
      <c r="F659" t="s">
        <v>128</v>
      </c>
      <c r="G659" t="s">
        <v>98</v>
      </c>
      <c r="H659" t="s">
        <v>127</v>
      </c>
      <c r="I659" t="s">
        <v>2675</v>
      </c>
      <c r="J659" t="s">
        <v>2676</v>
      </c>
      <c r="K659" t="s">
        <v>25</v>
      </c>
      <c r="L659">
        <v>28</v>
      </c>
      <c r="M659">
        <v>2</v>
      </c>
      <c r="N659">
        <v>30</v>
      </c>
      <c r="O659" t="s">
        <v>791</v>
      </c>
      <c r="P659" t="s">
        <v>44</v>
      </c>
      <c r="Q659" t="s">
        <v>117</v>
      </c>
      <c r="R659" t="s">
        <v>62</v>
      </c>
      <c r="S659" t="s">
        <v>129</v>
      </c>
      <c r="T659">
        <v>3</v>
      </c>
      <c r="U659">
        <v>221.27</v>
      </c>
      <c r="V659">
        <v>230.44</v>
      </c>
      <c r="W659">
        <v>1</v>
      </c>
      <c r="X659" t="s">
        <v>49</v>
      </c>
      <c r="Y659">
        <v>2024</v>
      </c>
    </row>
    <row r="660" spans="1:25" x14ac:dyDescent="0.3">
      <c r="A660" t="s">
        <v>1835</v>
      </c>
      <c r="B660" s="1">
        <v>45908</v>
      </c>
      <c r="C660" t="s">
        <v>1836</v>
      </c>
      <c r="D660" t="s">
        <v>3115</v>
      </c>
      <c r="E660" s="1">
        <v>45909</v>
      </c>
      <c r="F660" t="s">
        <v>29</v>
      </c>
      <c r="G660" t="s">
        <v>27</v>
      </c>
      <c r="H660" t="s">
        <v>28</v>
      </c>
      <c r="I660" t="s">
        <v>2627</v>
      </c>
      <c r="J660" t="s">
        <v>2698</v>
      </c>
      <c r="K660" t="s">
        <v>52</v>
      </c>
      <c r="L660">
        <v>64</v>
      </c>
      <c r="M660">
        <v>5</v>
      </c>
      <c r="N660">
        <v>30</v>
      </c>
      <c r="O660" t="s">
        <v>1837</v>
      </c>
      <c r="P660" t="s">
        <v>75</v>
      </c>
      <c r="Q660" t="s">
        <v>42</v>
      </c>
      <c r="R660" t="s">
        <v>71</v>
      </c>
      <c r="S660" t="s">
        <v>30</v>
      </c>
      <c r="T660">
        <v>2</v>
      </c>
      <c r="U660">
        <v>245.94</v>
      </c>
      <c r="V660">
        <v>672.19</v>
      </c>
      <c r="W660">
        <v>1</v>
      </c>
      <c r="X660" t="s">
        <v>45</v>
      </c>
      <c r="Y660">
        <v>2025</v>
      </c>
    </row>
    <row r="661" spans="1:25" x14ac:dyDescent="0.3">
      <c r="A661" t="s">
        <v>1838</v>
      </c>
      <c r="B661" s="1">
        <v>45908</v>
      </c>
      <c r="C661" t="s">
        <v>1839</v>
      </c>
      <c r="D661" t="s">
        <v>3114</v>
      </c>
      <c r="E661" s="1">
        <v>45912</v>
      </c>
      <c r="F661" t="s">
        <v>40</v>
      </c>
      <c r="G661" t="s">
        <v>38</v>
      </c>
      <c r="H661" t="s">
        <v>39</v>
      </c>
      <c r="I661" t="s">
        <v>2631</v>
      </c>
      <c r="J661" t="s">
        <v>2674</v>
      </c>
      <c r="K661" t="s">
        <v>25</v>
      </c>
      <c r="L661">
        <v>63</v>
      </c>
      <c r="M661">
        <v>5</v>
      </c>
      <c r="N661">
        <v>30</v>
      </c>
      <c r="O661" t="s">
        <v>877</v>
      </c>
      <c r="P661" t="s">
        <v>33</v>
      </c>
      <c r="Q661" t="s">
        <v>70</v>
      </c>
      <c r="R661" t="s">
        <v>32</v>
      </c>
      <c r="S661" t="s">
        <v>41</v>
      </c>
      <c r="T661">
        <v>4</v>
      </c>
      <c r="U661">
        <v>174.85</v>
      </c>
      <c r="V661">
        <v>386.74</v>
      </c>
      <c r="W661">
        <v>4</v>
      </c>
      <c r="X661" t="s">
        <v>45</v>
      </c>
      <c r="Y661">
        <v>2025</v>
      </c>
    </row>
    <row r="662" spans="1:25" x14ac:dyDescent="0.3">
      <c r="A662" t="s">
        <v>1840</v>
      </c>
      <c r="B662" s="1">
        <v>46032</v>
      </c>
      <c r="C662" t="s">
        <v>1841</v>
      </c>
      <c r="D662" t="s">
        <v>3113</v>
      </c>
      <c r="E662" s="1">
        <v>46035</v>
      </c>
      <c r="F662" t="s">
        <v>115</v>
      </c>
      <c r="G662" t="s">
        <v>66</v>
      </c>
      <c r="H662" t="s">
        <v>114</v>
      </c>
      <c r="I662" t="s">
        <v>2668</v>
      </c>
      <c r="J662" t="s">
        <v>2708</v>
      </c>
      <c r="K662" t="s">
        <v>52</v>
      </c>
      <c r="L662">
        <v>19</v>
      </c>
      <c r="M662">
        <v>5</v>
      </c>
      <c r="N662">
        <v>5</v>
      </c>
      <c r="O662" t="s">
        <v>583</v>
      </c>
      <c r="P662" t="s">
        <v>44</v>
      </c>
      <c r="Q662" t="s">
        <v>42</v>
      </c>
      <c r="R662" t="s">
        <v>32</v>
      </c>
      <c r="S662" t="s">
        <v>116</v>
      </c>
      <c r="T662">
        <v>2</v>
      </c>
      <c r="U662">
        <v>608.64</v>
      </c>
      <c r="V662">
        <v>2056.52</v>
      </c>
      <c r="W662">
        <v>3</v>
      </c>
      <c r="X662" t="s">
        <v>34</v>
      </c>
      <c r="Y662">
        <v>2026</v>
      </c>
    </row>
    <row r="663" spans="1:25" x14ac:dyDescent="0.3">
      <c r="A663" t="s">
        <v>1842</v>
      </c>
      <c r="B663" s="1">
        <v>45299</v>
      </c>
      <c r="C663" t="s">
        <v>1843</v>
      </c>
      <c r="D663" t="s">
        <v>3112</v>
      </c>
      <c r="E663" s="1">
        <v>45300</v>
      </c>
      <c r="F663" t="s">
        <v>140</v>
      </c>
      <c r="G663" t="s">
        <v>38</v>
      </c>
      <c r="H663" t="s">
        <v>139</v>
      </c>
      <c r="I663" t="s">
        <v>2622</v>
      </c>
      <c r="J663" t="s">
        <v>2622</v>
      </c>
      <c r="K663" t="s">
        <v>52</v>
      </c>
      <c r="L663">
        <v>62</v>
      </c>
      <c r="M663">
        <v>5</v>
      </c>
      <c r="N663">
        <v>10</v>
      </c>
      <c r="O663" t="s">
        <v>1155</v>
      </c>
      <c r="P663" t="s">
        <v>33</v>
      </c>
      <c r="Q663" t="s">
        <v>70</v>
      </c>
      <c r="R663" t="s">
        <v>71</v>
      </c>
      <c r="S663" t="s">
        <v>141</v>
      </c>
      <c r="T663">
        <v>3</v>
      </c>
      <c r="U663">
        <v>581.39</v>
      </c>
      <c r="V663">
        <v>1680.44</v>
      </c>
      <c r="W663">
        <v>1</v>
      </c>
      <c r="X663" t="s">
        <v>34</v>
      </c>
      <c r="Y663">
        <v>2024</v>
      </c>
    </row>
    <row r="664" spans="1:25" x14ac:dyDescent="0.3">
      <c r="A664" t="s">
        <v>1844</v>
      </c>
      <c r="B664" s="1">
        <v>45497</v>
      </c>
      <c r="C664" t="s">
        <v>1845</v>
      </c>
      <c r="D664" t="s">
        <v>3111</v>
      </c>
      <c r="E664" s="1">
        <v>45502</v>
      </c>
      <c r="F664" t="s">
        <v>40</v>
      </c>
      <c r="G664" t="s">
        <v>38</v>
      </c>
      <c r="H664" t="s">
        <v>39</v>
      </c>
      <c r="I664" t="s">
        <v>2663</v>
      </c>
      <c r="J664" t="s">
        <v>2670</v>
      </c>
      <c r="K664" t="s">
        <v>52</v>
      </c>
      <c r="L664">
        <v>23</v>
      </c>
      <c r="M664">
        <v>1</v>
      </c>
      <c r="N664">
        <v>0</v>
      </c>
      <c r="O664" t="s">
        <v>1610</v>
      </c>
      <c r="P664" t="s">
        <v>75</v>
      </c>
      <c r="Q664" t="s">
        <v>117</v>
      </c>
      <c r="R664" t="s">
        <v>62</v>
      </c>
      <c r="S664" t="s">
        <v>41</v>
      </c>
      <c r="T664">
        <v>1</v>
      </c>
      <c r="U664">
        <v>927.18</v>
      </c>
      <c r="V664">
        <v>759.06</v>
      </c>
      <c r="W664">
        <v>5</v>
      </c>
      <c r="X664" t="s">
        <v>45</v>
      </c>
      <c r="Y664">
        <v>2024</v>
      </c>
    </row>
    <row r="665" spans="1:25" x14ac:dyDescent="0.3">
      <c r="A665" t="s">
        <v>1846</v>
      </c>
      <c r="B665" s="1">
        <v>45983</v>
      </c>
      <c r="C665" t="s">
        <v>1847</v>
      </c>
      <c r="D665" t="s">
        <v>3110</v>
      </c>
      <c r="E665" s="1">
        <v>45990</v>
      </c>
      <c r="F665" t="s">
        <v>100</v>
      </c>
      <c r="G665" t="s">
        <v>98</v>
      </c>
      <c r="H665" t="s">
        <v>99</v>
      </c>
      <c r="I665" t="s">
        <v>2631</v>
      </c>
      <c r="J665" t="s">
        <v>2711</v>
      </c>
      <c r="K665" t="s">
        <v>52</v>
      </c>
      <c r="L665">
        <v>56</v>
      </c>
      <c r="M665">
        <v>2</v>
      </c>
      <c r="N665">
        <v>10</v>
      </c>
      <c r="O665" t="s">
        <v>1848</v>
      </c>
      <c r="P665" t="s">
        <v>33</v>
      </c>
      <c r="Q665" t="s">
        <v>117</v>
      </c>
      <c r="R665" t="s">
        <v>71</v>
      </c>
      <c r="S665" t="s">
        <v>101</v>
      </c>
      <c r="T665">
        <v>2</v>
      </c>
      <c r="U665">
        <v>746.92</v>
      </c>
      <c r="V665">
        <v>968.73</v>
      </c>
      <c r="W665">
        <v>7</v>
      </c>
      <c r="X665" t="s">
        <v>94</v>
      </c>
      <c r="Y665">
        <v>2025</v>
      </c>
    </row>
    <row r="666" spans="1:25" x14ac:dyDescent="0.3">
      <c r="A666" t="s">
        <v>1849</v>
      </c>
      <c r="B666" s="1">
        <v>45637</v>
      </c>
      <c r="C666" t="s">
        <v>1850</v>
      </c>
      <c r="D666" t="s">
        <v>3109</v>
      </c>
      <c r="E666" s="1">
        <v>45641</v>
      </c>
      <c r="F666" t="s">
        <v>56</v>
      </c>
      <c r="G666" t="s">
        <v>54</v>
      </c>
      <c r="H666" t="s">
        <v>55</v>
      </c>
      <c r="I666" t="s">
        <v>2632</v>
      </c>
      <c r="J666" t="s">
        <v>2646</v>
      </c>
      <c r="K666" t="s">
        <v>25</v>
      </c>
      <c r="L666">
        <v>57</v>
      </c>
      <c r="M666">
        <v>2</v>
      </c>
      <c r="N666">
        <v>10</v>
      </c>
      <c r="O666" t="s">
        <v>1689</v>
      </c>
      <c r="P666" t="s">
        <v>75</v>
      </c>
      <c r="Q666" t="s">
        <v>58</v>
      </c>
      <c r="R666" t="s">
        <v>32</v>
      </c>
      <c r="S666" t="s">
        <v>57</v>
      </c>
      <c r="T666">
        <v>1</v>
      </c>
      <c r="U666">
        <v>398.73</v>
      </c>
      <c r="V666">
        <v>601.52</v>
      </c>
      <c r="W666">
        <v>4</v>
      </c>
      <c r="X666" t="s">
        <v>94</v>
      </c>
      <c r="Y666">
        <v>2024</v>
      </c>
    </row>
    <row r="667" spans="1:25" x14ac:dyDescent="0.3">
      <c r="A667" t="s">
        <v>1851</v>
      </c>
      <c r="B667" s="1">
        <v>46133</v>
      </c>
      <c r="C667" t="s">
        <v>213</v>
      </c>
      <c r="D667" t="s">
        <v>3108</v>
      </c>
      <c r="E667" s="1">
        <v>46134</v>
      </c>
      <c r="F667" t="s">
        <v>56</v>
      </c>
      <c r="G667" t="s">
        <v>54</v>
      </c>
      <c r="H667" t="s">
        <v>55</v>
      </c>
      <c r="I667" t="s">
        <v>2635</v>
      </c>
      <c r="J667" t="s">
        <v>2677</v>
      </c>
      <c r="K667" t="s">
        <v>25</v>
      </c>
      <c r="L667">
        <v>32</v>
      </c>
      <c r="M667">
        <v>1</v>
      </c>
      <c r="N667">
        <v>5</v>
      </c>
      <c r="O667" t="s">
        <v>316</v>
      </c>
      <c r="P667" t="s">
        <v>75</v>
      </c>
      <c r="Q667" t="s">
        <v>42</v>
      </c>
      <c r="R667" t="s">
        <v>32</v>
      </c>
      <c r="S667" t="s">
        <v>57</v>
      </c>
      <c r="T667">
        <v>3</v>
      </c>
      <c r="U667">
        <v>434.86</v>
      </c>
      <c r="V667">
        <v>288.44</v>
      </c>
      <c r="W667">
        <v>1</v>
      </c>
      <c r="X667" t="s">
        <v>49</v>
      </c>
      <c r="Y667">
        <v>2026</v>
      </c>
    </row>
    <row r="668" spans="1:25" x14ac:dyDescent="0.3">
      <c r="A668" t="s">
        <v>1852</v>
      </c>
      <c r="B668" s="1">
        <v>46068</v>
      </c>
      <c r="C668" t="s">
        <v>1853</v>
      </c>
      <c r="D668" t="s">
        <v>3107</v>
      </c>
      <c r="E668" s="1">
        <v>46072</v>
      </c>
      <c r="F668" t="s">
        <v>29</v>
      </c>
      <c r="G668" t="s">
        <v>27</v>
      </c>
      <c r="H668" t="s">
        <v>28</v>
      </c>
      <c r="I668" t="s">
        <v>2634</v>
      </c>
      <c r="J668" t="s">
        <v>2714</v>
      </c>
      <c r="K668" t="s">
        <v>25</v>
      </c>
      <c r="L668">
        <v>26</v>
      </c>
      <c r="M668">
        <v>3</v>
      </c>
      <c r="N668">
        <v>25</v>
      </c>
      <c r="O668" t="s">
        <v>1854</v>
      </c>
      <c r="P668" t="s">
        <v>75</v>
      </c>
      <c r="Q668" t="s">
        <v>117</v>
      </c>
      <c r="R668" t="s">
        <v>43</v>
      </c>
      <c r="S668" t="s">
        <v>30</v>
      </c>
      <c r="T668">
        <v>4</v>
      </c>
      <c r="U668">
        <v>617.23</v>
      </c>
      <c r="V668">
        <v>956.1</v>
      </c>
      <c r="W668">
        <v>4</v>
      </c>
      <c r="X668" t="s">
        <v>34</v>
      </c>
      <c r="Y668">
        <v>2026</v>
      </c>
    </row>
    <row r="669" spans="1:25" x14ac:dyDescent="0.3">
      <c r="A669" t="s">
        <v>1855</v>
      </c>
      <c r="B669" s="1">
        <v>45578</v>
      </c>
      <c r="C669" t="s">
        <v>1856</v>
      </c>
      <c r="D669" t="s">
        <v>3106</v>
      </c>
      <c r="E669" s="1">
        <v>45580</v>
      </c>
      <c r="F669" t="s">
        <v>40</v>
      </c>
      <c r="G669" t="s">
        <v>38</v>
      </c>
      <c r="H669" t="s">
        <v>39</v>
      </c>
      <c r="I669" t="s">
        <v>2634</v>
      </c>
      <c r="J669" t="s">
        <v>2714</v>
      </c>
      <c r="K669" t="s">
        <v>25</v>
      </c>
      <c r="L669">
        <v>18</v>
      </c>
      <c r="M669">
        <v>3</v>
      </c>
      <c r="N669">
        <v>0</v>
      </c>
      <c r="O669" t="s">
        <v>1857</v>
      </c>
      <c r="P669" t="s">
        <v>75</v>
      </c>
      <c r="Q669" t="s">
        <v>117</v>
      </c>
      <c r="R669" t="s">
        <v>62</v>
      </c>
      <c r="S669" t="s">
        <v>41</v>
      </c>
      <c r="T669">
        <v>5</v>
      </c>
      <c r="U669">
        <v>353.12</v>
      </c>
      <c r="V669">
        <v>684.62</v>
      </c>
      <c r="W669">
        <v>2</v>
      </c>
      <c r="X669" t="s">
        <v>94</v>
      </c>
      <c r="Y669">
        <v>2024</v>
      </c>
    </row>
    <row r="670" spans="1:25" x14ac:dyDescent="0.3">
      <c r="A670" t="s">
        <v>1858</v>
      </c>
      <c r="B670" s="1">
        <v>45802</v>
      </c>
      <c r="C670" t="s">
        <v>1859</v>
      </c>
      <c r="D670" t="s">
        <v>3105</v>
      </c>
      <c r="E670" s="1">
        <v>45807</v>
      </c>
      <c r="F670" t="s">
        <v>122</v>
      </c>
      <c r="G670" t="s">
        <v>120</v>
      </c>
      <c r="H670" t="s">
        <v>121</v>
      </c>
      <c r="I670" t="s">
        <v>2629</v>
      </c>
      <c r="J670" t="s">
        <v>2630</v>
      </c>
      <c r="K670" t="s">
        <v>52</v>
      </c>
      <c r="L670">
        <v>52</v>
      </c>
      <c r="M670">
        <v>2</v>
      </c>
      <c r="N670">
        <v>0</v>
      </c>
      <c r="O670" t="s">
        <v>1751</v>
      </c>
      <c r="P670" t="s">
        <v>44</v>
      </c>
      <c r="Q670" t="s">
        <v>117</v>
      </c>
      <c r="R670" t="s">
        <v>32</v>
      </c>
      <c r="S670" t="s">
        <v>123</v>
      </c>
      <c r="T670">
        <v>5</v>
      </c>
      <c r="U670">
        <v>221.86</v>
      </c>
      <c r="V670">
        <v>292.18</v>
      </c>
      <c r="W670">
        <v>5</v>
      </c>
      <c r="X670" t="s">
        <v>49</v>
      </c>
      <c r="Y670">
        <v>2025</v>
      </c>
    </row>
    <row r="671" spans="1:25" x14ac:dyDescent="0.3">
      <c r="A671" t="s">
        <v>1860</v>
      </c>
      <c r="B671" s="1">
        <v>45603</v>
      </c>
      <c r="C671" t="s">
        <v>1861</v>
      </c>
      <c r="D671" t="s">
        <v>3104</v>
      </c>
      <c r="E671" s="1">
        <v>45608</v>
      </c>
      <c r="F671" t="s">
        <v>40</v>
      </c>
      <c r="G671" t="s">
        <v>38</v>
      </c>
      <c r="H671" t="s">
        <v>39</v>
      </c>
      <c r="I671" t="s">
        <v>2633</v>
      </c>
      <c r="J671" t="s">
        <v>2678</v>
      </c>
      <c r="K671" t="s">
        <v>52</v>
      </c>
      <c r="L671">
        <v>55</v>
      </c>
      <c r="M671">
        <v>2</v>
      </c>
      <c r="N671">
        <v>5</v>
      </c>
      <c r="O671" t="s">
        <v>1862</v>
      </c>
      <c r="P671" t="s">
        <v>44</v>
      </c>
      <c r="Q671" t="s">
        <v>58</v>
      </c>
      <c r="R671" t="s">
        <v>71</v>
      </c>
      <c r="S671" t="s">
        <v>41</v>
      </c>
      <c r="T671">
        <v>4</v>
      </c>
      <c r="U671">
        <v>698.81</v>
      </c>
      <c r="V671">
        <v>1105.3399999999999</v>
      </c>
      <c r="W671">
        <v>5</v>
      </c>
      <c r="X671" t="s">
        <v>94</v>
      </c>
      <c r="Y671">
        <v>2024</v>
      </c>
    </row>
    <row r="672" spans="1:25" x14ac:dyDescent="0.3">
      <c r="A672" t="s">
        <v>1863</v>
      </c>
      <c r="B672" s="1">
        <v>45624</v>
      </c>
      <c r="C672" t="s">
        <v>1864</v>
      </c>
      <c r="D672" t="s">
        <v>3103</v>
      </c>
      <c r="E672" s="1">
        <v>45630</v>
      </c>
      <c r="F672" t="s">
        <v>115</v>
      </c>
      <c r="G672" t="s">
        <v>66</v>
      </c>
      <c r="H672" t="s">
        <v>114</v>
      </c>
      <c r="I672" t="s">
        <v>2629</v>
      </c>
      <c r="J672" t="s">
        <v>2709</v>
      </c>
      <c r="K672" t="s">
        <v>25</v>
      </c>
      <c r="L672">
        <v>49</v>
      </c>
      <c r="M672">
        <v>4</v>
      </c>
      <c r="N672">
        <v>30</v>
      </c>
      <c r="O672" t="s">
        <v>1865</v>
      </c>
      <c r="P672" t="s">
        <v>33</v>
      </c>
      <c r="Q672" t="s">
        <v>58</v>
      </c>
      <c r="R672" t="s">
        <v>62</v>
      </c>
      <c r="S672" t="s">
        <v>116</v>
      </c>
      <c r="T672">
        <v>1</v>
      </c>
      <c r="U672">
        <v>717.13</v>
      </c>
      <c r="V672">
        <v>1225.32</v>
      </c>
      <c r="W672">
        <v>6</v>
      </c>
      <c r="X672" t="s">
        <v>94</v>
      </c>
      <c r="Y672">
        <v>2024</v>
      </c>
    </row>
    <row r="673" spans="1:25" x14ac:dyDescent="0.3">
      <c r="A673" t="s">
        <v>1866</v>
      </c>
      <c r="B673" s="1">
        <v>46095</v>
      </c>
      <c r="C673" t="s">
        <v>1867</v>
      </c>
      <c r="D673" t="s">
        <v>3102</v>
      </c>
      <c r="E673" s="1">
        <v>46100</v>
      </c>
      <c r="F673" t="s">
        <v>140</v>
      </c>
      <c r="G673" t="s">
        <v>38</v>
      </c>
      <c r="H673" t="s">
        <v>139</v>
      </c>
      <c r="I673" t="s">
        <v>2656</v>
      </c>
      <c r="J673" t="s">
        <v>2683</v>
      </c>
      <c r="K673" t="s">
        <v>25</v>
      </c>
      <c r="L673">
        <v>36</v>
      </c>
      <c r="M673">
        <v>5</v>
      </c>
      <c r="N673">
        <v>20</v>
      </c>
      <c r="O673" t="s">
        <v>1868</v>
      </c>
      <c r="P673" t="s">
        <v>33</v>
      </c>
      <c r="Q673" t="s">
        <v>70</v>
      </c>
      <c r="R673" t="s">
        <v>71</v>
      </c>
      <c r="S673" t="s">
        <v>141</v>
      </c>
      <c r="T673">
        <v>5</v>
      </c>
      <c r="U673">
        <v>789.81</v>
      </c>
      <c r="V673">
        <v>2237.56</v>
      </c>
      <c r="W673">
        <v>5</v>
      </c>
      <c r="X673" t="s">
        <v>34</v>
      </c>
      <c r="Y673">
        <v>2026</v>
      </c>
    </row>
    <row r="674" spans="1:25" x14ac:dyDescent="0.3">
      <c r="A674" t="s">
        <v>1869</v>
      </c>
      <c r="B674" s="1">
        <v>45889</v>
      </c>
      <c r="C674" t="s">
        <v>1870</v>
      </c>
      <c r="D674" t="s">
        <v>3101</v>
      </c>
      <c r="E674" s="1">
        <v>45892</v>
      </c>
      <c r="F674" t="s">
        <v>128</v>
      </c>
      <c r="G674" t="s">
        <v>98</v>
      </c>
      <c r="H674" t="s">
        <v>127</v>
      </c>
      <c r="I674" t="s">
        <v>2623</v>
      </c>
      <c r="J674" t="s">
        <v>2624</v>
      </c>
      <c r="K674" t="s">
        <v>25</v>
      </c>
      <c r="L674">
        <v>51</v>
      </c>
      <c r="M674">
        <v>2</v>
      </c>
      <c r="N674">
        <v>5</v>
      </c>
      <c r="O674" t="s">
        <v>698</v>
      </c>
      <c r="P674" t="s">
        <v>75</v>
      </c>
      <c r="Q674" t="s">
        <v>31</v>
      </c>
      <c r="R674" t="s">
        <v>71</v>
      </c>
      <c r="S674" t="s">
        <v>129</v>
      </c>
      <c r="T674">
        <v>3</v>
      </c>
      <c r="U674">
        <v>827.88</v>
      </c>
      <c r="V674">
        <v>1106.07</v>
      </c>
      <c r="W674">
        <v>3</v>
      </c>
      <c r="X674" t="s">
        <v>45</v>
      </c>
      <c r="Y674">
        <v>2025</v>
      </c>
    </row>
    <row r="675" spans="1:25" x14ac:dyDescent="0.3">
      <c r="A675" t="s">
        <v>1871</v>
      </c>
      <c r="B675" s="1">
        <v>45665</v>
      </c>
      <c r="C675" t="s">
        <v>1872</v>
      </c>
      <c r="D675" t="s">
        <v>3100</v>
      </c>
      <c r="E675" s="1">
        <v>45671</v>
      </c>
      <c r="F675" t="s">
        <v>56</v>
      </c>
      <c r="G675" t="s">
        <v>54</v>
      </c>
      <c r="H675" t="s">
        <v>55</v>
      </c>
      <c r="I675" t="s">
        <v>2665</v>
      </c>
      <c r="J675" t="s">
        <v>2693</v>
      </c>
      <c r="K675" t="s">
        <v>25</v>
      </c>
      <c r="L675">
        <v>34</v>
      </c>
      <c r="M675">
        <v>4</v>
      </c>
      <c r="N675">
        <v>0</v>
      </c>
      <c r="O675" t="s">
        <v>1449</v>
      </c>
      <c r="P675" t="s">
        <v>33</v>
      </c>
      <c r="Q675" t="s">
        <v>31</v>
      </c>
      <c r="R675" t="s">
        <v>62</v>
      </c>
      <c r="S675" t="s">
        <v>57</v>
      </c>
      <c r="T675">
        <v>3</v>
      </c>
      <c r="U675">
        <v>142.11000000000001</v>
      </c>
      <c r="V675">
        <v>315.64</v>
      </c>
      <c r="W675">
        <v>6</v>
      </c>
      <c r="X675" t="s">
        <v>34</v>
      </c>
      <c r="Y675">
        <v>2025</v>
      </c>
    </row>
    <row r="676" spans="1:25" x14ac:dyDescent="0.3">
      <c r="A676" t="s">
        <v>1873</v>
      </c>
      <c r="B676" s="1">
        <v>45488</v>
      </c>
      <c r="C676" t="s">
        <v>1874</v>
      </c>
      <c r="D676" t="s">
        <v>3099</v>
      </c>
      <c r="E676" s="1">
        <v>45494</v>
      </c>
      <c r="F676" t="s">
        <v>29</v>
      </c>
      <c r="G676" t="s">
        <v>27</v>
      </c>
      <c r="H676" t="s">
        <v>28</v>
      </c>
      <c r="I676" t="s">
        <v>2635</v>
      </c>
      <c r="J676" t="s">
        <v>2677</v>
      </c>
      <c r="K676" t="s">
        <v>52</v>
      </c>
      <c r="L676">
        <v>27</v>
      </c>
      <c r="M676">
        <v>2</v>
      </c>
      <c r="N676">
        <v>15</v>
      </c>
      <c r="O676" t="s">
        <v>1117</v>
      </c>
      <c r="P676" t="s">
        <v>75</v>
      </c>
      <c r="Q676" t="s">
        <v>117</v>
      </c>
      <c r="R676" t="s">
        <v>43</v>
      </c>
      <c r="S676" t="s">
        <v>30</v>
      </c>
      <c r="T676">
        <v>5</v>
      </c>
      <c r="U676">
        <v>301.06</v>
      </c>
      <c r="V676">
        <v>367.54</v>
      </c>
      <c r="W676">
        <v>6</v>
      </c>
      <c r="X676" t="s">
        <v>45</v>
      </c>
      <c r="Y676">
        <v>2024</v>
      </c>
    </row>
    <row r="677" spans="1:25" x14ac:dyDescent="0.3">
      <c r="A677" t="s">
        <v>1875</v>
      </c>
      <c r="B677" s="1">
        <v>45451</v>
      </c>
      <c r="C677" t="s">
        <v>1876</v>
      </c>
      <c r="D677" t="s">
        <v>3098</v>
      </c>
      <c r="E677" s="1">
        <v>45452</v>
      </c>
      <c r="F677" t="s">
        <v>100</v>
      </c>
      <c r="G677" t="s">
        <v>98</v>
      </c>
      <c r="H677" t="s">
        <v>99</v>
      </c>
      <c r="I677" t="s">
        <v>2622</v>
      </c>
      <c r="J677" t="s">
        <v>2705</v>
      </c>
      <c r="K677" t="s">
        <v>52</v>
      </c>
      <c r="L677">
        <v>42</v>
      </c>
      <c r="M677">
        <v>3</v>
      </c>
      <c r="N677">
        <v>15</v>
      </c>
      <c r="O677" t="s">
        <v>1324</v>
      </c>
      <c r="P677" t="s">
        <v>33</v>
      </c>
      <c r="Q677" t="s">
        <v>70</v>
      </c>
      <c r="R677" t="s">
        <v>43</v>
      </c>
      <c r="S677" t="s">
        <v>101</v>
      </c>
      <c r="T677">
        <v>5</v>
      </c>
      <c r="U677">
        <v>498.64</v>
      </c>
      <c r="V677">
        <v>829.27</v>
      </c>
      <c r="W677">
        <v>1</v>
      </c>
      <c r="X677" t="s">
        <v>49</v>
      </c>
      <c r="Y677">
        <v>2024</v>
      </c>
    </row>
    <row r="678" spans="1:25" x14ac:dyDescent="0.3">
      <c r="A678" t="s">
        <v>1877</v>
      </c>
      <c r="B678" s="1">
        <v>46006</v>
      </c>
      <c r="C678" t="s">
        <v>1878</v>
      </c>
      <c r="D678" t="s">
        <v>3097</v>
      </c>
      <c r="E678" s="1">
        <v>46008</v>
      </c>
      <c r="F678" t="s">
        <v>115</v>
      </c>
      <c r="G678" t="s">
        <v>66</v>
      </c>
      <c r="H678" t="s">
        <v>114</v>
      </c>
      <c r="I678" t="s">
        <v>2633</v>
      </c>
      <c r="J678" t="s">
        <v>2636</v>
      </c>
      <c r="K678" t="s">
        <v>52</v>
      </c>
      <c r="L678">
        <v>23</v>
      </c>
      <c r="M678">
        <v>4</v>
      </c>
      <c r="N678">
        <v>30</v>
      </c>
      <c r="O678" t="s">
        <v>815</v>
      </c>
      <c r="P678" t="s">
        <v>75</v>
      </c>
      <c r="Q678" t="s">
        <v>31</v>
      </c>
      <c r="R678" t="s">
        <v>62</v>
      </c>
      <c r="S678" t="s">
        <v>116</v>
      </c>
      <c r="T678">
        <v>4</v>
      </c>
      <c r="U678">
        <v>912.41</v>
      </c>
      <c r="V678">
        <v>1281.1099999999999</v>
      </c>
      <c r="W678">
        <v>2</v>
      </c>
      <c r="X678" t="s">
        <v>94</v>
      </c>
      <c r="Y678">
        <v>2025</v>
      </c>
    </row>
    <row r="679" spans="1:25" x14ac:dyDescent="0.3">
      <c r="A679" t="s">
        <v>1879</v>
      </c>
      <c r="B679" s="1">
        <v>45953</v>
      </c>
      <c r="C679" t="s">
        <v>1880</v>
      </c>
      <c r="D679" t="s">
        <v>3096</v>
      </c>
      <c r="E679" s="1">
        <v>45956</v>
      </c>
      <c r="F679" t="s">
        <v>29</v>
      </c>
      <c r="G679" t="s">
        <v>27</v>
      </c>
      <c r="H679" t="s">
        <v>28</v>
      </c>
      <c r="I679" t="s">
        <v>2631</v>
      </c>
      <c r="J679" t="s">
        <v>2711</v>
      </c>
      <c r="K679" t="s">
        <v>25</v>
      </c>
      <c r="L679">
        <v>37</v>
      </c>
      <c r="M679">
        <v>1</v>
      </c>
      <c r="N679">
        <v>10</v>
      </c>
      <c r="O679" t="s">
        <v>1233</v>
      </c>
      <c r="P679" t="s">
        <v>44</v>
      </c>
      <c r="Q679" t="s">
        <v>31</v>
      </c>
      <c r="R679" t="s">
        <v>62</v>
      </c>
      <c r="S679" t="s">
        <v>30</v>
      </c>
      <c r="T679">
        <v>4</v>
      </c>
      <c r="U679">
        <v>14.73</v>
      </c>
      <c r="V679">
        <v>9.7200000000000006</v>
      </c>
      <c r="W679">
        <v>3</v>
      </c>
      <c r="X679" t="s">
        <v>94</v>
      </c>
      <c r="Y679">
        <v>2025</v>
      </c>
    </row>
    <row r="680" spans="1:25" x14ac:dyDescent="0.3">
      <c r="A680" t="s">
        <v>1881</v>
      </c>
      <c r="B680" s="1">
        <v>45992</v>
      </c>
      <c r="C680" t="s">
        <v>1882</v>
      </c>
      <c r="D680" t="s">
        <v>3095</v>
      </c>
      <c r="E680" s="1">
        <v>45998</v>
      </c>
      <c r="F680" t="s">
        <v>122</v>
      </c>
      <c r="G680" t="s">
        <v>120</v>
      </c>
      <c r="H680" t="s">
        <v>121</v>
      </c>
      <c r="I680" t="s">
        <v>2634</v>
      </c>
      <c r="J680" t="s">
        <v>2714</v>
      </c>
      <c r="K680" t="s">
        <v>52</v>
      </c>
      <c r="L680">
        <v>49</v>
      </c>
      <c r="M680">
        <v>1</v>
      </c>
      <c r="N680">
        <v>30</v>
      </c>
      <c r="O680" t="s">
        <v>1883</v>
      </c>
      <c r="P680" t="s">
        <v>44</v>
      </c>
      <c r="Q680" t="s">
        <v>70</v>
      </c>
      <c r="R680" t="s">
        <v>71</v>
      </c>
      <c r="S680" t="s">
        <v>123</v>
      </c>
      <c r="T680">
        <v>4</v>
      </c>
      <c r="U680">
        <v>336.29</v>
      </c>
      <c r="V680">
        <v>132.62</v>
      </c>
      <c r="W680">
        <v>6</v>
      </c>
      <c r="X680" t="s">
        <v>94</v>
      </c>
      <c r="Y680">
        <v>2025</v>
      </c>
    </row>
    <row r="681" spans="1:25" x14ac:dyDescent="0.3">
      <c r="A681" t="s">
        <v>1884</v>
      </c>
      <c r="B681" s="1">
        <v>45704</v>
      </c>
      <c r="C681" t="s">
        <v>1885</v>
      </c>
      <c r="D681" t="s">
        <v>3094</v>
      </c>
      <c r="E681" s="1">
        <v>45710</v>
      </c>
      <c r="F681" t="s">
        <v>29</v>
      </c>
      <c r="G681" t="s">
        <v>27</v>
      </c>
      <c r="H681" t="s">
        <v>28</v>
      </c>
      <c r="I681" t="s">
        <v>2622</v>
      </c>
      <c r="J681" t="s">
        <v>2704</v>
      </c>
      <c r="K681" t="s">
        <v>52</v>
      </c>
      <c r="L681">
        <v>28</v>
      </c>
      <c r="M681">
        <v>5</v>
      </c>
      <c r="N681">
        <v>10</v>
      </c>
      <c r="O681" t="s">
        <v>1082</v>
      </c>
      <c r="P681" t="s">
        <v>33</v>
      </c>
      <c r="Q681" t="s">
        <v>70</v>
      </c>
      <c r="R681" t="s">
        <v>43</v>
      </c>
      <c r="S681" t="s">
        <v>30</v>
      </c>
      <c r="T681">
        <v>1</v>
      </c>
      <c r="U681">
        <v>757.59</v>
      </c>
      <c r="V681">
        <v>2867.46</v>
      </c>
      <c r="W681">
        <v>6</v>
      </c>
      <c r="X681" t="s">
        <v>34</v>
      </c>
      <c r="Y681">
        <v>2025</v>
      </c>
    </row>
    <row r="682" spans="1:25" x14ac:dyDescent="0.3">
      <c r="A682" t="s">
        <v>1886</v>
      </c>
      <c r="B682" s="1">
        <v>45771</v>
      </c>
      <c r="C682" t="s">
        <v>1887</v>
      </c>
      <c r="D682" t="s">
        <v>3093</v>
      </c>
      <c r="E682" s="1">
        <v>45774</v>
      </c>
      <c r="F682" t="s">
        <v>122</v>
      </c>
      <c r="G682" t="s">
        <v>120</v>
      </c>
      <c r="H682" t="s">
        <v>121</v>
      </c>
      <c r="I682" t="s">
        <v>2647</v>
      </c>
      <c r="J682" t="s">
        <v>2721</v>
      </c>
      <c r="K682" t="s">
        <v>25</v>
      </c>
      <c r="L682">
        <v>55</v>
      </c>
      <c r="M682">
        <v>1</v>
      </c>
      <c r="N682">
        <v>25</v>
      </c>
      <c r="O682" t="s">
        <v>1888</v>
      </c>
      <c r="P682" t="s">
        <v>33</v>
      </c>
      <c r="Q682" t="s">
        <v>117</v>
      </c>
      <c r="R682" t="s">
        <v>62</v>
      </c>
      <c r="S682" t="s">
        <v>123</v>
      </c>
      <c r="T682">
        <v>5</v>
      </c>
      <c r="U682">
        <v>803.83</v>
      </c>
      <c r="V682">
        <v>468.61</v>
      </c>
      <c r="W682">
        <v>3</v>
      </c>
      <c r="X682" t="s">
        <v>49</v>
      </c>
      <c r="Y682">
        <v>2025</v>
      </c>
    </row>
    <row r="683" spans="1:25" x14ac:dyDescent="0.3">
      <c r="A683" t="s">
        <v>1889</v>
      </c>
      <c r="B683" s="1">
        <v>45350</v>
      </c>
      <c r="C683" t="s">
        <v>1890</v>
      </c>
      <c r="D683" t="s">
        <v>3092</v>
      </c>
      <c r="E683" s="1">
        <v>45351</v>
      </c>
      <c r="F683" t="s">
        <v>115</v>
      </c>
      <c r="G683" t="s">
        <v>66</v>
      </c>
      <c r="H683" t="s">
        <v>114</v>
      </c>
      <c r="I683" t="s">
        <v>2632</v>
      </c>
      <c r="J683" t="s">
        <v>2715</v>
      </c>
      <c r="K683" t="s">
        <v>25</v>
      </c>
      <c r="L683">
        <v>39</v>
      </c>
      <c r="M683">
        <v>2</v>
      </c>
      <c r="N683">
        <v>25</v>
      </c>
      <c r="O683" t="s">
        <v>332</v>
      </c>
      <c r="P683" t="s">
        <v>75</v>
      </c>
      <c r="Q683" t="s">
        <v>58</v>
      </c>
      <c r="R683" t="s">
        <v>32</v>
      </c>
      <c r="S683" t="s">
        <v>116</v>
      </c>
      <c r="T683">
        <v>1</v>
      </c>
      <c r="U683">
        <v>235.71</v>
      </c>
      <c r="V683">
        <v>200.21</v>
      </c>
      <c r="W683">
        <v>1</v>
      </c>
      <c r="X683" t="s">
        <v>34</v>
      </c>
      <c r="Y683">
        <v>2024</v>
      </c>
    </row>
    <row r="684" spans="1:25" x14ac:dyDescent="0.3">
      <c r="A684" t="s">
        <v>1891</v>
      </c>
      <c r="B684" s="1">
        <v>45659</v>
      </c>
      <c r="C684" t="s">
        <v>1892</v>
      </c>
      <c r="D684" t="s">
        <v>3091</v>
      </c>
      <c r="E684" s="1">
        <v>45664</v>
      </c>
      <c r="F684" t="s">
        <v>68</v>
      </c>
      <c r="G684" t="s">
        <v>66</v>
      </c>
      <c r="H684" t="s">
        <v>67</v>
      </c>
      <c r="I684" t="s">
        <v>2627</v>
      </c>
      <c r="J684" t="s">
        <v>2717</v>
      </c>
      <c r="K684" t="s">
        <v>52</v>
      </c>
      <c r="L684">
        <v>30</v>
      </c>
      <c r="M684">
        <v>5</v>
      </c>
      <c r="N684">
        <v>0</v>
      </c>
      <c r="O684" t="s">
        <v>332</v>
      </c>
      <c r="P684" t="s">
        <v>44</v>
      </c>
      <c r="Q684" t="s">
        <v>31</v>
      </c>
      <c r="R684" t="s">
        <v>32</v>
      </c>
      <c r="S684" t="s">
        <v>69</v>
      </c>
      <c r="T684">
        <v>4</v>
      </c>
      <c r="U684">
        <v>541.01</v>
      </c>
      <c r="V684">
        <v>1873.33</v>
      </c>
      <c r="W684">
        <v>5</v>
      </c>
      <c r="X684" t="s">
        <v>34</v>
      </c>
      <c r="Y684">
        <v>2025</v>
      </c>
    </row>
    <row r="685" spans="1:25" x14ac:dyDescent="0.3">
      <c r="A685" t="s">
        <v>1893</v>
      </c>
      <c r="B685" s="1">
        <v>45386</v>
      </c>
      <c r="C685" t="s">
        <v>1894</v>
      </c>
      <c r="D685" t="s">
        <v>3090</v>
      </c>
      <c r="E685" s="1">
        <v>45387</v>
      </c>
      <c r="F685" t="s">
        <v>29</v>
      </c>
      <c r="G685" t="s">
        <v>27</v>
      </c>
      <c r="H685" t="s">
        <v>28</v>
      </c>
      <c r="I685" t="s">
        <v>2661</v>
      </c>
      <c r="J685" t="s">
        <v>2671</v>
      </c>
      <c r="K685" t="s">
        <v>25</v>
      </c>
      <c r="L685">
        <v>18</v>
      </c>
      <c r="M685">
        <v>4</v>
      </c>
      <c r="N685">
        <v>20</v>
      </c>
      <c r="O685" t="s">
        <v>273</v>
      </c>
      <c r="P685" t="s">
        <v>44</v>
      </c>
      <c r="Q685" t="s">
        <v>58</v>
      </c>
      <c r="R685" t="s">
        <v>43</v>
      </c>
      <c r="S685" t="s">
        <v>30</v>
      </c>
      <c r="T685">
        <v>4</v>
      </c>
      <c r="U685">
        <v>590.83000000000004</v>
      </c>
      <c r="V685">
        <v>1335.62</v>
      </c>
      <c r="W685">
        <v>1</v>
      </c>
      <c r="X685" t="s">
        <v>49</v>
      </c>
      <c r="Y685">
        <v>2024</v>
      </c>
    </row>
    <row r="686" spans="1:25" x14ac:dyDescent="0.3">
      <c r="A686" t="s">
        <v>1895</v>
      </c>
      <c r="B686" s="1">
        <v>45655</v>
      </c>
      <c r="C686" t="s">
        <v>1896</v>
      </c>
      <c r="D686" t="s">
        <v>3089</v>
      </c>
      <c r="E686" s="1">
        <v>45657</v>
      </c>
      <c r="F686" t="s">
        <v>68</v>
      </c>
      <c r="G686" t="s">
        <v>66</v>
      </c>
      <c r="H686" t="s">
        <v>67</v>
      </c>
      <c r="I686" t="s">
        <v>2622</v>
      </c>
      <c r="J686" t="s">
        <v>2622</v>
      </c>
      <c r="K686" t="s">
        <v>52</v>
      </c>
      <c r="L686">
        <v>23</v>
      </c>
      <c r="M686">
        <v>4</v>
      </c>
      <c r="N686">
        <v>15</v>
      </c>
      <c r="O686" t="s">
        <v>1897</v>
      </c>
      <c r="P686" t="s">
        <v>75</v>
      </c>
      <c r="Q686" t="s">
        <v>70</v>
      </c>
      <c r="R686" t="s">
        <v>71</v>
      </c>
      <c r="S686" t="s">
        <v>69</v>
      </c>
      <c r="T686">
        <v>1</v>
      </c>
      <c r="U686">
        <v>38.200000000000003</v>
      </c>
      <c r="V686">
        <v>103.74</v>
      </c>
      <c r="W686">
        <v>2</v>
      </c>
      <c r="X686" t="s">
        <v>94</v>
      </c>
      <c r="Y686">
        <v>2024</v>
      </c>
    </row>
    <row r="687" spans="1:25" x14ac:dyDescent="0.3">
      <c r="A687" t="s">
        <v>1898</v>
      </c>
      <c r="B687" s="1">
        <v>45874</v>
      </c>
      <c r="C687" t="s">
        <v>1899</v>
      </c>
      <c r="D687" t="s">
        <v>3088</v>
      </c>
      <c r="E687" s="1">
        <v>45875</v>
      </c>
      <c r="F687" t="s">
        <v>128</v>
      </c>
      <c r="G687" t="s">
        <v>98</v>
      </c>
      <c r="H687" t="s">
        <v>127</v>
      </c>
      <c r="I687" t="s">
        <v>2652</v>
      </c>
      <c r="J687" t="s">
        <v>2653</v>
      </c>
      <c r="K687" t="s">
        <v>52</v>
      </c>
      <c r="L687">
        <v>30</v>
      </c>
      <c r="M687">
        <v>3</v>
      </c>
      <c r="N687">
        <v>0</v>
      </c>
      <c r="O687" t="s">
        <v>1059</v>
      </c>
      <c r="P687" t="s">
        <v>75</v>
      </c>
      <c r="Q687" t="s">
        <v>70</v>
      </c>
      <c r="R687" t="s">
        <v>71</v>
      </c>
      <c r="S687" t="s">
        <v>129</v>
      </c>
      <c r="T687">
        <v>3</v>
      </c>
      <c r="U687">
        <v>660.69</v>
      </c>
      <c r="V687">
        <v>1140.33</v>
      </c>
      <c r="W687">
        <v>1</v>
      </c>
      <c r="X687" t="s">
        <v>45</v>
      </c>
      <c r="Y687">
        <v>2025</v>
      </c>
    </row>
    <row r="688" spans="1:25" x14ac:dyDescent="0.3">
      <c r="A688" t="s">
        <v>1900</v>
      </c>
      <c r="B688" s="1">
        <v>45858</v>
      </c>
      <c r="C688" t="s">
        <v>1901</v>
      </c>
      <c r="D688" t="s">
        <v>3087</v>
      </c>
      <c r="E688" s="1">
        <v>45865</v>
      </c>
      <c r="F688" t="s">
        <v>122</v>
      </c>
      <c r="G688" t="s">
        <v>120</v>
      </c>
      <c r="H688" t="s">
        <v>121</v>
      </c>
      <c r="I688" t="s">
        <v>2629</v>
      </c>
      <c r="J688" t="s">
        <v>2709</v>
      </c>
      <c r="K688" t="s">
        <v>25</v>
      </c>
      <c r="L688">
        <v>62</v>
      </c>
      <c r="M688">
        <v>1</v>
      </c>
      <c r="N688">
        <v>25</v>
      </c>
      <c r="O688" t="s">
        <v>1096</v>
      </c>
      <c r="P688" t="s">
        <v>44</v>
      </c>
      <c r="Q688" t="s">
        <v>70</v>
      </c>
      <c r="R688" t="s">
        <v>62</v>
      </c>
      <c r="S688" t="s">
        <v>123</v>
      </c>
      <c r="T688">
        <v>3</v>
      </c>
      <c r="U688">
        <v>60.12</v>
      </c>
      <c r="V688">
        <v>37.19</v>
      </c>
      <c r="W688">
        <v>7</v>
      </c>
      <c r="X688" t="s">
        <v>45</v>
      </c>
      <c r="Y688">
        <v>2025</v>
      </c>
    </row>
    <row r="689" spans="1:25" x14ac:dyDescent="0.3">
      <c r="A689" t="s">
        <v>1902</v>
      </c>
      <c r="B689" s="1">
        <v>45970</v>
      </c>
      <c r="C689" t="s">
        <v>1903</v>
      </c>
      <c r="D689" t="s">
        <v>3086</v>
      </c>
      <c r="E689" s="1">
        <v>45977</v>
      </c>
      <c r="F689" t="s">
        <v>122</v>
      </c>
      <c r="G689" t="s">
        <v>120</v>
      </c>
      <c r="H689" t="s">
        <v>121</v>
      </c>
      <c r="I689" t="s">
        <v>2623</v>
      </c>
      <c r="J689" t="s">
        <v>2691</v>
      </c>
      <c r="K689" t="s">
        <v>52</v>
      </c>
      <c r="L689">
        <v>64</v>
      </c>
      <c r="M689">
        <v>5</v>
      </c>
      <c r="N689">
        <v>10</v>
      </c>
      <c r="O689" t="s">
        <v>138</v>
      </c>
      <c r="P689" t="s">
        <v>75</v>
      </c>
      <c r="Q689" t="s">
        <v>70</v>
      </c>
      <c r="R689" t="s">
        <v>71</v>
      </c>
      <c r="S689" t="s">
        <v>123</v>
      </c>
      <c r="T689">
        <v>1</v>
      </c>
      <c r="U689">
        <v>730.79</v>
      </c>
      <c r="V689">
        <v>2188.42</v>
      </c>
      <c r="W689">
        <v>7</v>
      </c>
      <c r="X689" t="s">
        <v>94</v>
      </c>
      <c r="Y689">
        <v>2025</v>
      </c>
    </row>
    <row r="690" spans="1:25" x14ac:dyDescent="0.3">
      <c r="A690" t="s">
        <v>1904</v>
      </c>
      <c r="B690" s="1">
        <v>46115</v>
      </c>
      <c r="C690" t="s">
        <v>1905</v>
      </c>
      <c r="D690" t="s">
        <v>3085</v>
      </c>
      <c r="E690" s="1">
        <v>46122</v>
      </c>
      <c r="F690" t="s">
        <v>100</v>
      </c>
      <c r="G690" t="s">
        <v>98</v>
      </c>
      <c r="H690" t="s">
        <v>99</v>
      </c>
      <c r="I690" t="s">
        <v>2659</v>
      </c>
      <c r="J690" t="s">
        <v>2718</v>
      </c>
      <c r="K690" t="s">
        <v>52</v>
      </c>
      <c r="L690">
        <v>64</v>
      </c>
      <c r="M690">
        <v>4</v>
      </c>
      <c r="N690">
        <v>30</v>
      </c>
      <c r="O690" t="s">
        <v>1386</v>
      </c>
      <c r="P690" t="s">
        <v>33</v>
      </c>
      <c r="Q690" t="s">
        <v>70</v>
      </c>
      <c r="R690" t="s">
        <v>43</v>
      </c>
      <c r="S690" t="s">
        <v>101</v>
      </c>
      <c r="T690">
        <v>3</v>
      </c>
      <c r="U690">
        <v>506.53</v>
      </c>
      <c r="V690">
        <v>1024.24</v>
      </c>
      <c r="W690">
        <v>7</v>
      </c>
      <c r="X690" t="s">
        <v>49</v>
      </c>
      <c r="Y690">
        <v>2026</v>
      </c>
    </row>
    <row r="691" spans="1:25" x14ac:dyDescent="0.3">
      <c r="A691" t="s">
        <v>1906</v>
      </c>
      <c r="B691" s="1">
        <v>45957</v>
      </c>
      <c r="C691" t="s">
        <v>1907</v>
      </c>
      <c r="D691" t="s">
        <v>3084</v>
      </c>
      <c r="E691" s="1">
        <v>45961</v>
      </c>
      <c r="F691" t="s">
        <v>100</v>
      </c>
      <c r="G691" t="s">
        <v>98</v>
      </c>
      <c r="H691" t="s">
        <v>99</v>
      </c>
      <c r="I691" t="s">
        <v>2623</v>
      </c>
      <c r="J691" t="s">
        <v>2701</v>
      </c>
      <c r="K691" t="s">
        <v>25</v>
      </c>
      <c r="L691">
        <v>36</v>
      </c>
      <c r="M691">
        <v>4</v>
      </c>
      <c r="N691">
        <v>5</v>
      </c>
      <c r="O691" t="s">
        <v>506</v>
      </c>
      <c r="P691" t="s">
        <v>75</v>
      </c>
      <c r="Q691" t="s">
        <v>31</v>
      </c>
      <c r="R691" t="s">
        <v>43</v>
      </c>
      <c r="S691" t="s">
        <v>101</v>
      </c>
      <c r="T691">
        <v>3</v>
      </c>
      <c r="U691">
        <v>627.46</v>
      </c>
      <c r="V691">
        <v>1669.33</v>
      </c>
      <c r="W691">
        <v>4</v>
      </c>
      <c r="X691" t="s">
        <v>94</v>
      </c>
      <c r="Y691">
        <v>2025</v>
      </c>
    </row>
    <row r="692" spans="1:25" x14ac:dyDescent="0.3">
      <c r="A692" t="s">
        <v>1908</v>
      </c>
      <c r="B692" s="1">
        <v>46045</v>
      </c>
      <c r="C692" t="s">
        <v>1909</v>
      </c>
      <c r="D692" t="s">
        <v>3083</v>
      </c>
      <c r="E692" s="1">
        <v>46050</v>
      </c>
      <c r="F692" t="s">
        <v>100</v>
      </c>
      <c r="G692" t="s">
        <v>98</v>
      </c>
      <c r="H692" t="s">
        <v>99</v>
      </c>
      <c r="I692" t="s">
        <v>2633</v>
      </c>
      <c r="J692" t="s">
        <v>2636</v>
      </c>
      <c r="K692" t="s">
        <v>52</v>
      </c>
      <c r="L692">
        <v>64</v>
      </c>
      <c r="M692">
        <v>4</v>
      </c>
      <c r="N692">
        <v>25</v>
      </c>
      <c r="O692" t="s">
        <v>899</v>
      </c>
      <c r="P692" t="s">
        <v>33</v>
      </c>
      <c r="Q692" t="s">
        <v>117</v>
      </c>
      <c r="R692" t="s">
        <v>62</v>
      </c>
      <c r="S692" t="s">
        <v>101</v>
      </c>
      <c r="T692">
        <v>5</v>
      </c>
      <c r="U692">
        <v>658.88</v>
      </c>
      <c r="V692">
        <v>1521.92</v>
      </c>
      <c r="W692">
        <v>5</v>
      </c>
      <c r="X692" t="s">
        <v>34</v>
      </c>
      <c r="Y692">
        <v>2026</v>
      </c>
    </row>
    <row r="693" spans="1:25" x14ac:dyDescent="0.3">
      <c r="A693" t="s">
        <v>1910</v>
      </c>
      <c r="B693" s="1">
        <v>45649</v>
      </c>
      <c r="C693" t="s">
        <v>1911</v>
      </c>
      <c r="D693" t="s">
        <v>3082</v>
      </c>
      <c r="E693" s="1">
        <v>45650</v>
      </c>
      <c r="F693" t="s">
        <v>122</v>
      </c>
      <c r="G693" t="s">
        <v>120</v>
      </c>
      <c r="H693" t="s">
        <v>121</v>
      </c>
      <c r="I693" t="s">
        <v>2637</v>
      </c>
      <c r="J693" t="s">
        <v>2638</v>
      </c>
      <c r="K693" t="s">
        <v>25</v>
      </c>
      <c r="L693">
        <v>58</v>
      </c>
      <c r="M693">
        <v>5</v>
      </c>
      <c r="N693">
        <v>20</v>
      </c>
      <c r="O693" t="s">
        <v>1912</v>
      </c>
      <c r="P693" t="s">
        <v>75</v>
      </c>
      <c r="Q693" t="s">
        <v>117</v>
      </c>
      <c r="R693" t="s">
        <v>71</v>
      </c>
      <c r="S693" t="s">
        <v>123</v>
      </c>
      <c r="T693">
        <v>2</v>
      </c>
      <c r="U693">
        <v>168.5</v>
      </c>
      <c r="V693">
        <v>350.07</v>
      </c>
      <c r="W693">
        <v>1</v>
      </c>
      <c r="X693" t="s">
        <v>94</v>
      </c>
      <c r="Y693">
        <v>2024</v>
      </c>
    </row>
    <row r="694" spans="1:25" x14ac:dyDescent="0.3">
      <c r="A694" t="s">
        <v>1913</v>
      </c>
      <c r="B694" s="1">
        <v>45504</v>
      </c>
      <c r="C694" t="s">
        <v>1914</v>
      </c>
      <c r="D694" t="s">
        <v>2745</v>
      </c>
      <c r="E694" s="1">
        <v>45510</v>
      </c>
      <c r="F694" t="s">
        <v>56</v>
      </c>
      <c r="G694" t="s">
        <v>54</v>
      </c>
      <c r="H694" t="s">
        <v>55</v>
      </c>
      <c r="I694" t="s">
        <v>2647</v>
      </c>
      <c r="J694" t="s">
        <v>2648</v>
      </c>
      <c r="K694" t="s">
        <v>25</v>
      </c>
      <c r="L694">
        <v>53</v>
      </c>
      <c r="M694">
        <v>3</v>
      </c>
      <c r="N694">
        <v>15</v>
      </c>
      <c r="O694" t="s">
        <v>1047</v>
      </c>
      <c r="P694" t="s">
        <v>44</v>
      </c>
      <c r="Q694" t="s">
        <v>58</v>
      </c>
      <c r="R694" t="s">
        <v>43</v>
      </c>
      <c r="S694" t="s">
        <v>57</v>
      </c>
      <c r="T694">
        <v>1</v>
      </c>
      <c r="U694">
        <v>138.05000000000001</v>
      </c>
      <c r="V694">
        <v>189.96</v>
      </c>
      <c r="W694">
        <v>6</v>
      </c>
      <c r="X694" t="s">
        <v>45</v>
      </c>
      <c r="Y694">
        <v>2024</v>
      </c>
    </row>
    <row r="695" spans="1:25" x14ac:dyDescent="0.3">
      <c r="A695" t="s">
        <v>1915</v>
      </c>
      <c r="B695" s="1">
        <v>45489</v>
      </c>
      <c r="C695" t="s">
        <v>1916</v>
      </c>
      <c r="D695" t="s">
        <v>3081</v>
      </c>
      <c r="E695" s="1">
        <v>45495</v>
      </c>
      <c r="F695" t="s">
        <v>128</v>
      </c>
      <c r="G695" t="s">
        <v>98</v>
      </c>
      <c r="H695" t="s">
        <v>127</v>
      </c>
      <c r="I695" t="s">
        <v>2661</v>
      </c>
      <c r="J695" t="s">
        <v>2671</v>
      </c>
      <c r="K695" t="s">
        <v>52</v>
      </c>
      <c r="L695">
        <v>53</v>
      </c>
      <c r="M695">
        <v>3</v>
      </c>
      <c r="N695">
        <v>5</v>
      </c>
      <c r="O695" t="s">
        <v>1324</v>
      </c>
      <c r="P695" t="s">
        <v>33</v>
      </c>
      <c r="Q695" t="s">
        <v>58</v>
      </c>
      <c r="R695" t="s">
        <v>62</v>
      </c>
      <c r="S695" t="s">
        <v>129</v>
      </c>
      <c r="T695">
        <v>1</v>
      </c>
      <c r="U695">
        <v>43.7</v>
      </c>
      <c r="V695">
        <v>78.819999999999993</v>
      </c>
      <c r="W695">
        <v>6</v>
      </c>
      <c r="X695" t="s">
        <v>45</v>
      </c>
      <c r="Y695">
        <v>2024</v>
      </c>
    </row>
    <row r="696" spans="1:25" x14ac:dyDescent="0.3">
      <c r="A696" t="s">
        <v>1917</v>
      </c>
      <c r="B696" s="1">
        <v>46026</v>
      </c>
      <c r="C696" t="s">
        <v>1918</v>
      </c>
      <c r="D696" t="s">
        <v>3080</v>
      </c>
      <c r="E696" s="1">
        <v>46027</v>
      </c>
      <c r="F696" t="s">
        <v>122</v>
      </c>
      <c r="G696" t="s">
        <v>120</v>
      </c>
      <c r="H696" t="s">
        <v>121</v>
      </c>
      <c r="I696" t="s">
        <v>2675</v>
      </c>
      <c r="J696" t="s">
        <v>2676</v>
      </c>
      <c r="K696" t="s">
        <v>25</v>
      </c>
      <c r="L696">
        <v>51</v>
      </c>
      <c r="M696">
        <v>4</v>
      </c>
      <c r="N696">
        <v>30</v>
      </c>
      <c r="O696" t="s">
        <v>1919</v>
      </c>
      <c r="P696" t="s">
        <v>75</v>
      </c>
      <c r="Q696" t="s">
        <v>58</v>
      </c>
      <c r="R696" t="s">
        <v>62</v>
      </c>
      <c r="S696" t="s">
        <v>123</v>
      </c>
      <c r="T696">
        <v>1</v>
      </c>
      <c r="U696">
        <v>820.17</v>
      </c>
      <c r="V696">
        <v>1767.55</v>
      </c>
      <c r="W696">
        <v>1</v>
      </c>
      <c r="X696" t="s">
        <v>34</v>
      </c>
      <c r="Y696">
        <v>2026</v>
      </c>
    </row>
    <row r="697" spans="1:25" x14ac:dyDescent="0.3">
      <c r="A697" t="s">
        <v>1920</v>
      </c>
      <c r="B697" s="1">
        <v>45905</v>
      </c>
      <c r="C697" t="s">
        <v>1921</v>
      </c>
      <c r="D697" t="s">
        <v>2744</v>
      </c>
      <c r="E697" s="1">
        <v>45911</v>
      </c>
      <c r="F697" t="s">
        <v>122</v>
      </c>
      <c r="G697" t="s">
        <v>120</v>
      </c>
      <c r="H697" t="s">
        <v>121</v>
      </c>
      <c r="I697" t="s">
        <v>2633</v>
      </c>
      <c r="J697" t="s">
        <v>2636</v>
      </c>
      <c r="K697" t="s">
        <v>25</v>
      </c>
      <c r="L697">
        <v>37</v>
      </c>
      <c r="M697">
        <v>3</v>
      </c>
      <c r="N697">
        <v>0</v>
      </c>
      <c r="O697" t="s">
        <v>774</v>
      </c>
      <c r="P697" t="s">
        <v>33</v>
      </c>
      <c r="Q697" t="s">
        <v>42</v>
      </c>
      <c r="R697" t="s">
        <v>43</v>
      </c>
      <c r="S697" t="s">
        <v>123</v>
      </c>
      <c r="T697">
        <v>1</v>
      </c>
      <c r="U697">
        <v>582.80999999999995</v>
      </c>
      <c r="V697">
        <v>1385.29</v>
      </c>
      <c r="W697">
        <v>6</v>
      </c>
      <c r="X697" t="s">
        <v>45</v>
      </c>
      <c r="Y697">
        <v>2025</v>
      </c>
    </row>
    <row r="698" spans="1:25" x14ac:dyDescent="0.3">
      <c r="A698" t="s">
        <v>1922</v>
      </c>
      <c r="B698" s="1">
        <v>46059</v>
      </c>
      <c r="C698" t="s">
        <v>1923</v>
      </c>
      <c r="D698" t="s">
        <v>2742</v>
      </c>
      <c r="E698" s="1">
        <v>46064</v>
      </c>
      <c r="F698" t="s">
        <v>100</v>
      </c>
      <c r="G698" t="s">
        <v>98</v>
      </c>
      <c r="H698" t="s">
        <v>99</v>
      </c>
      <c r="I698" t="s">
        <v>2661</v>
      </c>
      <c r="J698" t="s">
        <v>2671</v>
      </c>
      <c r="K698" t="s">
        <v>25</v>
      </c>
      <c r="L698">
        <v>18</v>
      </c>
      <c r="M698">
        <v>4</v>
      </c>
      <c r="N698">
        <v>0</v>
      </c>
      <c r="O698" t="s">
        <v>414</v>
      </c>
      <c r="P698" t="s">
        <v>33</v>
      </c>
      <c r="Q698" t="s">
        <v>31</v>
      </c>
      <c r="R698" t="s">
        <v>71</v>
      </c>
      <c r="S698" t="s">
        <v>101</v>
      </c>
      <c r="T698">
        <v>2</v>
      </c>
      <c r="U698">
        <v>19.149999999999999</v>
      </c>
      <c r="V698">
        <v>38.4</v>
      </c>
      <c r="W698">
        <v>5</v>
      </c>
      <c r="X698" t="s">
        <v>34</v>
      </c>
      <c r="Y698">
        <v>2026</v>
      </c>
    </row>
    <row r="699" spans="1:25" x14ac:dyDescent="0.3">
      <c r="A699" t="s">
        <v>1924</v>
      </c>
      <c r="B699" s="1">
        <v>45407</v>
      </c>
      <c r="C699" t="s">
        <v>1925</v>
      </c>
      <c r="D699" t="s">
        <v>3079</v>
      </c>
      <c r="E699" s="1">
        <v>45411</v>
      </c>
      <c r="F699" t="s">
        <v>140</v>
      </c>
      <c r="G699" t="s">
        <v>38</v>
      </c>
      <c r="H699" t="s">
        <v>139</v>
      </c>
      <c r="I699" t="s">
        <v>2633</v>
      </c>
      <c r="J699" t="s">
        <v>2695</v>
      </c>
      <c r="K699" t="s">
        <v>52</v>
      </c>
      <c r="L699">
        <v>65</v>
      </c>
      <c r="M699">
        <v>5</v>
      </c>
      <c r="N699">
        <v>15</v>
      </c>
      <c r="O699" t="s">
        <v>1926</v>
      </c>
      <c r="P699" t="s">
        <v>44</v>
      </c>
      <c r="Q699" t="s">
        <v>117</v>
      </c>
      <c r="R699" t="s">
        <v>62</v>
      </c>
      <c r="S699" t="s">
        <v>141</v>
      </c>
      <c r="T699">
        <v>5</v>
      </c>
      <c r="U699">
        <v>284.62</v>
      </c>
      <c r="V699">
        <v>758.61</v>
      </c>
      <c r="W699">
        <v>4</v>
      </c>
      <c r="X699" t="s">
        <v>49</v>
      </c>
      <c r="Y699">
        <v>2024</v>
      </c>
    </row>
    <row r="700" spans="1:25" x14ac:dyDescent="0.3">
      <c r="A700" t="s">
        <v>1927</v>
      </c>
      <c r="B700" s="1">
        <v>45430</v>
      </c>
      <c r="C700" t="s">
        <v>1928</v>
      </c>
      <c r="D700" t="s">
        <v>2743</v>
      </c>
      <c r="E700" s="1">
        <v>45434</v>
      </c>
      <c r="F700" t="s">
        <v>68</v>
      </c>
      <c r="G700" t="s">
        <v>66</v>
      </c>
      <c r="H700" t="s">
        <v>67</v>
      </c>
      <c r="I700" t="s">
        <v>2679</v>
      </c>
      <c r="J700" t="s">
        <v>2707</v>
      </c>
      <c r="K700" t="s">
        <v>52</v>
      </c>
      <c r="L700">
        <v>36</v>
      </c>
      <c r="M700">
        <v>1</v>
      </c>
      <c r="N700">
        <v>10</v>
      </c>
      <c r="O700" t="s">
        <v>93</v>
      </c>
      <c r="P700" t="s">
        <v>44</v>
      </c>
      <c r="Q700" t="s">
        <v>58</v>
      </c>
      <c r="R700" t="s">
        <v>43</v>
      </c>
      <c r="S700" t="s">
        <v>69</v>
      </c>
      <c r="T700">
        <v>5</v>
      </c>
      <c r="U700">
        <v>350.09</v>
      </c>
      <c r="V700">
        <v>185.55</v>
      </c>
      <c r="W700">
        <v>4</v>
      </c>
      <c r="X700" t="s">
        <v>49</v>
      </c>
      <c r="Y700">
        <v>2024</v>
      </c>
    </row>
    <row r="701" spans="1:25" x14ac:dyDescent="0.3">
      <c r="A701" t="s">
        <v>1929</v>
      </c>
      <c r="B701" s="1">
        <v>45721</v>
      </c>
      <c r="C701" t="s">
        <v>838</v>
      </c>
      <c r="D701" t="s">
        <v>3078</v>
      </c>
      <c r="E701" s="1">
        <v>45727</v>
      </c>
      <c r="F701" t="s">
        <v>40</v>
      </c>
      <c r="G701" t="s">
        <v>38</v>
      </c>
      <c r="H701" t="s">
        <v>39</v>
      </c>
      <c r="I701" t="s">
        <v>2622</v>
      </c>
      <c r="J701" t="s">
        <v>2686</v>
      </c>
      <c r="K701" t="s">
        <v>52</v>
      </c>
      <c r="L701">
        <v>25</v>
      </c>
      <c r="M701">
        <v>5</v>
      </c>
      <c r="N701">
        <v>5</v>
      </c>
      <c r="O701" t="s">
        <v>1930</v>
      </c>
      <c r="P701" t="s">
        <v>44</v>
      </c>
      <c r="Q701" t="s">
        <v>31</v>
      </c>
      <c r="R701" t="s">
        <v>43</v>
      </c>
      <c r="S701" t="s">
        <v>41</v>
      </c>
      <c r="T701">
        <v>5</v>
      </c>
      <c r="U701">
        <v>296.92</v>
      </c>
      <c r="V701">
        <v>815.62</v>
      </c>
      <c r="W701">
        <v>6</v>
      </c>
      <c r="X701" t="s">
        <v>34</v>
      </c>
      <c r="Y701">
        <v>2025</v>
      </c>
    </row>
    <row r="702" spans="1:25" x14ac:dyDescent="0.3">
      <c r="A702" t="s">
        <v>1931</v>
      </c>
      <c r="B702" s="1">
        <v>45412</v>
      </c>
      <c r="C702" t="s">
        <v>1932</v>
      </c>
      <c r="D702" t="s">
        <v>3077</v>
      </c>
      <c r="E702" s="1">
        <v>45418</v>
      </c>
      <c r="F702" t="s">
        <v>128</v>
      </c>
      <c r="G702" t="s">
        <v>98</v>
      </c>
      <c r="H702" t="s">
        <v>127</v>
      </c>
      <c r="I702" t="s">
        <v>2623</v>
      </c>
      <c r="J702" t="s">
        <v>2624</v>
      </c>
      <c r="K702" t="s">
        <v>52</v>
      </c>
      <c r="L702">
        <v>47</v>
      </c>
      <c r="M702">
        <v>5</v>
      </c>
      <c r="N702">
        <v>5</v>
      </c>
      <c r="O702" t="s">
        <v>1933</v>
      </c>
      <c r="P702" t="s">
        <v>33</v>
      </c>
      <c r="Q702" t="s">
        <v>117</v>
      </c>
      <c r="R702" t="s">
        <v>62</v>
      </c>
      <c r="S702" t="s">
        <v>129</v>
      </c>
      <c r="T702">
        <v>3</v>
      </c>
      <c r="U702">
        <v>677.06</v>
      </c>
      <c r="V702">
        <v>1656.89</v>
      </c>
      <c r="W702">
        <v>6</v>
      </c>
      <c r="X702" t="s">
        <v>49</v>
      </c>
      <c r="Y702">
        <v>2024</v>
      </c>
    </row>
    <row r="703" spans="1:25" x14ac:dyDescent="0.3">
      <c r="A703" t="s">
        <v>1934</v>
      </c>
      <c r="B703" s="1">
        <v>45448</v>
      </c>
      <c r="C703" t="s">
        <v>170</v>
      </c>
      <c r="D703" t="s">
        <v>3076</v>
      </c>
      <c r="E703" s="1">
        <v>45449</v>
      </c>
      <c r="F703" t="s">
        <v>29</v>
      </c>
      <c r="G703" t="s">
        <v>27</v>
      </c>
      <c r="H703" t="s">
        <v>28</v>
      </c>
      <c r="I703" t="s">
        <v>2629</v>
      </c>
      <c r="J703" t="s">
        <v>2709</v>
      </c>
      <c r="K703" t="s">
        <v>25</v>
      </c>
      <c r="L703">
        <v>47</v>
      </c>
      <c r="M703">
        <v>5</v>
      </c>
      <c r="N703">
        <v>0</v>
      </c>
      <c r="O703" t="s">
        <v>1935</v>
      </c>
      <c r="P703" t="s">
        <v>44</v>
      </c>
      <c r="Q703" t="s">
        <v>117</v>
      </c>
      <c r="R703" t="s">
        <v>71</v>
      </c>
      <c r="S703" t="s">
        <v>30</v>
      </c>
      <c r="T703">
        <v>4</v>
      </c>
      <c r="U703">
        <v>152.76</v>
      </c>
      <c r="V703">
        <v>477.5</v>
      </c>
      <c r="W703">
        <v>1</v>
      </c>
      <c r="X703" t="s">
        <v>49</v>
      </c>
      <c r="Y703">
        <v>2024</v>
      </c>
    </row>
    <row r="704" spans="1:25" x14ac:dyDescent="0.3">
      <c r="A704" t="s">
        <v>1936</v>
      </c>
      <c r="B704" s="1">
        <v>45565</v>
      </c>
      <c r="C704" t="s">
        <v>1937</v>
      </c>
      <c r="D704" t="s">
        <v>3075</v>
      </c>
      <c r="E704" s="1">
        <v>45572</v>
      </c>
      <c r="F704" t="s">
        <v>29</v>
      </c>
      <c r="G704" t="s">
        <v>27</v>
      </c>
      <c r="H704" t="s">
        <v>28</v>
      </c>
      <c r="I704" t="s">
        <v>2656</v>
      </c>
      <c r="J704" t="s">
        <v>2683</v>
      </c>
      <c r="K704" t="s">
        <v>25</v>
      </c>
      <c r="L704">
        <v>48</v>
      </c>
      <c r="M704">
        <v>3</v>
      </c>
      <c r="N704">
        <v>10</v>
      </c>
      <c r="O704" t="s">
        <v>1938</v>
      </c>
      <c r="P704" t="s">
        <v>75</v>
      </c>
      <c r="Q704" t="s">
        <v>31</v>
      </c>
      <c r="R704" t="s">
        <v>71</v>
      </c>
      <c r="S704" t="s">
        <v>30</v>
      </c>
      <c r="T704">
        <v>3</v>
      </c>
      <c r="U704">
        <v>916.38</v>
      </c>
      <c r="V704">
        <v>1759.09</v>
      </c>
      <c r="W704">
        <v>7</v>
      </c>
      <c r="X704" t="s">
        <v>45</v>
      </c>
      <c r="Y704">
        <v>2024</v>
      </c>
    </row>
    <row r="705" spans="1:25" x14ac:dyDescent="0.3">
      <c r="A705" t="s">
        <v>1939</v>
      </c>
      <c r="B705" s="1">
        <v>45457</v>
      </c>
      <c r="C705" t="s">
        <v>1940</v>
      </c>
      <c r="D705" t="s">
        <v>3074</v>
      </c>
      <c r="E705" s="1">
        <v>45463</v>
      </c>
      <c r="F705" t="s">
        <v>115</v>
      </c>
      <c r="G705" t="s">
        <v>66</v>
      </c>
      <c r="H705" t="s">
        <v>114</v>
      </c>
      <c r="I705" t="s">
        <v>2623</v>
      </c>
      <c r="J705" t="s">
        <v>2696</v>
      </c>
      <c r="K705" t="s">
        <v>52</v>
      </c>
      <c r="L705">
        <v>58</v>
      </c>
      <c r="M705">
        <v>2</v>
      </c>
      <c r="N705">
        <v>0</v>
      </c>
      <c r="O705" t="s">
        <v>634</v>
      </c>
      <c r="P705" t="s">
        <v>33</v>
      </c>
      <c r="Q705" t="s">
        <v>70</v>
      </c>
      <c r="R705" t="s">
        <v>43</v>
      </c>
      <c r="S705" t="s">
        <v>116</v>
      </c>
      <c r="T705">
        <v>5</v>
      </c>
      <c r="U705">
        <v>724.75</v>
      </c>
      <c r="V705">
        <v>1202.3699999999999</v>
      </c>
      <c r="W705">
        <v>6</v>
      </c>
      <c r="X705" t="s">
        <v>49</v>
      </c>
      <c r="Y705">
        <v>2024</v>
      </c>
    </row>
    <row r="706" spans="1:25" x14ac:dyDescent="0.3">
      <c r="A706" t="s">
        <v>1941</v>
      </c>
      <c r="B706" s="1">
        <v>45503</v>
      </c>
      <c r="C706" t="s">
        <v>1942</v>
      </c>
      <c r="D706" t="s">
        <v>3073</v>
      </c>
      <c r="E706" s="1">
        <v>45509</v>
      </c>
      <c r="F706" t="s">
        <v>128</v>
      </c>
      <c r="G706" t="s">
        <v>98</v>
      </c>
      <c r="H706" t="s">
        <v>127</v>
      </c>
      <c r="I706" t="s">
        <v>2654</v>
      </c>
      <c r="J706" t="s">
        <v>2655</v>
      </c>
      <c r="K706" t="s">
        <v>52</v>
      </c>
      <c r="L706">
        <v>24</v>
      </c>
      <c r="M706">
        <v>4</v>
      </c>
      <c r="N706">
        <v>5</v>
      </c>
      <c r="O706" t="s">
        <v>135</v>
      </c>
      <c r="P706" t="s">
        <v>75</v>
      </c>
      <c r="Q706" t="s">
        <v>42</v>
      </c>
      <c r="R706" t="s">
        <v>62</v>
      </c>
      <c r="S706" t="s">
        <v>129</v>
      </c>
      <c r="T706">
        <v>5</v>
      </c>
      <c r="U706">
        <v>984.72</v>
      </c>
      <c r="V706">
        <v>2731.21</v>
      </c>
      <c r="W706">
        <v>6</v>
      </c>
      <c r="X706" t="s">
        <v>45</v>
      </c>
      <c r="Y706">
        <v>2024</v>
      </c>
    </row>
    <row r="707" spans="1:25" x14ac:dyDescent="0.3">
      <c r="A707" t="s">
        <v>1943</v>
      </c>
      <c r="B707" s="1">
        <v>45760</v>
      </c>
      <c r="C707" t="s">
        <v>1944</v>
      </c>
      <c r="D707" t="s">
        <v>3072</v>
      </c>
      <c r="E707" s="1">
        <v>45761</v>
      </c>
      <c r="F707" t="s">
        <v>56</v>
      </c>
      <c r="G707" t="s">
        <v>54</v>
      </c>
      <c r="H707" t="s">
        <v>55</v>
      </c>
      <c r="I707" t="s">
        <v>2639</v>
      </c>
      <c r="J707" t="s">
        <v>2640</v>
      </c>
      <c r="K707" t="s">
        <v>52</v>
      </c>
      <c r="L707">
        <v>58</v>
      </c>
      <c r="M707">
        <v>1</v>
      </c>
      <c r="N707">
        <v>20</v>
      </c>
      <c r="O707" t="s">
        <v>649</v>
      </c>
      <c r="P707" t="s">
        <v>44</v>
      </c>
      <c r="Q707" t="s">
        <v>58</v>
      </c>
      <c r="R707" t="s">
        <v>32</v>
      </c>
      <c r="S707" t="s">
        <v>57</v>
      </c>
      <c r="T707">
        <v>2</v>
      </c>
      <c r="U707">
        <v>841.61</v>
      </c>
      <c r="V707">
        <v>349.68</v>
      </c>
      <c r="W707">
        <v>1</v>
      </c>
      <c r="X707" t="s">
        <v>49</v>
      </c>
      <c r="Y707">
        <v>2025</v>
      </c>
    </row>
    <row r="708" spans="1:25" x14ac:dyDescent="0.3">
      <c r="A708" t="s">
        <v>1945</v>
      </c>
      <c r="B708" s="1">
        <v>45563</v>
      </c>
      <c r="C708" t="s">
        <v>1946</v>
      </c>
      <c r="D708" t="s">
        <v>3071</v>
      </c>
      <c r="E708" s="1">
        <v>45569</v>
      </c>
      <c r="F708" t="s">
        <v>115</v>
      </c>
      <c r="G708" t="s">
        <v>66</v>
      </c>
      <c r="H708" t="s">
        <v>114</v>
      </c>
      <c r="I708" t="s">
        <v>2635</v>
      </c>
      <c r="J708" t="s">
        <v>2643</v>
      </c>
      <c r="K708" t="s">
        <v>25</v>
      </c>
      <c r="L708">
        <v>58</v>
      </c>
      <c r="M708">
        <v>4</v>
      </c>
      <c r="N708">
        <v>0</v>
      </c>
      <c r="O708" t="s">
        <v>431</v>
      </c>
      <c r="P708" t="s">
        <v>44</v>
      </c>
      <c r="Q708" t="s">
        <v>70</v>
      </c>
      <c r="R708" t="s">
        <v>43</v>
      </c>
      <c r="S708" t="s">
        <v>116</v>
      </c>
      <c r="T708">
        <v>4</v>
      </c>
      <c r="U708">
        <v>200.79</v>
      </c>
      <c r="V708">
        <v>658.72</v>
      </c>
      <c r="W708">
        <v>6</v>
      </c>
      <c r="X708" t="s">
        <v>45</v>
      </c>
      <c r="Y708">
        <v>2024</v>
      </c>
    </row>
    <row r="709" spans="1:25" x14ac:dyDescent="0.3">
      <c r="A709" t="s">
        <v>1947</v>
      </c>
      <c r="B709" s="1">
        <v>46069</v>
      </c>
      <c r="C709" t="s">
        <v>1948</v>
      </c>
      <c r="D709" t="s">
        <v>3070</v>
      </c>
      <c r="E709" s="1">
        <v>46072</v>
      </c>
      <c r="F709" t="s">
        <v>68</v>
      </c>
      <c r="G709" t="s">
        <v>66</v>
      </c>
      <c r="H709" t="s">
        <v>67</v>
      </c>
      <c r="I709" t="s">
        <v>2631</v>
      </c>
      <c r="J709" t="s">
        <v>2711</v>
      </c>
      <c r="K709" t="s">
        <v>52</v>
      </c>
      <c r="L709">
        <v>21</v>
      </c>
      <c r="M709">
        <v>4</v>
      </c>
      <c r="N709">
        <v>10</v>
      </c>
      <c r="O709" t="s">
        <v>1949</v>
      </c>
      <c r="P709" t="s">
        <v>44</v>
      </c>
      <c r="Q709" t="s">
        <v>58</v>
      </c>
      <c r="R709" t="s">
        <v>43</v>
      </c>
      <c r="S709" t="s">
        <v>69</v>
      </c>
      <c r="T709">
        <v>3</v>
      </c>
      <c r="U709">
        <v>782.13</v>
      </c>
      <c r="V709">
        <v>1720.97</v>
      </c>
      <c r="W709">
        <v>3</v>
      </c>
      <c r="X709" t="s">
        <v>34</v>
      </c>
      <c r="Y709">
        <v>2026</v>
      </c>
    </row>
    <row r="710" spans="1:25" x14ac:dyDescent="0.3">
      <c r="A710" t="s">
        <v>1950</v>
      </c>
      <c r="B710" s="1">
        <v>45856</v>
      </c>
      <c r="C710" t="s">
        <v>1951</v>
      </c>
      <c r="D710" t="s">
        <v>3069</v>
      </c>
      <c r="E710" s="1">
        <v>45857</v>
      </c>
      <c r="F710" t="s">
        <v>40</v>
      </c>
      <c r="G710" t="s">
        <v>38</v>
      </c>
      <c r="H710" t="s">
        <v>39</v>
      </c>
      <c r="I710" t="s">
        <v>2625</v>
      </c>
      <c r="J710" t="s">
        <v>2626</v>
      </c>
      <c r="K710" t="s">
        <v>25</v>
      </c>
      <c r="L710">
        <v>34</v>
      </c>
      <c r="M710">
        <v>4</v>
      </c>
      <c r="N710">
        <v>0</v>
      </c>
      <c r="O710" t="s">
        <v>1952</v>
      </c>
      <c r="P710" t="s">
        <v>75</v>
      </c>
      <c r="Q710" t="s">
        <v>117</v>
      </c>
      <c r="R710" t="s">
        <v>43</v>
      </c>
      <c r="S710" t="s">
        <v>41</v>
      </c>
      <c r="T710">
        <v>3</v>
      </c>
      <c r="U710">
        <v>813.44</v>
      </c>
      <c r="V710">
        <v>2082.17</v>
      </c>
      <c r="W710">
        <v>1</v>
      </c>
      <c r="X710" t="s">
        <v>45</v>
      </c>
      <c r="Y710">
        <v>2025</v>
      </c>
    </row>
    <row r="711" spans="1:25" x14ac:dyDescent="0.3">
      <c r="A711" t="s">
        <v>1953</v>
      </c>
      <c r="B711" s="1">
        <v>45680</v>
      </c>
      <c r="C711" t="s">
        <v>1954</v>
      </c>
      <c r="D711" t="s">
        <v>3068</v>
      </c>
      <c r="E711" s="1">
        <v>45683</v>
      </c>
      <c r="F711" t="s">
        <v>115</v>
      </c>
      <c r="G711" t="s">
        <v>66</v>
      </c>
      <c r="H711" t="s">
        <v>114</v>
      </c>
      <c r="I711" t="s">
        <v>2625</v>
      </c>
      <c r="J711" t="s">
        <v>2667</v>
      </c>
      <c r="K711" t="s">
        <v>25</v>
      </c>
      <c r="L711">
        <v>61</v>
      </c>
      <c r="M711">
        <v>3</v>
      </c>
      <c r="N711">
        <v>5</v>
      </c>
      <c r="O711" t="s">
        <v>449</v>
      </c>
      <c r="P711" t="s">
        <v>44</v>
      </c>
      <c r="Q711" t="s">
        <v>42</v>
      </c>
      <c r="R711" t="s">
        <v>62</v>
      </c>
      <c r="S711" t="s">
        <v>116</v>
      </c>
      <c r="T711">
        <v>5</v>
      </c>
      <c r="U711">
        <v>738.98</v>
      </c>
      <c r="V711">
        <v>1610.18</v>
      </c>
      <c r="W711">
        <v>3</v>
      </c>
      <c r="X711" t="s">
        <v>34</v>
      </c>
      <c r="Y711">
        <v>2025</v>
      </c>
    </row>
    <row r="712" spans="1:25" x14ac:dyDescent="0.3">
      <c r="A712" t="s">
        <v>1955</v>
      </c>
      <c r="B712" s="1">
        <v>45515</v>
      </c>
      <c r="C712" t="s">
        <v>1956</v>
      </c>
      <c r="D712" t="s">
        <v>3067</v>
      </c>
      <c r="E712" s="1">
        <v>45519</v>
      </c>
      <c r="F712" t="s">
        <v>68</v>
      </c>
      <c r="G712" t="s">
        <v>66</v>
      </c>
      <c r="H712" t="s">
        <v>67</v>
      </c>
      <c r="I712" t="s">
        <v>2632</v>
      </c>
      <c r="J712" t="s">
        <v>2645</v>
      </c>
      <c r="K712" t="s">
        <v>25</v>
      </c>
      <c r="L712">
        <v>23</v>
      </c>
      <c r="M712">
        <v>4</v>
      </c>
      <c r="N712">
        <v>30</v>
      </c>
      <c r="O712" t="s">
        <v>1957</v>
      </c>
      <c r="P712" t="s">
        <v>75</v>
      </c>
      <c r="Q712" t="s">
        <v>58</v>
      </c>
      <c r="R712" t="s">
        <v>62</v>
      </c>
      <c r="S712" t="s">
        <v>69</v>
      </c>
      <c r="T712">
        <v>3</v>
      </c>
      <c r="U712">
        <v>373.04</v>
      </c>
      <c r="V712">
        <v>641.64</v>
      </c>
      <c r="W712">
        <v>4</v>
      </c>
      <c r="X712" t="s">
        <v>45</v>
      </c>
      <c r="Y712">
        <v>2024</v>
      </c>
    </row>
    <row r="713" spans="1:25" x14ac:dyDescent="0.3">
      <c r="A713" t="s">
        <v>1958</v>
      </c>
      <c r="B713" s="1">
        <v>46069</v>
      </c>
      <c r="C713" t="s">
        <v>1959</v>
      </c>
      <c r="D713" t="s">
        <v>3066</v>
      </c>
      <c r="E713" s="1">
        <v>46071</v>
      </c>
      <c r="F713" t="s">
        <v>56</v>
      </c>
      <c r="G713" t="s">
        <v>54</v>
      </c>
      <c r="H713" t="s">
        <v>55</v>
      </c>
      <c r="I713" t="s">
        <v>2625</v>
      </c>
      <c r="J713" t="s">
        <v>2651</v>
      </c>
      <c r="K713" t="s">
        <v>25</v>
      </c>
      <c r="L713">
        <v>30</v>
      </c>
      <c r="M713">
        <v>4</v>
      </c>
      <c r="N713">
        <v>30</v>
      </c>
      <c r="O713" t="s">
        <v>1315</v>
      </c>
      <c r="P713" t="s">
        <v>75</v>
      </c>
      <c r="Q713" t="s">
        <v>117</v>
      </c>
      <c r="R713" t="s">
        <v>32</v>
      </c>
      <c r="S713" t="s">
        <v>57</v>
      </c>
      <c r="T713">
        <v>5</v>
      </c>
      <c r="U713">
        <v>145.71</v>
      </c>
      <c r="V713">
        <v>337.83</v>
      </c>
      <c r="W713">
        <v>2</v>
      </c>
      <c r="X713" t="s">
        <v>34</v>
      </c>
      <c r="Y713">
        <v>2026</v>
      </c>
    </row>
    <row r="714" spans="1:25" x14ac:dyDescent="0.3">
      <c r="A714" t="s">
        <v>1960</v>
      </c>
      <c r="B714" s="1">
        <v>45431</v>
      </c>
      <c r="C714" t="s">
        <v>1961</v>
      </c>
      <c r="D714" t="s">
        <v>3065</v>
      </c>
      <c r="E714" s="1">
        <v>45435</v>
      </c>
      <c r="F714" t="s">
        <v>115</v>
      </c>
      <c r="G714" t="s">
        <v>66</v>
      </c>
      <c r="H714" t="s">
        <v>114</v>
      </c>
      <c r="I714" t="s">
        <v>2639</v>
      </c>
      <c r="J714" t="s">
        <v>2687</v>
      </c>
      <c r="K714" t="s">
        <v>25</v>
      </c>
      <c r="L714">
        <v>54</v>
      </c>
      <c r="M714">
        <v>3</v>
      </c>
      <c r="N714">
        <v>20</v>
      </c>
      <c r="O714" t="s">
        <v>1962</v>
      </c>
      <c r="P714" t="s">
        <v>75</v>
      </c>
      <c r="Q714" t="s">
        <v>70</v>
      </c>
      <c r="R714" t="s">
        <v>62</v>
      </c>
      <c r="S714" t="s">
        <v>116</v>
      </c>
      <c r="T714">
        <v>1</v>
      </c>
      <c r="U714">
        <v>152.07</v>
      </c>
      <c r="V714">
        <v>299.64999999999998</v>
      </c>
      <c r="W714">
        <v>4</v>
      </c>
      <c r="X714" t="s">
        <v>49</v>
      </c>
      <c r="Y714">
        <v>2024</v>
      </c>
    </row>
    <row r="715" spans="1:25" x14ac:dyDescent="0.3">
      <c r="A715" t="s">
        <v>1963</v>
      </c>
      <c r="B715" s="1">
        <v>45501</v>
      </c>
      <c r="C715" t="s">
        <v>1964</v>
      </c>
      <c r="D715" t="s">
        <v>3064</v>
      </c>
      <c r="E715" s="1">
        <v>45507</v>
      </c>
      <c r="F715" t="s">
        <v>29</v>
      </c>
      <c r="G715" t="s">
        <v>27</v>
      </c>
      <c r="H715" t="s">
        <v>28</v>
      </c>
      <c r="I715" t="s">
        <v>2629</v>
      </c>
      <c r="J715" t="s">
        <v>2697</v>
      </c>
      <c r="K715" t="s">
        <v>52</v>
      </c>
      <c r="L715">
        <v>40</v>
      </c>
      <c r="M715">
        <v>2</v>
      </c>
      <c r="N715">
        <v>5</v>
      </c>
      <c r="O715" t="s">
        <v>1848</v>
      </c>
      <c r="P715" t="s">
        <v>44</v>
      </c>
      <c r="Q715" t="s">
        <v>42</v>
      </c>
      <c r="R715" t="s">
        <v>62</v>
      </c>
      <c r="S715" t="s">
        <v>30</v>
      </c>
      <c r="T715">
        <v>4</v>
      </c>
      <c r="U715">
        <v>680.52</v>
      </c>
      <c r="V715">
        <v>904.63</v>
      </c>
      <c r="W715">
        <v>6</v>
      </c>
      <c r="X715" t="s">
        <v>45</v>
      </c>
      <c r="Y715">
        <v>2024</v>
      </c>
    </row>
    <row r="716" spans="1:25" x14ac:dyDescent="0.3">
      <c r="A716" t="s">
        <v>1965</v>
      </c>
      <c r="B716" s="1">
        <v>45683</v>
      </c>
      <c r="C716" t="s">
        <v>1966</v>
      </c>
      <c r="D716" t="s">
        <v>3063</v>
      </c>
      <c r="E716" s="1">
        <v>45689</v>
      </c>
      <c r="F716" t="s">
        <v>100</v>
      </c>
      <c r="G716" t="s">
        <v>98</v>
      </c>
      <c r="H716" t="s">
        <v>99</v>
      </c>
      <c r="I716" t="s">
        <v>2661</v>
      </c>
      <c r="J716" t="s">
        <v>2671</v>
      </c>
      <c r="K716" t="s">
        <v>52</v>
      </c>
      <c r="L716">
        <v>25</v>
      </c>
      <c r="M716">
        <v>1</v>
      </c>
      <c r="N716">
        <v>25</v>
      </c>
      <c r="O716" t="s">
        <v>1967</v>
      </c>
      <c r="P716" t="s">
        <v>33</v>
      </c>
      <c r="Q716" t="s">
        <v>117</v>
      </c>
      <c r="R716" t="s">
        <v>32</v>
      </c>
      <c r="S716" t="s">
        <v>101</v>
      </c>
      <c r="T716">
        <v>5</v>
      </c>
      <c r="U716">
        <v>871.18</v>
      </c>
      <c r="V716">
        <v>417.43</v>
      </c>
      <c r="W716">
        <v>6</v>
      </c>
      <c r="X716" t="s">
        <v>34</v>
      </c>
      <c r="Y716">
        <v>2025</v>
      </c>
    </row>
    <row r="717" spans="1:25" x14ac:dyDescent="0.3">
      <c r="A717" t="s">
        <v>1968</v>
      </c>
      <c r="B717" s="1">
        <v>45597</v>
      </c>
      <c r="C717" t="s">
        <v>1969</v>
      </c>
      <c r="D717" t="s">
        <v>3062</v>
      </c>
      <c r="E717" s="1">
        <v>45602</v>
      </c>
      <c r="F717" t="s">
        <v>29</v>
      </c>
      <c r="G717" t="s">
        <v>27</v>
      </c>
      <c r="H717" t="s">
        <v>28</v>
      </c>
      <c r="I717" t="s">
        <v>2625</v>
      </c>
      <c r="J717" t="s">
        <v>2626</v>
      </c>
      <c r="K717" t="s">
        <v>52</v>
      </c>
      <c r="L717">
        <v>45</v>
      </c>
      <c r="M717">
        <v>2</v>
      </c>
      <c r="N717">
        <v>5</v>
      </c>
      <c r="O717" t="s">
        <v>1219</v>
      </c>
      <c r="P717" t="s">
        <v>75</v>
      </c>
      <c r="Q717" t="s">
        <v>31</v>
      </c>
      <c r="R717" t="s">
        <v>71</v>
      </c>
      <c r="S717" t="s">
        <v>30</v>
      </c>
      <c r="T717">
        <v>4</v>
      </c>
      <c r="U717">
        <v>16.71</v>
      </c>
      <c r="V717">
        <v>25.61</v>
      </c>
      <c r="W717">
        <v>5</v>
      </c>
      <c r="X717" t="s">
        <v>94</v>
      </c>
      <c r="Y717">
        <v>2024</v>
      </c>
    </row>
    <row r="718" spans="1:25" x14ac:dyDescent="0.3">
      <c r="A718" t="s">
        <v>1970</v>
      </c>
      <c r="B718" s="1">
        <v>45873</v>
      </c>
      <c r="C718" t="s">
        <v>1971</v>
      </c>
      <c r="D718" t="s">
        <v>3061</v>
      </c>
      <c r="E718" s="1">
        <v>45874</v>
      </c>
      <c r="F718" t="s">
        <v>128</v>
      </c>
      <c r="G718" t="s">
        <v>98</v>
      </c>
      <c r="H718" t="s">
        <v>127</v>
      </c>
      <c r="I718" t="s">
        <v>2635</v>
      </c>
      <c r="J718" t="s">
        <v>2677</v>
      </c>
      <c r="K718" t="s">
        <v>25</v>
      </c>
      <c r="L718">
        <v>57</v>
      </c>
      <c r="M718">
        <v>4</v>
      </c>
      <c r="N718">
        <v>30</v>
      </c>
      <c r="O718" t="s">
        <v>1161</v>
      </c>
      <c r="P718" t="s">
        <v>75</v>
      </c>
      <c r="Q718" t="s">
        <v>117</v>
      </c>
      <c r="R718" t="s">
        <v>43</v>
      </c>
      <c r="S718" t="s">
        <v>129</v>
      </c>
      <c r="T718">
        <v>5</v>
      </c>
      <c r="U718">
        <v>513.17999999999995</v>
      </c>
      <c r="V718">
        <v>780.54</v>
      </c>
      <c r="W718">
        <v>1</v>
      </c>
      <c r="X718" t="s">
        <v>45</v>
      </c>
      <c r="Y718">
        <v>2025</v>
      </c>
    </row>
    <row r="719" spans="1:25" x14ac:dyDescent="0.3">
      <c r="A719" t="s">
        <v>1972</v>
      </c>
      <c r="B719" s="1">
        <v>45466</v>
      </c>
      <c r="C719" t="s">
        <v>1973</v>
      </c>
      <c r="D719" t="s">
        <v>3060</v>
      </c>
      <c r="E719" s="1">
        <v>45471</v>
      </c>
      <c r="F719" t="s">
        <v>68</v>
      </c>
      <c r="G719" t="s">
        <v>66</v>
      </c>
      <c r="H719" t="s">
        <v>67</v>
      </c>
      <c r="I719" t="s">
        <v>2623</v>
      </c>
      <c r="J719" t="s">
        <v>2701</v>
      </c>
      <c r="K719" t="s">
        <v>52</v>
      </c>
      <c r="L719">
        <v>18</v>
      </c>
      <c r="M719">
        <v>4</v>
      </c>
      <c r="N719">
        <v>30</v>
      </c>
      <c r="O719" t="s">
        <v>1370</v>
      </c>
      <c r="P719" t="s">
        <v>33</v>
      </c>
      <c r="Q719" t="s">
        <v>42</v>
      </c>
      <c r="R719" t="s">
        <v>62</v>
      </c>
      <c r="S719" t="s">
        <v>69</v>
      </c>
      <c r="T719">
        <v>5</v>
      </c>
      <c r="U719">
        <v>629.49</v>
      </c>
      <c r="V719">
        <v>1186.05</v>
      </c>
      <c r="W719">
        <v>5</v>
      </c>
      <c r="X719" t="s">
        <v>49</v>
      </c>
      <c r="Y719">
        <v>2024</v>
      </c>
    </row>
    <row r="720" spans="1:25" x14ac:dyDescent="0.3">
      <c r="A720" t="s">
        <v>1974</v>
      </c>
      <c r="B720" s="1">
        <v>45870</v>
      </c>
      <c r="C720" t="s">
        <v>1975</v>
      </c>
      <c r="D720" t="s">
        <v>3059</v>
      </c>
      <c r="E720" s="1">
        <v>45877</v>
      </c>
      <c r="F720" t="s">
        <v>56</v>
      </c>
      <c r="G720" t="s">
        <v>54</v>
      </c>
      <c r="H720" t="s">
        <v>55</v>
      </c>
      <c r="I720" t="s">
        <v>2625</v>
      </c>
      <c r="J720" t="s">
        <v>2651</v>
      </c>
      <c r="K720" t="s">
        <v>25</v>
      </c>
      <c r="L720">
        <v>44</v>
      </c>
      <c r="M720">
        <v>3</v>
      </c>
      <c r="N720">
        <v>30</v>
      </c>
      <c r="O720" t="s">
        <v>316</v>
      </c>
      <c r="P720" t="s">
        <v>75</v>
      </c>
      <c r="Q720" t="s">
        <v>42</v>
      </c>
      <c r="R720" t="s">
        <v>71</v>
      </c>
      <c r="S720" t="s">
        <v>57</v>
      </c>
      <c r="T720">
        <v>2</v>
      </c>
      <c r="U720">
        <v>742.65</v>
      </c>
      <c r="V720">
        <v>852.28</v>
      </c>
      <c r="W720">
        <v>7</v>
      </c>
      <c r="X720" t="s">
        <v>45</v>
      </c>
      <c r="Y720">
        <v>2025</v>
      </c>
    </row>
    <row r="721" spans="1:25" x14ac:dyDescent="0.3">
      <c r="A721" t="s">
        <v>1976</v>
      </c>
      <c r="B721" s="1">
        <v>45892</v>
      </c>
      <c r="C721" t="s">
        <v>1977</v>
      </c>
      <c r="D721" t="s">
        <v>3058</v>
      </c>
      <c r="E721" s="1">
        <v>45893</v>
      </c>
      <c r="F721" t="s">
        <v>40</v>
      </c>
      <c r="G721" t="s">
        <v>38</v>
      </c>
      <c r="H721" t="s">
        <v>39</v>
      </c>
      <c r="I721" t="s">
        <v>2629</v>
      </c>
      <c r="J721" t="s">
        <v>2697</v>
      </c>
      <c r="K721" t="s">
        <v>52</v>
      </c>
      <c r="L721">
        <v>49</v>
      </c>
      <c r="M721">
        <v>4</v>
      </c>
      <c r="N721">
        <v>20</v>
      </c>
      <c r="O721" t="s">
        <v>1978</v>
      </c>
      <c r="P721" t="s">
        <v>44</v>
      </c>
      <c r="Q721" t="s">
        <v>42</v>
      </c>
      <c r="R721" t="s">
        <v>71</v>
      </c>
      <c r="S721" t="s">
        <v>41</v>
      </c>
      <c r="T721">
        <v>3</v>
      </c>
      <c r="U721">
        <v>245.4</v>
      </c>
      <c r="V721">
        <v>658.94</v>
      </c>
      <c r="W721">
        <v>1</v>
      </c>
      <c r="X721" t="s">
        <v>45</v>
      </c>
      <c r="Y721">
        <v>2025</v>
      </c>
    </row>
    <row r="722" spans="1:25" x14ac:dyDescent="0.3">
      <c r="A722" t="s">
        <v>1979</v>
      </c>
      <c r="B722" s="1">
        <v>45376</v>
      </c>
      <c r="C722" t="s">
        <v>1980</v>
      </c>
      <c r="D722" t="s">
        <v>3057</v>
      </c>
      <c r="E722" s="1">
        <v>45377</v>
      </c>
      <c r="F722" t="s">
        <v>56</v>
      </c>
      <c r="G722" t="s">
        <v>54</v>
      </c>
      <c r="H722" t="s">
        <v>55</v>
      </c>
      <c r="I722" t="s">
        <v>2631</v>
      </c>
      <c r="J722" t="s">
        <v>2694</v>
      </c>
      <c r="K722" t="s">
        <v>52</v>
      </c>
      <c r="L722">
        <v>65</v>
      </c>
      <c r="M722">
        <v>1</v>
      </c>
      <c r="N722">
        <v>25</v>
      </c>
      <c r="O722" t="s">
        <v>631</v>
      </c>
      <c r="P722" t="s">
        <v>75</v>
      </c>
      <c r="Q722" t="s">
        <v>58</v>
      </c>
      <c r="R722" t="s">
        <v>32</v>
      </c>
      <c r="S722" t="s">
        <v>57</v>
      </c>
      <c r="T722">
        <v>3</v>
      </c>
      <c r="U722">
        <v>27.2</v>
      </c>
      <c r="V722">
        <v>16.14</v>
      </c>
      <c r="W722">
        <v>1</v>
      </c>
      <c r="X722" t="s">
        <v>34</v>
      </c>
      <c r="Y722">
        <v>2024</v>
      </c>
    </row>
    <row r="723" spans="1:25" x14ac:dyDescent="0.3">
      <c r="A723" t="s">
        <v>1981</v>
      </c>
      <c r="B723" s="1">
        <v>45901</v>
      </c>
      <c r="C723" t="s">
        <v>1982</v>
      </c>
      <c r="D723" t="s">
        <v>3056</v>
      </c>
      <c r="E723" s="1">
        <v>45905</v>
      </c>
      <c r="F723" t="s">
        <v>122</v>
      </c>
      <c r="G723" t="s">
        <v>120</v>
      </c>
      <c r="H723" t="s">
        <v>121</v>
      </c>
      <c r="I723" t="s">
        <v>2622</v>
      </c>
      <c r="J723" t="s">
        <v>2704</v>
      </c>
      <c r="K723" t="s">
        <v>52</v>
      </c>
      <c r="L723">
        <v>19</v>
      </c>
      <c r="M723">
        <v>2</v>
      </c>
      <c r="N723">
        <v>30</v>
      </c>
      <c r="O723" t="s">
        <v>296</v>
      </c>
      <c r="P723" t="s">
        <v>75</v>
      </c>
      <c r="Q723" t="s">
        <v>31</v>
      </c>
      <c r="R723" t="s">
        <v>32</v>
      </c>
      <c r="S723" t="s">
        <v>123</v>
      </c>
      <c r="T723">
        <v>2</v>
      </c>
      <c r="U723">
        <v>59.01</v>
      </c>
      <c r="V723">
        <v>58.95</v>
      </c>
      <c r="W723">
        <v>4</v>
      </c>
      <c r="X723" t="s">
        <v>45</v>
      </c>
      <c r="Y723">
        <v>2025</v>
      </c>
    </row>
    <row r="724" spans="1:25" x14ac:dyDescent="0.3">
      <c r="A724" t="s">
        <v>1983</v>
      </c>
      <c r="B724" s="1">
        <v>45436</v>
      </c>
      <c r="C724" t="s">
        <v>1984</v>
      </c>
      <c r="D724" t="s">
        <v>3055</v>
      </c>
      <c r="E724" s="1">
        <v>45437</v>
      </c>
      <c r="F724" t="s">
        <v>29</v>
      </c>
      <c r="G724" t="s">
        <v>27</v>
      </c>
      <c r="H724" t="s">
        <v>28</v>
      </c>
      <c r="I724" t="s">
        <v>2625</v>
      </c>
      <c r="J724" t="s">
        <v>2626</v>
      </c>
      <c r="K724" t="s">
        <v>25</v>
      </c>
      <c r="L724">
        <v>29</v>
      </c>
      <c r="M724">
        <v>5</v>
      </c>
      <c r="N724">
        <v>15</v>
      </c>
      <c r="O724" t="s">
        <v>1600</v>
      </c>
      <c r="P724" t="s">
        <v>75</v>
      </c>
      <c r="Q724" t="s">
        <v>31</v>
      </c>
      <c r="R724" t="s">
        <v>62</v>
      </c>
      <c r="S724" t="s">
        <v>30</v>
      </c>
      <c r="T724">
        <v>4</v>
      </c>
      <c r="U724">
        <v>90.32</v>
      </c>
      <c r="V724">
        <v>225.74</v>
      </c>
      <c r="W724">
        <v>1</v>
      </c>
      <c r="X724" t="s">
        <v>49</v>
      </c>
      <c r="Y724">
        <v>2024</v>
      </c>
    </row>
    <row r="725" spans="1:25" x14ac:dyDescent="0.3">
      <c r="A725" t="s">
        <v>1985</v>
      </c>
      <c r="B725" s="1">
        <v>45821</v>
      </c>
      <c r="C725" t="s">
        <v>1986</v>
      </c>
      <c r="D725" t="s">
        <v>3054</v>
      </c>
      <c r="E725" s="1">
        <v>45823</v>
      </c>
      <c r="F725" t="s">
        <v>40</v>
      </c>
      <c r="G725" t="s">
        <v>38</v>
      </c>
      <c r="H725" t="s">
        <v>39</v>
      </c>
      <c r="I725" t="s">
        <v>2622</v>
      </c>
      <c r="J725" t="s">
        <v>2704</v>
      </c>
      <c r="K725" t="s">
        <v>25</v>
      </c>
      <c r="L725">
        <v>50</v>
      </c>
      <c r="M725">
        <v>4</v>
      </c>
      <c r="N725">
        <v>10</v>
      </c>
      <c r="O725" t="s">
        <v>723</v>
      </c>
      <c r="P725" t="s">
        <v>75</v>
      </c>
      <c r="Q725" t="s">
        <v>31</v>
      </c>
      <c r="R725" t="s">
        <v>43</v>
      </c>
      <c r="S725" t="s">
        <v>41</v>
      </c>
      <c r="T725">
        <v>1</v>
      </c>
      <c r="U725">
        <v>278.42</v>
      </c>
      <c r="V725">
        <v>673.12</v>
      </c>
      <c r="W725">
        <v>2</v>
      </c>
      <c r="X725" t="s">
        <v>49</v>
      </c>
      <c r="Y725">
        <v>2025</v>
      </c>
    </row>
    <row r="726" spans="1:25" x14ac:dyDescent="0.3">
      <c r="A726" t="s">
        <v>1987</v>
      </c>
      <c r="B726" s="1">
        <v>46067</v>
      </c>
      <c r="C726" t="s">
        <v>1988</v>
      </c>
      <c r="D726" t="s">
        <v>3053</v>
      </c>
      <c r="E726" s="1">
        <v>46071</v>
      </c>
      <c r="F726" t="s">
        <v>122</v>
      </c>
      <c r="G726" t="s">
        <v>120</v>
      </c>
      <c r="H726" t="s">
        <v>121</v>
      </c>
      <c r="I726" t="s">
        <v>2637</v>
      </c>
      <c r="J726" t="s">
        <v>2638</v>
      </c>
      <c r="K726" t="s">
        <v>52</v>
      </c>
      <c r="L726">
        <v>25</v>
      </c>
      <c r="M726">
        <v>4</v>
      </c>
      <c r="N726">
        <v>15</v>
      </c>
      <c r="O726" t="s">
        <v>1600</v>
      </c>
      <c r="P726" t="s">
        <v>33</v>
      </c>
      <c r="Q726" t="s">
        <v>42</v>
      </c>
      <c r="R726" t="s">
        <v>43</v>
      </c>
      <c r="S726" t="s">
        <v>123</v>
      </c>
      <c r="T726">
        <v>5</v>
      </c>
      <c r="U726">
        <v>350.05</v>
      </c>
      <c r="V726">
        <v>754.62</v>
      </c>
      <c r="W726">
        <v>4</v>
      </c>
      <c r="X726" t="s">
        <v>34</v>
      </c>
      <c r="Y726">
        <v>2026</v>
      </c>
    </row>
    <row r="727" spans="1:25" x14ac:dyDescent="0.3">
      <c r="A727" t="s">
        <v>1989</v>
      </c>
      <c r="B727" s="1">
        <v>45863</v>
      </c>
      <c r="C727" t="s">
        <v>1990</v>
      </c>
      <c r="D727" t="s">
        <v>3052</v>
      </c>
      <c r="E727" s="1">
        <v>45864</v>
      </c>
      <c r="F727" t="s">
        <v>29</v>
      </c>
      <c r="G727" t="s">
        <v>27</v>
      </c>
      <c r="H727" t="s">
        <v>28</v>
      </c>
      <c r="I727" t="s">
        <v>2663</v>
      </c>
      <c r="J727" t="s">
        <v>2670</v>
      </c>
      <c r="K727" t="s">
        <v>52</v>
      </c>
      <c r="L727">
        <v>35</v>
      </c>
      <c r="M727">
        <v>3</v>
      </c>
      <c r="N727">
        <v>5</v>
      </c>
      <c r="O727" t="s">
        <v>26</v>
      </c>
      <c r="P727" t="s">
        <v>75</v>
      </c>
      <c r="Q727" t="s">
        <v>58</v>
      </c>
      <c r="R727" t="s">
        <v>43</v>
      </c>
      <c r="S727" t="s">
        <v>30</v>
      </c>
      <c r="T727">
        <v>1</v>
      </c>
      <c r="U727">
        <v>858.51</v>
      </c>
      <c r="V727">
        <v>1629.24</v>
      </c>
      <c r="W727">
        <v>1</v>
      </c>
      <c r="X727" t="s">
        <v>45</v>
      </c>
      <c r="Y727">
        <v>2025</v>
      </c>
    </row>
    <row r="728" spans="1:25" x14ac:dyDescent="0.3">
      <c r="A728" t="s">
        <v>1991</v>
      </c>
      <c r="B728" s="1">
        <v>46132</v>
      </c>
      <c r="C728" t="s">
        <v>1992</v>
      </c>
      <c r="D728" t="s">
        <v>3051</v>
      </c>
      <c r="E728" s="1">
        <v>46133</v>
      </c>
      <c r="F728" t="s">
        <v>29</v>
      </c>
      <c r="G728" t="s">
        <v>27</v>
      </c>
      <c r="H728" t="s">
        <v>28</v>
      </c>
      <c r="I728" t="s">
        <v>2627</v>
      </c>
      <c r="J728" t="s">
        <v>2698</v>
      </c>
      <c r="K728" t="s">
        <v>52</v>
      </c>
      <c r="L728">
        <v>51</v>
      </c>
      <c r="M728">
        <v>4</v>
      </c>
      <c r="N728">
        <v>15</v>
      </c>
      <c r="O728" t="s">
        <v>780</v>
      </c>
      <c r="P728" t="s">
        <v>33</v>
      </c>
      <c r="Q728" t="s">
        <v>31</v>
      </c>
      <c r="R728" t="s">
        <v>71</v>
      </c>
      <c r="S728" t="s">
        <v>30</v>
      </c>
      <c r="T728">
        <v>1</v>
      </c>
      <c r="U728">
        <v>329.3</v>
      </c>
      <c r="V728">
        <v>755.93</v>
      </c>
      <c r="W728">
        <v>1</v>
      </c>
      <c r="X728" t="s">
        <v>49</v>
      </c>
      <c r="Y728">
        <v>2026</v>
      </c>
    </row>
    <row r="729" spans="1:25" x14ac:dyDescent="0.3">
      <c r="A729" t="s">
        <v>1993</v>
      </c>
      <c r="B729" s="1">
        <v>45296</v>
      </c>
      <c r="C729" t="s">
        <v>1994</v>
      </c>
      <c r="D729" t="s">
        <v>3050</v>
      </c>
      <c r="E729" s="1">
        <v>45302</v>
      </c>
      <c r="F729" t="s">
        <v>56</v>
      </c>
      <c r="G729" t="s">
        <v>54</v>
      </c>
      <c r="H729" t="s">
        <v>55</v>
      </c>
      <c r="I729" t="s">
        <v>2634</v>
      </c>
      <c r="J729" t="s">
        <v>2714</v>
      </c>
      <c r="K729" t="s">
        <v>25</v>
      </c>
      <c r="L729">
        <v>54</v>
      </c>
      <c r="M729">
        <v>5</v>
      </c>
      <c r="N729">
        <v>20</v>
      </c>
      <c r="O729" t="s">
        <v>1995</v>
      </c>
      <c r="P729" t="s">
        <v>33</v>
      </c>
      <c r="Q729" t="s">
        <v>58</v>
      </c>
      <c r="R729" t="s">
        <v>32</v>
      </c>
      <c r="S729" t="s">
        <v>57</v>
      </c>
      <c r="T729">
        <v>5</v>
      </c>
      <c r="U729">
        <v>50.98</v>
      </c>
      <c r="V729">
        <v>167.61</v>
      </c>
      <c r="W729">
        <v>6</v>
      </c>
      <c r="X729" t="s">
        <v>34</v>
      </c>
      <c r="Y729">
        <v>2024</v>
      </c>
    </row>
    <row r="730" spans="1:25" x14ac:dyDescent="0.3">
      <c r="A730" t="s">
        <v>1996</v>
      </c>
      <c r="B730" s="1">
        <v>46042</v>
      </c>
      <c r="C730" t="s">
        <v>1997</v>
      </c>
      <c r="D730" t="s">
        <v>3049</v>
      </c>
      <c r="E730" s="1">
        <v>46044</v>
      </c>
      <c r="F730" t="s">
        <v>128</v>
      </c>
      <c r="G730" t="s">
        <v>98</v>
      </c>
      <c r="H730" t="s">
        <v>127</v>
      </c>
      <c r="I730" t="s">
        <v>2668</v>
      </c>
      <c r="J730" t="s">
        <v>2682</v>
      </c>
      <c r="K730" t="s">
        <v>52</v>
      </c>
      <c r="L730">
        <v>52</v>
      </c>
      <c r="M730">
        <v>2</v>
      </c>
      <c r="N730">
        <v>20</v>
      </c>
      <c r="O730" t="s">
        <v>1998</v>
      </c>
      <c r="P730" t="s">
        <v>75</v>
      </c>
      <c r="Q730" t="s">
        <v>31</v>
      </c>
      <c r="R730" t="s">
        <v>71</v>
      </c>
      <c r="S730" t="s">
        <v>129</v>
      </c>
      <c r="T730">
        <v>3</v>
      </c>
      <c r="U730">
        <v>378.15</v>
      </c>
      <c r="V730">
        <v>454.1</v>
      </c>
      <c r="W730">
        <v>2</v>
      </c>
      <c r="X730" t="s">
        <v>34</v>
      </c>
      <c r="Y730">
        <v>2026</v>
      </c>
    </row>
    <row r="731" spans="1:25" x14ac:dyDescent="0.3">
      <c r="A731" t="s">
        <v>1999</v>
      </c>
      <c r="B731" s="1">
        <v>45325</v>
      </c>
      <c r="C731" t="s">
        <v>2000</v>
      </c>
      <c r="D731" t="s">
        <v>3048</v>
      </c>
      <c r="E731" s="1">
        <v>45332</v>
      </c>
      <c r="F731" t="s">
        <v>100</v>
      </c>
      <c r="G731" t="s">
        <v>98</v>
      </c>
      <c r="H731" t="s">
        <v>99</v>
      </c>
      <c r="I731" t="s">
        <v>2635</v>
      </c>
      <c r="J731" t="s">
        <v>2677</v>
      </c>
      <c r="K731" t="s">
        <v>52</v>
      </c>
      <c r="L731">
        <v>39</v>
      </c>
      <c r="M731">
        <v>5</v>
      </c>
      <c r="N731">
        <v>0</v>
      </c>
      <c r="O731" t="s">
        <v>409</v>
      </c>
      <c r="P731" t="s">
        <v>44</v>
      </c>
      <c r="Q731" t="s">
        <v>117</v>
      </c>
      <c r="R731" t="s">
        <v>32</v>
      </c>
      <c r="S731" t="s">
        <v>101</v>
      </c>
      <c r="T731">
        <v>5</v>
      </c>
      <c r="U731">
        <v>67.62</v>
      </c>
      <c r="V731">
        <v>281.33</v>
      </c>
      <c r="W731">
        <v>7</v>
      </c>
      <c r="X731" t="s">
        <v>34</v>
      </c>
      <c r="Y731">
        <v>2024</v>
      </c>
    </row>
    <row r="732" spans="1:25" x14ac:dyDescent="0.3">
      <c r="A732" t="s">
        <v>2001</v>
      </c>
      <c r="B732" s="1">
        <v>45564</v>
      </c>
      <c r="C732" t="s">
        <v>2002</v>
      </c>
      <c r="D732" t="s">
        <v>3047</v>
      </c>
      <c r="E732" s="1">
        <v>45569</v>
      </c>
      <c r="F732" t="s">
        <v>122</v>
      </c>
      <c r="G732" t="s">
        <v>120</v>
      </c>
      <c r="H732" t="s">
        <v>121</v>
      </c>
      <c r="I732" t="s">
        <v>2661</v>
      </c>
      <c r="J732" t="s">
        <v>2700</v>
      </c>
      <c r="K732" t="s">
        <v>25</v>
      </c>
      <c r="L732">
        <v>26</v>
      </c>
      <c r="M732">
        <v>4</v>
      </c>
      <c r="N732">
        <v>0</v>
      </c>
      <c r="O732" t="s">
        <v>394</v>
      </c>
      <c r="P732" t="s">
        <v>33</v>
      </c>
      <c r="Q732" t="s">
        <v>58</v>
      </c>
      <c r="R732" t="s">
        <v>43</v>
      </c>
      <c r="S732" t="s">
        <v>123</v>
      </c>
      <c r="T732">
        <v>2</v>
      </c>
      <c r="U732">
        <v>244.2</v>
      </c>
      <c r="V732">
        <v>819.7</v>
      </c>
      <c r="W732">
        <v>5</v>
      </c>
      <c r="X732" t="s">
        <v>45</v>
      </c>
      <c r="Y732">
        <v>2024</v>
      </c>
    </row>
    <row r="733" spans="1:25" x14ac:dyDescent="0.3">
      <c r="A733" t="s">
        <v>2003</v>
      </c>
      <c r="B733" s="1">
        <v>45477</v>
      </c>
      <c r="C733" t="s">
        <v>2004</v>
      </c>
      <c r="D733" t="s">
        <v>3046</v>
      </c>
      <c r="E733" s="1">
        <v>45478</v>
      </c>
      <c r="F733" t="s">
        <v>115</v>
      </c>
      <c r="G733" t="s">
        <v>66</v>
      </c>
      <c r="H733" t="s">
        <v>114</v>
      </c>
      <c r="I733" t="s">
        <v>2627</v>
      </c>
      <c r="J733" t="s">
        <v>2698</v>
      </c>
      <c r="K733" t="s">
        <v>25</v>
      </c>
      <c r="L733">
        <v>51</v>
      </c>
      <c r="M733">
        <v>2</v>
      </c>
      <c r="N733">
        <v>20</v>
      </c>
      <c r="O733" t="s">
        <v>1933</v>
      </c>
      <c r="P733" t="s">
        <v>33</v>
      </c>
      <c r="Q733" t="s">
        <v>42</v>
      </c>
      <c r="R733" t="s">
        <v>71</v>
      </c>
      <c r="S733" t="s">
        <v>116</v>
      </c>
      <c r="T733">
        <v>2</v>
      </c>
      <c r="U733">
        <v>293</v>
      </c>
      <c r="V733">
        <v>328.06</v>
      </c>
      <c r="W733">
        <v>1</v>
      </c>
      <c r="X733" t="s">
        <v>45</v>
      </c>
      <c r="Y733">
        <v>2024</v>
      </c>
    </row>
    <row r="734" spans="1:25" x14ac:dyDescent="0.3">
      <c r="A734" t="s">
        <v>2005</v>
      </c>
      <c r="B734" s="1">
        <v>45435</v>
      </c>
      <c r="C734" t="s">
        <v>2006</v>
      </c>
      <c r="D734" t="s">
        <v>3045</v>
      </c>
      <c r="E734" s="1">
        <v>45439</v>
      </c>
      <c r="F734" t="s">
        <v>122</v>
      </c>
      <c r="G734" t="s">
        <v>120</v>
      </c>
      <c r="H734" t="s">
        <v>121</v>
      </c>
      <c r="I734" t="s">
        <v>2623</v>
      </c>
      <c r="J734" t="s">
        <v>2696</v>
      </c>
      <c r="K734" t="s">
        <v>52</v>
      </c>
      <c r="L734">
        <v>24</v>
      </c>
      <c r="M734">
        <v>2</v>
      </c>
      <c r="N734">
        <v>10</v>
      </c>
      <c r="O734" t="s">
        <v>2007</v>
      </c>
      <c r="P734" t="s">
        <v>33</v>
      </c>
      <c r="Q734" t="s">
        <v>70</v>
      </c>
      <c r="R734" t="s">
        <v>62</v>
      </c>
      <c r="S734" t="s">
        <v>123</v>
      </c>
      <c r="T734">
        <v>2</v>
      </c>
      <c r="U734">
        <v>463.63</v>
      </c>
      <c r="V734">
        <v>544.75</v>
      </c>
      <c r="W734">
        <v>4</v>
      </c>
      <c r="X734" t="s">
        <v>49</v>
      </c>
      <c r="Y734">
        <v>2024</v>
      </c>
    </row>
    <row r="735" spans="1:25" x14ac:dyDescent="0.3">
      <c r="A735" t="s">
        <v>2008</v>
      </c>
      <c r="B735" s="1">
        <v>45840</v>
      </c>
      <c r="C735" t="s">
        <v>2009</v>
      </c>
      <c r="D735" t="s">
        <v>3044</v>
      </c>
      <c r="E735" s="1">
        <v>45847</v>
      </c>
      <c r="F735" t="s">
        <v>122</v>
      </c>
      <c r="G735" t="s">
        <v>120</v>
      </c>
      <c r="H735" t="s">
        <v>121</v>
      </c>
      <c r="I735" t="s">
        <v>2661</v>
      </c>
      <c r="J735" t="s">
        <v>2671</v>
      </c>
      <c r="K735" t="s">
        <v>25</v>
      </c>
      <c r="L735">
        <v>31</v>
      </c>
      <c r="M735">
        <v>1</v>
      </c>
      <c r="N735">
        <v>30</v>
      </c>
      <c r="O735" t="s">
        <v>569</v>
      </c>
      <c r="P735" t="s">
        <v>44</v>
      </c>
      <c r="Q735" t="s">
        <v>42</v>
      </c>
      <c r="R735" t="s">
        <v>43</v>
      </c>
      <c r="S735" t="s">
        <v>123</v>
      </c>
      <c r="T735">
        <v>5</v>
      </c>
      <c r="U735">
        <v>442.25</v>
      </c>
      <c r="V735">
        <v>168.24</v>
      </c>
      <c r="W735">
        <v>7</v>
      </c>
      <c r="X735" t="s">
        <v>45</v>
      </c>
      <c r="Y735">
        <v>2025</v>
      </c>
    </row>
    <row r="736" spans="1:25" x14ac:dyDescent="0.3">
      <c r="A736" t="s">
        <v>2010</v>
      </c>
      <c r="B736" s="1">
        <v>45958</v>
      </c>
      <c r="C736" t="s">
        <v>2011</v>
      </c>
      <c r="D736" t="s">
        <v>3043</v>
      </c>
      <c r="E736" s="1">
        <v>45959</v>
      </c>
      <c r="F736" t="s">
        <v>115</v>
      </c>
      <c r="G736" t="s">
        <v>66</v>
      </c>
      <c r="H736" t="s">
        <v>114</v>
      </c>
      <c r="I736" t="s">
        <v>2635</v>
      </c>
      <c r="J736" t="s">
        <v>2643</v>
      </c>
      <c r="K736" t="s">
        <v>52</v>
      </c>
      <c r="L736">
        <v>20</v>
      </c>
      <c r="M736">
        <v>5</v>
      </c>
      <c r="N736">
        <v>20</v>
      </c>
      <c r="O736" t="s">
        <v>311</v>
      </c>
      <c r="P736" t="s">
        <v>75</v>
      </c>
      <c r="Q736" t="s">
        <v>31</v>
      </c>
      <c r="R736" t="s">
        <v>32</v>
      </c>
      <c r="S736" t="s">
        <v>116</v>
      </c>
      <c r="T736">
        <v>2</v>
      </c>
      <c r="U736">
        <v>269.92</v>
      </c>
      <c r="V736">
        <v>808.45</v>
      </c>
      <c r="W736">
        <v>1</v>
      </c>
      <c r="X736" t="s">
        <v>94</v>
      </c>
      <c r="Y736">
        <v>2025</v>
      </c>
    </row>
    <row r="737" spans="1:25" x14ac:dyDescent="0.3">
      <c r="A737" t="s">
        <v>2012</v>
      </c>
      <c r="B737" s="1">
        <v>46039</v>
      </c>
      <c r="C737" t="s">
        <v>2013</v>
      </c>
      <c r="D737" t="s">
        <v>3042</v>
      </c>
      <c r="E737" s="1">
        <v>46040</v>
      </c>
      <c r="F737" t="s">
        <v>40</v>
      </c>
      <c r="G737" t="s">
        <v>38</v>
      </c>
      <c r="H737" t="s">
        <v>39</v>
      </c>
      <c r="I737" t="s">
        <v>2629</v>
      </c>
      <c r="J737" t="s">
        <v>2709</v>
      </c>
      <c r="K737" t="s">
        <v>52</v>
      </c>
      <c r="L737">
        <v>63</v>
      </c>
      <c r="M737">
        <v>2</v>
      </c>
      <c r="N737">
        <v>5</v>
      </c>
      <c r="O737" t="s">
        <v>980</v>
      </c>
      <c r="P737" t="s">
        <v>33</v>
      </c>
      <c r="Q737" t="s">
        <v>58</v>
      </c>
      <c r="R737" t="s">
        <v>62</v>
      </c>
      <c r="S737" t="s">
        <v>41</v>
      </c>
      <c r="T737">
        <v>3</v>
      </c>
      <c r="U737">
        <v>147.13999999999999</v>
      </c>
      <c r="V737">
        <v>205.68</v>
      </c>
      <c r="W737">
        <v>1</v>
      </c>
      <c r="X737" t="s">
        <v>34</v>
      </c>
      <c r="Y737">
        <v>2026</v>
      </c>
    </row>
    <row r="738" spans="1:25" x14ac:dyDescent="0.3">
      <c r="A738" t="s">
        <v>2014</v>
      </c>
      <c r="B738" s="1">
        <v>45991</v>
      </c>
      <c r="C738" t="s">
        <v>2015</v>
      </c>
      <c r="D738" t="s">
        <v>3041</v>
      </c>
      <c r="E738" s="1">
        <v>45997</v>
      </c>
      <c r="F738" t="s">
        <v>40</v>
      </c>
      <c r="G738" t="s">
        <v>38</v>
      </c>
      <c r="H738" t="s">
        <v>39</v>
      </c>
      <c r="I738" t="s">
        <v>2668</v>
      </c>
      <c r="J738" t="s">
        <v>2708</v>
      </c>
      <c r="K738" t="s">
        <v>25</v>
      </c>
      <c r="L738">
        <v>38</v>
      </c>
      <c r="M738">
        <v>5</v>
      </c>
      <c r="N738">
        <v>0</v>
      </c>
      <c r="O738" t="s">
        <v>2016</v>
      </c>
      <c r="P738" t="s">
        <v>33</v>
      </c>
      <c r="Q738" t="s">
        <v>58</v>
      </c>
      <c r="R738" t="s">
        <v>71</v>
      </c>
      <c r="S738" t="s">
        <v>41</v>
      </c>
      <c r="T738">
        <v>2</v>
      </c>
      <c r="U738">
        <v>458.85</v>
      </c>
      <c r="V738">
        <v>1477.76</v>
      </c>
      <c r="W738">
        <v>6</v>
      </c>
      <c r="X738" t="s">
        <v>94</v>
      </c>
      <c r="Y738">
        <v>2025</v>
      </c>
    </row>
    <row r="739" spans="1:25" x14ac:dyDescent="0.3">
      <c r="A739" t="s">
        <v>2017</v>
      </c>
      <c r="B739" s="1">
        <v>45350</v>
      </c>
      <c r="C739" t="s">
        <v>2018</v>
      </c>
      <c r="D739" t="s">
        <v>3040</v>
      </c>
      <c r="E739" s="1">
        <v>45357</v>
      </c>
      <c r="F739" t="s">
        <v>122</v>
      </c>
      <c r="G739" t="s">
        <v>120</v>
      </c>
      <c r="H739" t="s">
        <v>121</v>
      </c>
      <c r="I739" t="s">
        <v>2623</v>
      </c>
      <c r="J739" t="s">
        <v>2624</v>
      </c>
      <c r="K739" t="s">
        <v>25</v>
      </c>
      <c r="L739">
        <v>29</v>
      </c>
      <c r="M739">
        <v>5</v>
      </c>
      <c r="N739">
        <v>10</v>
      </c>
      <c r="O739" t="s">
        <v>1196</v>
      </c>
      <c r="P739" t="s">
        <v>33</v>
      </c>
      <c r="Q739" t="s">
        <v>31</v>
      </c>
      <c r="R739" t="s">
        <v>62</v>
      </c>
      <c r="S739" t="s">
        <v>123</v>
      </c>
      <c r="T739">
        <v>3</v>
      </c>
      <c r="U739">
        <v>925.74</v>
      </c>
      <c r="V739">
        <v>2866.43</v>
      </c>
      <c r="W739">
        <v>7</v>
      </c>
      <c r="X739" t="s">
        <v>34</v>
      </c>
      <c r="Y739">
        <v>2024</v>
      </c>
    </row>
    <row r="740" spans="1:25" x14ac:dyDescent="0.3">
      <c r="A740" t="s">
        <v>2019</v>
      </c>
      <c r="B740" s="1">
        <v>46142</v>
      </c>
      <c r="C740" t="s">
        <v>2020</v>
      </c>
      <c r="D740" t="s">
        <v>3039</v>
      </c>
      <c r="E740" s="1">
        <v>46146</v>
      </c>
      <c r="F740" t="s">
        <v>40</v>
      </c>
      <c r="G740" t="s">
        <v>38</v>
      </c>
      <c r="H740" t="s">
        <v>39</v>
      </c>
      <c r="I740" t="s">
        <v>2679</v>
      </c>
      <c r="J740" t="s">
        <v>2680</v>
      </c>
      <c r="K740" t="s">
        <v>25</v>
      </c>
      <c r="L740">
        <v>20</v>
      </c>
      <c r="M740">
        <v>2</v>
      </c>
      <c r="N740">
        <v>15</v>
      </c>
      <c r="O740" t="s">
        <v>731</v>
      </c>
      <c r="P740" t="s">
        <v>44</v>
      </c>
      <c r="Q740" t="s">
        <v>31</v>
      </c>
      <c r="R740" t="s">
        <v>71</v>
      </c>
      <c r="S740" t="s">
        <v>41</v>
      </c>
      <c r="T740">
        <v>5</v>
      </c>
      <c r="U740">
        <v>576.49</v>
      </c>
      <c r="V740">
        <v>546.22</v>
      </c>
      <c r="W740">
        <v>4</v>
      </c>
      <c r="X740" t="s">
        <v>49</v>
      </c>
      <c r="Y740">
        <v>2026</v>
      </c>
    </row>
    <row r="741" spans="1:25" x14ac:dyDescent="0.3">
      <c r="A741" t="s">
        <v>2021</v>
      </c>
      <c r="B741" s="1">
        <v>45521</v>
      </c>
      <c r="C741" t="s">
        <v>2022</v>
      </c>
      <c r="D741" t="s">
        <v>3038</v>
      </c>
      <c r="E741" s="1">
        <v>45525</v>
      </c>
      <c r="F741" t="s">
        <v>100</v>
      </c>
      <c r="G741" t="s">
        <v>98</v>
      </c>
      <c r="H741" t="s">
        <v>99</v>
      </c>
      <c r="I741" t="s">
        <v>2665</v>
      </c>
      <c r="J741" t="s">
        <v>2693</v>
      </c>
      <c r="K741" t="s">
        <v>25</v>
      </c>
      <c r="L741">
        <v>41</v>
      </c>
      <c r="M741">
        <v>2</v>
      </c>
      <c r="N741">
        <v>20</v>
      </c>
      <c r="O741" t="s">
        <v>1429</v>
      </c>
      <c r="P741" t="s">
        <v>75</v>
      </c>
      <c r="Q741" t="s">
        <v>58</v>
      </c>
      <c r="R741" t="s">
        <v>62</v>
      </c>
      <c r="S741" t="s">
        <v>101</v>
      </c>
      <c r="T741">
        <v>3</v>
      </c>
      <c r="U741">
        <v>681.93</v>
      </c>
      <c r="V741">
        <v>673.26</v>
      </c>
      <c r="W741">
        <v>4</v>
      </c>
      <c r="X741" t="s">
        <v>45</v>
      </c>
      <c r="Y741">
        <v>2024</v>
      </c>
    </row>
    <row r="742" spans="1:25" x14ac:dyDescent="0.3">
      <c r="A742" t="s">
        <v>2023</v>
      </c>
      <c r="B742" s="1">
        <v>45434</v>
      </c>
      <c r="C742" t="s">
        <v>2024</v>
      </c>
      <c r="D742" t="s">
        <v>3037</v>
      </c>
      <c r="E742" s="1">
        <v>45436</v>
      </c>
      <c r="F742" t="s">
        <v>29</v>
      </c>
      <c r="G742" t="s">
        <v>27</v>
      </c>
      <c r="H742" t="s">
        <v>28</v>
      </c>
      <c r="I742" t="s">
        <v>2632</v>
      </c>
      <c r="J742" t="s">
        <v>2646</v>
      </c>
      <c r="K742" t="s">
        <v>25</v>
      </c>
      <c r="L742">
        <v>28</v>
      </c>
      <c r="M742">
        <v>1</v>
      </c>
      <c r="N742">
        <v>10</v>
      </c>
      <c r="O742" t="s">
        <v>2025</v>
      </c>
      <c r="P742" t="s">
        <v>75</v>
      </c>
      <c r="Q742" t="s">
        <v>42</v>
      </c>
      <c r="R742" t="s">
        <v>43</v>
      </c>
      <c r="S742" t="s">
        <v>30</v>
      </c>
      <c r="T742">
        <v>5</v>
      </c>
      <c r="U742">
        <v>579.21</v>
      </c>
      <c r="V742">
        <v>372.2</v>
      </c>
      <c r="W742">
        <v>2</v>
      </c>
      <c r="X742" t="s">
        <v>49</v>
      </c>
      <c r="Y742">
        <v>2024</v>
      </c>
    </row>
    <row r="743" spans="1:25" x14ac:dyDescent="0.3">
      <c r="A743" t="s">
        <v>2026</v>
      </c>
      <c r="B743" s="1">
        <v>45478</v>
      </c>
      <c r="C743" t="s">
        <v>2027</v>
      </c>
      <c r="D743" t="s">
        <v>2741</v>
      </c>
      <c r="E743" s="1">
        <v>45485</v>
      </c>
      <c r="F743" t="s">
        <v>40</v>
      </c>
      <c r="G743" t="s">
        <v>38</v>
      </c>
      <c r="H743" t="s">
        <v>39</v>
      </c>
      <c r="I743" t="s">
        <v>2623</v>
      </c>
      <c r="J743" t="s">
        <v>2696</v>
      </c>
      <c r="K743" t="s">
        <v>25</v>
      </c>
      <c r="L743">
        <v>59</v>
      </c>
      <c r="M743">
        <v>4</v>
      </c>
      <c r="N743">
        <v>10</v>
      </c>
      <c r="O743" t="s">
        <v>2028</v>
      </c>
      <c r="P743" t="s">
        <v>44</v>
      </c>
      <c r="Q743" t="s">
        <v>117</v>
      </c>
      <c r="R743" t="s">
        <v>43</v>
      </c>
      <c r="S743" t="s">
        <v>41</v>
      </c>
      <c r="T743">
        <v>1</v>
      </c>
      <c r="U743">
        <v>517.34</v>
      </c>
      <c r="V743">
        <v>1531.09</v>
      </c>
      <c r="W743">
        <v>7</v>
      </c>
      <c r="X743" t="s">
        <v>45</v>
      </c>
      <c r="Y743">
        <v>2024</v>
      </c>
    </row>
    <row r="744" spans="1:25" x14ac:dyDescent="0.3">
      <c r="A744" t="s">
        <v>2029</v>
      </c>
      <c r="B744" s="1">
        <v>45324</v>
      </c>
      <c r="C744" t="s">
        <v>2030</v>
      </c>
      <c r="D744" t="s">
        <v>3036</v>
      </c>
      <c r="E744" s="1">
        <v>45325</v>
      </c>
      <c r="F744" t="s">
        <v>68</v>
      </c>
      <c r="G744" t="s">
        <v>66</v>
      </c>
      <c r="H744" t="s">
        <v>67</v>
      </c>
      <c r="I744" t="s">
        <v>2633</v>
      </c>
      <c r="J744" t="s">
        <v>2678</v>
      </c>
      <c r="K744" t="s">
        <v>25</v>
      </c>
      <c r="L744">
        <v>23</v>
      </c>
      <c r="M744">
        <v>3</v>
      </c>
      <c r="N744">
        <v>20</v>
      </c>
      <c r="O744" t="s">
        <v>2031</v>
      </c>
      <c r="P744" t="s">
        <v>33</v>
      </c>
      <c r="Q744" t="s">
        <v>42</v>
      </c>
      <c r="R744" t="s">
        <v>71</v>
      </c>
      <c r="S744" t="s">
        <v>69</v>
      </c>
      <c r="T744">
        <v>1</v>
      </c>
      <c r="U744">
        <v>614.64</v>
      </c>
      <c r="V744">
        <v>1023.04</v>
      </c>
      <c r="W744">
        <v>1</v>
      </c>
      <c r="X744" t="s">
        <v>34</v>
      </c>
      <c r="Y744">
        <v>2024</v>
      </c>
    </row>
    <row r="745" spans="1:25" x14ac:dyDescent="0.3">
      <c r="A745" t="s">
        <v>2032</v>
      </c>
      <c r="B745" s="1">
        <v>45889</v>
      </c>
      <c r="C745" t="s">
        <v>2033</v>
      </c>
      <c r="D745" t="s">
        <v>3035</v>
      </c>
      <c r="E745" s="1">
        <v>45895</v>
      </c>
      <c r="F745" t="s">
        <v>140</v>
      </c>
      <c r="G745" t="s">
        <v>38</v>
      </c>
      <c r="H745" t="s">
        <v>139</v>
      </c>
      <c r="I745" t="s">
        <v>2668</v>
      </c>
      <c r="J745" t="s">
        <v>2669</v>
      </c>
      <c r="K745" t="s">
        <v>25</v>
      </c>
      <c r="L745">
        <v>36</v>
      </c>
      <c r="M745">
        <v>2</v>
      </c>
      <c r="N745">
        <v>10</v>
      </c>
      <c r="O745" t="s">
        <v>572</v>
      </c>
      <c r="P745" t="s">
        <v>44</v>
      </c>
      <c r="Q745" t="s">
        <v>58</v>
      </c>
      <c r="R745" t="s">
        <v>71</v>
      </c>
      <c r="S745" t="s">
        <v>141</v>
      </c>
      <c r="T745">
        <v>3</v>
      </c>
      <c r="U745">
        <v>213.1</v>
      </c>
      <c r="V745">
        <v>244.65</v>
      </c>
      <c r="W745">
        <v>6</v>
      </c>
      <c r="X745" t="s">
        <v>45</v>
      </c>
      <c r="Y745">
        <v>2025</v>
      </c>
    </row>
    <row r="746" spans="1:25" x14ac:dyDescent="0.3">
      <c r="A746" t="s">
        <v>2034</v>
      </c>
      <c r="B746" s="1">
        <v>45751</v>
      </c>
      <c r="C746" t="s">
        <v>2035</v>
      </c>
      <c r="D746" t="s">
        <v>2740</v>
      </c>
      <c r="E746" s="1">
        <v>45754</v>
      </c>
      <c r="F746" t="s">
        <v>29</v>
      </c>
      <c r="G746" t="s">
        <v>27</v>
      </c>
      <c r="H746" t="s">
        <v>28</v>
      </c>
      <c r="I746" t="s">
        <v>2632</v>
      </c>
      <c r="J746" t="s">
        <v>2715</v>
      </c>
      <c r="K746" t="s">
        <v>52</v>
      </c>
      <c r="L746">
        <v>37</v>
      </c>
      <c r="M746">
        <v>2</v>
      </c>
      <c r="N746">
        <v>0</v>
      </c>
      <c r="O746" t="s">
        <v>235</v>
      </c>
      <c r="P746" t="s">
        <v>75</v>
      </c>
      <c r="Q746" t="s">
        <v>58</v>
      </c>
      <c r="R746" t="s">
        <v>62</v>
      </c>
      <c r="S746" t="s">
        <v>30</v>
      </c>
      <c r="T746">
        <v>1</v>
      </c>
      <c r="U746">
        <v>704.1</v>
      </c>
      <c r="V746">
        <v>1075.6500000000001</v>
      </c>
      <c r="W746">
        <v>3</v>
      </c>
      <c r="X746" t="s">
        <v>49</v>
      </c>
      <c r="Y746">
        <v>2025</v>
      </c>
    </row>
    <row r="747" spans="1:25" x14ac:dyDescent="0.3">
      <c r="A747" t="s">
        <v>2036</v>
      </c>
      <c r="B747" s="1">
        <v>45435</v>
      </c>
      <c r="C747" t="s">
        <v>301</v>
      </c>
      <c r="D747" t="s">
        <v>2738</v>
      </c>
      <c r="E747" s="1">
        <v>45440</v>
      </c>
      <c r="F747" t="s">
        <v>122</v>
      </c>
      <c r="G747" t="s">
        <v>120</v>
      </c>
      <c r="H747" t="s">
        <v>121</v>
      </c>
      <c r="I747" t="s">
        <v>2625</v>
      </c>
      <c r="J747" t="s">
        <v>2703</v>
      </c>
      <c r="K747" t="s">
        <v>25</v>
      </c>
      <c r="L747">
        <v>44</v>
      </c>
      <c r="M747">
        <v>1</v>
      </c>
      <c r="N747">
        <v>25</v>
      </c>
      <c r="O747" t="s">
        <v>655</v>
      </c>
      <c r="P747" t="s">
        <v>44</v>
      </c>
      <c r="Q747" t="s">
        <v>70</v>
      </c>
      <c r="R747" t="s">
        <v>43</v>
      </c>
      <c r="S747" t="s">
        <v>123</v>
      </c>
      <c r="T747">
        <v>4</v>
      </c>
      <c r="U747">
        <v>73.66</v>
      </c>
      <c r="V747">
        <v>30.34</v>
      </c>
      <c r="W747">
        <v>5</v>
      </c>
      <c r="X747" t="s">
        <v>49</v>
      </c>
      <c r="Y747">
        <v>2024</v>
      </c>
    </row>
    <row r="748" spans="1:25" x14ac:dyDescent="0.3">
      <c r="A748" t="s">
        <v>2037</v>
      </c>
      <c r="B748" s="1">
        <v>45993</v>
      </c>
      <c r="C748" t="s">
        <v>2038</v>
      </c>
      <c r="D748" t="s">
        <v>3034</v>
      </c>
      <c r="E748" s="1">
        <v>45995</v>
      </c>
      <c r="F748" t="s">
        <v>68</v>
      </c>
      <c r="G748" t="s">
        <v>66</v>
      </c>
      <c r="H748" t="s">
        <v>67</v>
      </c>
      <c r="I748" t="s">
        <v>2623</v>
      </c>
      <c r="J748" t="s">
        <v>2701</v>
      </c>
      <c r="K748" t="s">
        <v>25</v>
      </c>
      <c r="L748">
        <v>54</v>
      </c>
      <c r="M748">
        <v>1</v>
      </c>
      <c r="N748">
        <v>30</v>
      </c>
      <c r="O748" t="s">
        <v>2016</v>
      </c>
      <c r="P748" t="s">
        <v>75</v>
      </c>
      <c r="Q748" t="s">
        <v>70</v>
      </c>
      <c r="R748" t="s">
        <v>62</v>
      </c>
      <c r="S748" t="s">
        <v>69</v>
      </c>
      <c r="T748">
        <v>4</v>
      </c>
      <c r="U748">
        <v>915.52</v>
      </c>
      <c r="V748">
        <v>351.82</v>
      </c>
      <c r="W748">
        <v>2</v>
      </c>
      <c r="X748" t="s">
        <v>94</v>
      </c>
      <c r="Y748">
        <v>2025</v>
      </c>
    </row>
    <row r="749" spans="1:25" x14ac:dyDescent="0.3">
      <c r="A749" t="s">
        <v>2039</v>
      </c>
      <c r="B749" s="1">
        <v>46114</v>
      </c>
      <c r="C749" t="s">
        <v>2040</v>
      </c>
      <c r="D749" t="s">
        <v>2739</v>
      </c>
      <c r="E749" s="1">
        <v>46119</v>
      </c>
      <c r="F749" t="s">
        <v>29</v>
      </c>
      <c r="G749" t="s">
        <v>27</v>
      </c>
      <c r="H749" t="s">
        <v>28</v>
      </c>
      <c r="I749" t="s">
        <v>2675</v>
      </c>
      <c r="J749" t="s">
        <v>2710</v>
      </c>
      <c r="K749" t="s">
        <v>52</v>
      </c>
      <c r="L749">
        <v>58</v>
      </c>
      <c r="M749">
        <v>3</v>
      </c>
      <c r="N749">
        <v>15</v>
      </c>
      <c r="O749" t="s">
        <v>319</v>
      </c>
      <c r="P749" t="s">
        <v>44</v>
      </c>
      <c r="Q749" t="s">
        <v>31</v>
      </c>
      <c r="R749" t="s">
        <v>43</v>
      </c>
      <c r="S749" t="s">
        <v>30</v>
      </c>
      <c r="T749">
        <v>3</v>
      </c>
      <c r="U749">
        <v>709.15</v>
      </c>
      <c r="V749">
        <v>1229.8900000000001</v>
      </c>
      <c r="W749">
        <v>5</v>
      </c>
      <c r="X749" t="s">
        <v>49</v>
      </c>
      <c r="Y749">
        <v>2026</v>
      </c>
    </row>
    <row r="750" spans="1:25" x14ac:dyDescent="0.3">
      <c r="A750" t="s">
        <v>2041</v>
      </c>
      <c r="B750" s="1">
        <v>45855</v>
      </c>
      <c r="C750" t="s">
        <v>2042</v>
      </c>
      <c r="D750" t="s">
        <v>3033</v>
      </c>
      <c r="E750" s="1">
        <v>45862</v>
      </c>
      <c r="F750" t="s">
        <v>29</v>
      </c>
      <c r="G750" t="s">
        <v>27</v>
      </c>
      <c r="H750" t="s">
        <v>28</v>
      </c>
      <c r="I750" t="s">
        <v>2623</v>
      </c>
      <c r="J750" t="s">
        <v>2691</v>
      </c>
      <c r="K750" t="s">
        <v>25</v>
      </c>
      <c r="L750">
        <v>30</v>
      </c>
      <c r="M750">
        <v>2</v>
      </c>
      <c r="N750">
        <v>30</v>
      </c>
      <c r="O750" t="s">
        <v>1041</v>
      </c>
      <c r="P750" t="s">
        <v>44</v>
      </c>
      <c r="Q750" t="s">
        <v>117</v>
      </c>
      <c r="R750" t="s">
        <v>71</v>
      </c>
      <c r="S750" t="s">
        <v>30</v>
      </c>
      <c r="T750">
        <v>5</v>
      </c>
      <c r="U750">
        <v>987.79</v>
      </c>
      <c r="V750">
        <v>869.32</v>
      </c>
      <c r="W750">
        <v>7</v>
      </c>
      <c r="X750" t="s">
        <v>45</v>
      </c>
      <c r="Y750">
        <v>2025</v>
      </c>
    </row>
    <row r="751" spans="1:25" x14ac:dyDescent="0.3">
      <c r="A751" t="s">
        <v>2043</v>
      </c>
      <c r="B751" s="1">
        <v>45499</v>
      </c>
      <c r="C751" t="s">
        <v>2044</v>
      </c>
      <c r="D751" t="s">
        <v>3032</v>
      </c>
      <c r="E751" s="1">
        <v>45503</v>
      </c>
      <c r="F751" t="s">
        <v>56</v>
      </c>
      <c r="G751" t="s">
        <v>54</v>
      </c>
      <c r="H751" t="s">
        <v>55</v>
      </c>
      <c r="I751" t="s">
        <v>2633</v>
      </c>
      <c r="J751" t="s">
        <v>2678</v>
      </c>
      <c r="K751" t="s">
        <v>25</v>
      </c>
      <c r="L751">
        <v>19</v>
      </c>
      <c r="M751">
        <v>3</v>
      </c>
      <c r="N751">
        <v>10</v>
      </c>
      <c r="O751" t="s">
        <v>2045</v>
      </c>
      <c r="P751" t="s">
        <v>75</v>
      </c>
      <c r="Q751" t="s">
        <v>58</v>
      </c>
      <c r="R751" t="s">
        <v>62</v>
      </c>
      <c r="S751" t="s">
        <v>57</v>
      </c>
      <c r="T751">
        <v>1</v>
      </c>
      <c r="U751">
        <v>627.92999999999995</v>
      </c>
      <c r="V751">
        <v>1366.15</v>
      </c>
      <c r="W751">
        <v>4</v>
      </c>
      <c r="X751" t="s">
        <v>45</v>
      </c>
      <c r="Y751">
        <v>2024</v>
      </c>
    </row>
    <row r="752" spans="1:25" x14ac:dyDescent="0.3">
      <c r="A752" t="s">
        <v>2046</v>
      </c>
      <c r="B752" s="1">
        <v>45991</v>
      </c>
      <c r="C752" t="s">
        <v>1688</v>
      </c>
      <c r="D752" t="s">
        <v>3031</v>
      </c>
      <c r="E752" s="1">
        <v>45992</v>
      </c>
      <c r="F752" t="s">
        <v>56</v>
      </c>
      <c r="G752" t="s">
        <v>54</v>
      </c>
      <c r="H752" t="s">
        <v>55</v>
      </c>
      <c r="I752" t="s">
        <v>2672</v>
      </c>
      <c r="J752" t="s">
        <v>2716</v>
      </c>
      <c r="K752" t="s">
        <v>52</v>
      </c>
      <c r="L752">
        <v>56</v>
      </c>
      <c r="M752">
        <v>5</v>
      </c>
      <c r="N752">
        <v>15</v>
      </c>
      <c r="O752" t="s">
        <v>78</v>
      </c>
      <c r="P752" t="s">
        <v>44</v>
      </c>
      <c r="Q752" t="s">
        <v>42</v>
      </c>
      <c r="R752" t="s">
        <v>62</v>
      </c>
      <c r="S752" t="s">
        <v>57</v>
      </c>
      <c r="T752">
        <v>5</v>
      </c>
      <c r="U752">
        <v>597.07000000000005</v>
      </c>
      <c r="V752">
        <v>1894.15</v>
      </c>
      <c r="W752">
        <v>1</v>
      </c>
      <c r="X752" t="s">
        <v>94</v>
      </c>
      <c r="Y752">
        <v>2025</v>
      </c>
    </row>
    <row r="753" spans="1:25" x14ac:dyDescent="0.3">
      <c r="A753" t="s">
        <v>2047</v>
      </c>
      <c r="B753" s="1">
        <v>45645</v>
      </c>
      <c r="C753" t="s">
        <v>2048</v>
      </c>
      <c r="D753" t="s">
        <v>3030</v>
      </c>
      <c r="E753" s="1">
        <v>45652</v>
      </c>
      <c r="F753" t="s">
        <v>100</v>
      </c>
      <c r="G753" t="s">
        <v>98</v>
      </c>
      <c r="H753" t="s">
        <v>99</v>
      </c>
      <c r="I753" t="s">
        <v>2625</v>
      </c>
      <c r="J753" t="s">
        <v>2651</v>
      </c>
      <c r="K753" t="s">
        <v>52</v>
      </c>
      <c r="L753">
        <v>25</v>
      </c>
      <c r="M753">
        <v>4</v>
      </c>
      <c r="N753">
        <v>30</v>
      </c>
      <c r="O753" t="s">
        <v>81</v>
      </c>
      <c r="P753" t="s">
        <v>33</v>
      </c>
      <c r="Q753" t="s">
        <v>42</v>
      </c>
      <c r="R753" t="s">
        <v>32</v>
      </c>
      <c r="S753" t="s">
        <v>101</v>
      </c>
      <c r="T753">
        <v>3</v>
      </c>
      <c r="U753">
        <v>215.61</v>
      </c>
      <c r="V753">
        <v>505.12</v>
      </c>
      <c r="W753">
        <v>7</v>
      </c>
      <c r="X753" t="s">
        <v>94</v>
      </c>
      <c r="Y753">
        <v>2024</v>
      </c>
    </row>
    <row r="754" spans="1:25" x14ac:dyDescent="0.3">
      <c r="A754" t="s">
        <v>2049</v>
      </c>
      <c r="B754" s="1">
        <v>45994</v>
      </c>
      <c r="C754" t="s">
        <v>2050</v>
      </c>
      <c r="D754" t="s">
        <v>3029</v>
      </c>
      <c r="E754" s="1">
        <v>45995</v>
      </c>
      <c r="F754" t="s">
        <v>128</v>
      </c>
      <c r="G754" t="s">
        <v>98</v>
      </c>
      <c r="H754" t="s">
        <v>127</v>
      </c>
      <c r="I754" t="s">
        <v>2625</v>
      </c>
      <c r="J754" t="s">
        <v>2703</v>
      </c>
      <c r="K754" t="s">
        <v>52</v>
      </c>
      <c r="L754">
        <v>22</v>
      </c>
      <c r="M754">
        <v>1</v>
      </c>
      <c r="N754">
        <v>10</v>
      </c>
      <c r="O754" t="s">
        <v>841</v>
      </c>
      <c r="P754" t="s">
        <v>44</v>
      </c>
      <c r="Q754" t="s">
        <v>58</v>
      </c>
      <c r="R754" t="s">
        <v>32</v>
      </c>
      <c r="S754" t="s">
        <v>129</v>
      </c>
      <c r="T754">
        <v>1</v>
      </c>
      <c r="U754">
        <v>945.95</v>
      </c>
      <c r="V754">
        <v>663.63</v>
      </c>
      <c r="W754">
        <v>1</v>
      </c>
      <c r="X754" t="s">
        <v>94</v>
      </c>
      <c r="Y754">
        <v>2025</v>
      </c>
    </row>
    <row r="755" spans="1:25" x14ac:dyDescent="0.3">
      <c r="A755" t="s">
        <v>2051</v>
      </c>
      <c r="B755" s="1">
        <v>46085</v>
      </c>
      <c r="C755" t="s">
        <v>2052</v>
      </c>
      <c r="D755" t="s">
        <v>3028</v>
      </c>
      <c r="E755" s="1">
        <v>46090</v>
      </c>
      <c r="F755" t="s">
        <v>68</v>
      </c>
      <c r="G755" t="s">
        <v>66</v>
      </c>
      <c r="H755" t="s">
        <v>67</v>
      </c>
      <c r="I755" t="s">
        <v>2634</v>
      </c>
      <c r="J755" t="s">
        <v>2714</v>
      </c>
      <c r="K755" t="s">
        <v>52</v>
      </c>
      <c r="L755">
        <v>50</v>
      </c>
      <c r="M755">
        <v>3</v>
      </c>
      <c r="N755">
        <v>15</v>
      </c>
      <c r="O755" t="s">
        <v>862</v>
      </c>
      <c r="P755" t="s">
        <v>75</v>
      </c>
      <c r="Q755" t="s">
        <v>31</v>
      </c>
      <c r="R755" t="s">
        <v>71</v>
      </c>
      <c r="S755" t="s">
        <v>69</v>
      </c>
      <c r="T755">
        <v>5</v>
      </c>
      <c r="U755">
        <v>373.08</v>
      </c>
      <c r="V755">
        <v>497.4</v>
      </c>
      <c r="W755">
        <v>5</v>
      </c>
      <c r="X755" t="s">
        <v>34</v>
      </c>
      <c r="Y755">
        <v>2026</v>
      </c>
    </row>
    <row r="756" spans="1:25" x14ac:dyDescent="0.3">
      <c r="A756" t="s">
        <v>2053</v>
      </c>
      <c r="B756" s="1">
        <v>45883</v>
      </c>
      <c r="C756" t="s">
        <v>2054</v>
      </c>
      <c r="D756" t="s">
        <v>3027</v>
      </c>
      <c r="E756" s="1">
        <v>45884</v>
      </c>
      <c r="F756" t="s">
        <v>140</v>
      </c>
      <c r="G756" t="s">
        <v>38</v>
      </c>
      <c r="H756" t="s">
        <v>139</v>
      </c>
      <c r="I756" t="s">
        <v>2633</v>
      </c>
      <c r="J756" t="s">
        <v>2636</v>
      </c>
      <c r="K756" t="s">
        <v>25</v>
      </c>
      <c r="L756">
        <v>23</v>
      </c>
      <c r="M756">
        <v>3</v>
      </c>
      <c r="N756">
        <v>15</v>
      </c>
      <c r="O756" t="s">
        <v>1375</v>
      </c>
      <c r="P756" t="s">
        <v>75</v>
      </c>
      <c r="Q756" t="s">
        <v>42</v>
      </c>
      <c r="R756" t="s">
        <v>32</v>
      </c>
      <c r="S756" t="s">
        <v>141</v>
      </c>
      <c r="T756">
        <v>5</v>
      </c>
      <c r="U756">
        <v>534.32000000000005</v>
      </c>
      <c r="V756">
        <v>888.93</v>
      </c>
      <c r="W756">
        <v>1</v>
      </c>
      <c r="X756" t="s">
        <v>45</v>
      </c>
      <c r="Y756">
        <v>2025</v>
      </c>
    </row>
    <row r="757" spans="1:25" x14ac:dyDescent="0.3">
      <c r="A757" t="s">
        <v>2055</v>
      </c>
      <c r="B757" s="1">
        <v>45451</v>
      </c>
      <c r="C757" t="s">
        <v>2056</v>
      </c>
      <c r="D757" t="s">
        <v>3026</v>
      </c>
      <c r="E757" s="1">
        <v>45456</v>
      </c>
      <c r="F757" t="s">
        <v>29</v>
      </c>
      <c r="G757" t="s">
        <v>27</v>
      </c>
      <c r="H757" t="s">
        <v>28</v>
      </c>
      <c r="I757" t="s">
        <v>2633</v>
      </c>
      <c r="J757" t="s">
        <v>2636</v>
      </c>
      <c r="K757" t="s">
        <v>25</v>
      </c>
      <c r="L757">
        <v>31</v>
      </c>
      <c r="M757">
        <v>4</v>
      </c>
      <c r="N757">
        <v>15</v>
      </c>
      <c r="O757" t="s">
        <v>189</v>
      </c>
      <c r="P757" t="s">
        <v>33</v>
      </c>
      <c r="Q757" t="s">
        <v>31</v>
      </c>
      <c r="R757" t="s">
        <v>62</v>
      </c>
      <c r="S757" t="s">
        <v>30</v>
      </c>
      <c r="T757">
        <v>2</v>
      </c>
      <c r="U757">
        <v>38.28</v>
      </c>
      <c r="V757">
        <v>79.489999999999995</v>
      </c>
      <c r="W757">
        <v>5</v>
      </c>
      <c r="X757" t="s">
        <v>49</v>
      </c>
      <c r="Y757">
        <v>2024</v>
      </c>
    </row>
    <row r="758" spans="1:25" x14ac:dyDescent="0.3">
      <c r="A758" t="s">
        <v>2057</v>
      </c>
      <c r="B758" s="1">
        <v>45567</v>
      </c>
      <c r="C758" t="s">
        <v>2058</v>
      </c>
      <c r="D758" t="s">
        <v>3025</v>
      </c>
      <c r="E758" s="1">
        <v>45570</v>
      </c>
      <c r="F758" t="s">
        <v>29</v>
      </c>
      <c r="G758" t="s">
        <v>27</v>
      </c>
      <c r="H758" t="s">
        <v>28</v>
      </c>
      <c r="I758" t="s">
        <v>2627</v>
      </c>
      <c r="J758" t="s">
        <v>2698</v>
      </c>
      <c r="K758" t="s">
        <v>25</v>
      </c>
      <c r="L758">
        <v>29</v>
      </c>
      <c r="M758">
        <v>4</v>
      </c>
      <c r="N758">
        <v>10</v>
      </c>
      <c r="O758" t="s">
        <v>1681</v>
      </c>
      <c r="P758" t="s">
        <v>33</v>
      </c>
      <c r="Q758" t="s">
        <v>58</v>
      </c>
      <c r="R758" t="s">
        <v>62</v>
      </c>
      <c r="S758" t="s">
        <v>30</v>
      </c>
      <c r="T758">
        <v>5</v>
      </c>
      <c r="U758">
        <v>522.19000000000005</v>
      </c>
      <c r="V758">
        <v>968.07</v>
      </c>
      <c r="W758">
        <v>3</v>
      </c>
      <c r="X758" t="s">
        <v>94</v>
      </c>
      <c r="Y758">
        <v>2024</v>
      </c>
    </row>
    <row r="759" spans="1:25" x14ac:dyDescent="0.3">
      <c r="A759" t="s">
        <v>2059</v>
      </c>
      <c r="B759" s="1">
        <v>45763</v>
      </c>
      <c r="C759" t="s">
        <v>2060</v>
      </c>
      <c r="D759" t="s">
        <v>3024</v>
      </c>
      <c r="E759" s="1">
        <v>45768</v>
      </c>
      <c r="F759" t="s">
        <v>140</v>
      </c>
      <c r="G759" t="s">
        <v>38</v>
      </c>
      <c r="H759" t="s">
        <v>139</v>
      </c>
      <c r="I759" t="s">
        <v>2652</v>
      </c>
      <c r="J759" t="s">
        <v>2688</v>
      </c>
      <c r="K759" t="s">
        <v>25</v>
      </c>
      <c r="L759">
        <v>48</v>
      </c>
      <c r="M759">
        <v>4</v>
      </c>
      <c r="N759">
        <v>15</v>
      </c>
      <c r="O759" t="s">
        <v>808</v>
      </c>
      <c r="P759" t="s">
        <v>33</v>
      </c>
      <c r="Q759" t="s">
        <v>42</v>
      </c>
      <c r="R759" t="s">
        <v>71</v>
      </c>
      <c r="S759" t="s">
        <v>141</v>
      </c>
      <c r="T759">
        <v>4</v>
      </c>
      <c r="U759">
        <v>836.31</v>
      </c>
      <c r="V759">
        <v>1788.78</v>
      </c>
      <c r="W759">
        <v>5</v>
      </c>
      <c r="X759" t="s">
        <v>49</v>
      </c>
      <c r="Y759">
        <v>2025</v>
      </c>
    </row>
    <row r="760" spans="1:25" x14ac:dyDescent="0.3">
      <c r="A760" t="s">
        <v>2061</v>
      </c>
      <c r="B760" s="1">
        <v>46003</v>
      </c>
      <c r="C760" t="s">
        <v>2062</v>
      </c>
      <c r="D760" t="s">
        <v>3023</v>
      </c>
      <c r="E760" s="1">
        <v>46004</v>
      </c>
      <c r="F760" t="s">
        <v>122</v>
      </c>
      <c r="G760" t="s">
        <v>120</v>
      </c>
      <c r="H760" t="s">
        <v>121</v>
      </c>
      <c r="I760" t="s">
        <v>2668</v>
      </c>
      <c r="J760" t="s">
        <v>2708</v>
      </c>
      <c r="K760" t="s">
        <v>52</v>
      </c>
      <c r="L760">
        <v>46</v>
      </c>
      <c r="M760">
        <v>2</v>
      </c>
      <c r="N760">
        <v>30</v>
      </c>
      <c r="O760" t="s">
        <v>1477</v>
      </c>
      <c r="P760" t="s">
        <v>44</v>
      </c>
      <c r="Q760" t="s">
        <v>117</v>
      </c>
      <c r="R760" t="s">
        <v>32</v>
      </c>
      <c r="S760" t="s">
        <v>123</v>
      </c>
      <c r="T760">
        <v>4</v>
      </c>
      <c r="U760">
        <v>466.18</v>
      </c>
      <c r="V760">
        <v>490.53</v>
      </c>
      <c r="W760">
        <v>1</v>
      </c>
      <c r="X760" t="s">
        <v>94</v>
      </c>
      <c r="Y760">
        <v>2025</v>
      </c>
    </row>
    <row r="761" spans="1:25" x14ac:dyDescent="0.3">
      <c r="A761" t="s">
        <v>2063</v>
      </c>
      <c r="B761" s="1">
        <v>45630</v>
      </c>
      <c r="C761" t="s">
        <v>2064</v>
      </c>
      <c r="D761" t="s">
        <v>3022</v>
      </c>
      <c r="E761" s="1">
        <v>45637</v>
      </c>
      <c r="F761" t="s">
        <v>40</v>
      </c>
      <c r="G761" t="s">
        <v>38</v>
      </c>
      <c r="H761" t="s">
        <v>39</v>
      </c>
      <c r="I761" t="s">
        <v>2631</v>
      </c>
      <c r="J761" t="s">
        <v>2674</v>
      </c>
      <c r="K761" t="s">
        <v>25</v>
      </c>
      <c r="L761">
        <v>54</v>
      </c>
      <c r="M761">
        <v>5</v>
      </c>
      <c r="N761">
        <v>10</v>
      </c>
      <c r="O761" t="s">
        <v>2065</v>
      </c>
      <c r="P761" t="s">
        <v>75</v>
      </c>
      <c r="Q761" t="s">
        <v>42</v>
      </c>
      <c r="R761" t="s">
        <v>32</v>
      </c>
      <c r="S761" t="s">
        <v>41</v>
      </c>
      <c r="T761">
        <v>4</v>
      </c>
      <c r="U761">
        <v>857.85</v>
      </c>
      <c r="V761">
        <v>2109.0300000000002</v>
      </c>
      <c r="W761">
        <v>7</v>
      </c>
      <c r="X761" t="s">
        <v>94</v>
      </c>
      <c r="Y761">
        <v>2024</v>
      </c>
    </row>
    <row r="762" spans="1:25" x14ac:dyDescent="0.3">
      <c r="A762" t="s">
        <v>2066</v>
      </c>
      <c r="B762" s="1">
        <v>45549</v>
      </c>
      <c r="C762" t="s">
        <v>2067</v>
      </c>
      <c r="D762" t="s">
        <v>3021</v>
      </c>
      <c r="E762" s="1">
        <v>45555</v>
      </c>
      <c r="F762" t="s">
        <v>29</v>
      </c>
      <c r="G762" t="s">
        <v>27</v>
      </c>
      <c r="H762" t="s">
        <v>28</v>
      </c>
      <c r="I762" t="s">
        <v>2625</v>
      </c>
      <c r="J762" t="s">
        <v>2667</v>
      </c>
      <c r="K762" t="s">
        <v>52</v>
      </c>
      <c r="L762">
        <v>55</v>
      </c>
      <c r="M762">
        <v>4</v>
      </c>
      <c r="N762">
        <v>10</v>
      </c>
      <c r="O762" t="s">
        <v>2068</v>
      </c>
      <c r="P762" t="s">
        <v>75</v>
      </c>
      <c r="Q762" t="s">
        <v>58</v>
      </c>
      <c r="R762" t="s">
        <v>43</v>
      </c>
      <c r="S762" t="s">
        <v>30</v>
      </c>
      <c r="T762">
        <v>3</v>
      </c>
      <c r="U762">
        <v>532.64</v>
      </c>
      <c r="V762">
        <v>1571.34</v>
      </c>
      <c r="W762">
        <v>6</v>
      </c>
      <c r="X762" t="s">
        <v>45</v>
      </c>
      <c r="Y762">
        <v>2024</v>
      </c>
    </row>
    <row r="763" spans="1:25" x14ac:dyDescent="0.3">
      <c r="A763" t="s">
        <v>2069</v>
      </c>
      <c r="B763" s="1">
        <v>45771</v>
      </c>
      <c r="C763" t="s">
        <v>2070</v>
      </c>
      <c r="D763" t="s">
        <v>3020</v>
      </c>
      <c r="E763" s="1">
        <v>45773</v>
      </c>
      <c r="F763" t="s">
        <v>40</v>
      </c>
      <c r="G763" t="s">
        <v>38</v>
      </c>
      <c r="H763" t="s">
        <v>39</v>
      </c>
      <c r="I763" t="s">
        <v>2622</v>
      </c>
      <c r="J763" t="s">
        <v>2705</v>
      </c>
      <c r="K763" t="s">
        <v>25</v>
      </c>
      <c r="L763">
        <v>46</v>
      </c>
      <c r="M763">
        <v>4</v>
      </c>
      <c r="N763">
        <v>10</v>
      </c>
      <c r="O763" t="s">
        <v>1073</v>
      </c>
      <c r="P763" t="s">
        <v>75</v>
      </c>
      <c r="Q763" t="s">
        <v>58</v>
      </c>
      <c r="R763" t="s">
        <v>62</v>
      </c>
      <c r="S763" t="s">
        <v>41</v>
      </c>
      <c r="T763">
        <v>1</v>
      </c>
      <c r="U763">
        <v>906.86</v>
      </c>
      <c r="V763">
        <v>2230.65</v>
      </c>
      <c r="W763">
        <v>2</v>
      </c>
      <c r="X763" t="s">
        <v>49</v>
      </c>
      <c r="Y763">
        <v>2025</v>
      </c>
    </row>
    <row r="764" spans="1:25" x14ac:dyDescent="0.3">
      <c r="A764" t="s">
        <v>2071</v>
      </c>
      <c r="B764" s="1">
        <v>46068</v>
      </c>
      <c r="C764" t="s">
        <v>2072</v>
      </c>
      <c r="D764" t="s">
        <v>3019</v>
      </c>
      <c r="E764" s="1">
        <v>46071</v>
      </c>
      <c r="F764" t="s">
        <v>100</v>
      </c>
      <c r="G764" t="s">
        <v>98</v>
      </c>
      <c r="H764" t="s">
        <v>99</v>
      </c>
      <c r="I764" t="s">
        <v>2622</v>
      </c>
      <c r="J764" t="s">
        <v>2622</v>
      </c>
      <c r="K764" t="s">
        <v>25</v>
      </c>
      <c r="L764">
        <v>20</v>
      </c>
      <c r="M764">
        <v>2</v>
      </c>
      <c r="N764">
        <v>5</v>
      </c>
      <c r="O764" t="s">
        <v>2073</v>
      </c>
      <c r="P764" t="s">
        <v>44</v>
      </c>
      <c r="Q764" t="s">
        <v>31</v>
      </c>
      <c r="R764" t="s">
        <v>43</v>
      </c>
      <c r="S764" t="s">
        <v>101</v>
      </c>
      <c r="T764">
        <v>1</v>
      </c>
      <c r="U764">
        <v>218.73</v>
      </c>
      <c r="V764">
        <v>210.56</v>
      </c>
      <c r="W764">
        <v>3</v>
      </c>
      <c r="X764" t="s">
        <v>34</v>
      </c>
      <c r="Y764">
        <v>2026</v>
      </c>
    </row>
    <row r="765" spans="1:25" x14ac:dyDescent="0.3">
      <c r="A765" t="s">
        <v>2074</v>
      </c>
      <c r="B765" s="1">
        <v>45312</v>
      </c>
      <c r="C765" t="s">
        <v>2075</v>
      </c>
      <c r="D765" t="s">
        <v>3018</v>
      </c>
      <c r="E765" s="1">
        <v>45317</v>
      </c>
      <c r="F765" t="s">
        <v>56</v>
      </c>
      <c r="G765" t="s">
        <v>54</v>
      </c>
      <c r="H765" t="s">
        <v>55</v>
      </c>
      <c r="I765" t="s">
        <v>2672</v>
      </c>
      <c r="J765" t="s">
        <v>2716</v>
      </c>
      <c r="K765" t="s">
        <v>52</v>
      </c>
      <c r="L765">
        <v>23</v>
      </c>
      <c r="M765">
        <v>4</v>
      </c>
      <c r="N765">
        <v>5</v>
      </c>
      <c r="O765" t="s">
        <v>2076</v>
      </c>
      <c r="P765" t="s">
        <v>33</v>
      </c>
      <c r="Q765" t="s">
        <v>42</v>
      </c>
      <c r="R765" t="s">
        <v>43</v>
      </c>
      <c r="S765" t="s">
        <v>57</v>
      </c>
      <c r="T765">
        <v>1</v>
      </c>
      <c r="U765">
        <v>681.14</v>
      </c>
      <c r="V765">
        <v>1552.43</v>
      </c>
      <c r="W765">
        <v>5</v>
      </c>
      <c r="X765" t="s">
        <v>34</v>
      </c>
      <c r="Y765">
        <v>2024</v>
      </c>
    </row>
    <row r="766" spans="1:25" x14ac:dyDescent="0.3">
      <c r="A766" t="s">
        <v>2077</v>
      </c>
      <c r="B766" s="1">
        <v>46180</v>
      </c>
      <c r="C766" t="s">
        <v>2078</v>
      </c>
      <c r="D766" t="s">
        <v>3017</v>
      </c>
      <c r="E766" s="1">
        <v>46182</v>
      </c>
      <c r="F766" t="s">
        <v>140</v>
      </c>
      <c r="G766" t="s">
        <v>38</v>
      </c>
      <c r="H766" t="s">
        <v>139</v>
      </c>
      <c r="I766" t="s">
        <v>2679</v>
      </c>
      <c r="J766" t="s">
        <v>2685</v>
      </c>
      <c r="K766" t="s">
        <v>25</v>
      </c>
      <c r="L766">
        <v>63</v>
      </c>
      <c r="M766">
        <v>2</v>
      </c>
      <c r="N766">
        <v>15</v>
      </c>
      <c r="O766" t="s">
        <v>368</v>
      </c>
      <c r="P766" t="s">
        <v>44</v>
      </c>
      <c r="Q766" t="s">
        <v>42</v>
      </c>
      <c r="R766" t="s">
        <v>43</v>
      </c>
      <c r="S766" t="s">
        <v>141</v>
      </c>
      <c r="T766">
        <v>4</v>
      </c>
      <c r="U766">
        <v>725.94</v>
      </c>
      <c r="V766">
        <v>834.49</v>
      </c>
      <c r="W766">
        <v>2</v>
      </c>
      <c r="X766" t="s">
        <v>49</v>
      </c>
      <c r="Y766">
        <v>2026</v>
      </c>
    </row>
    <row r="767" spans="1:25" x14ac:dyDescent="0.3">
      <c r="A767" t="s">
        <v>2079</v>
      </c>
      <c r="B767" s="1">
        <v>45671</v>
      </c>
      <c r="C767" t="s">
        <v>2080</v>
      </c>
      <c r="D767" t="s">
        <v>3016</v>
      </c>
      <c r="E767" s="1">
        <v>45678</v>
      </c>
      <c r="F767" t="s">
        <v>122</v>
      </c>
      <c r="G767" t="s">
        <v>120</v>
      </c>
      <c r="H767" t="s">
        <v>121</v>
      </c>
      <c r="I767" t="s">
        <v>2639</v>
      </c>
      <c r="J767" t="s">
        <v>2704</v>
      </c>
      <c r="K767" t="s">
        <v>52</v>
      </c>
      <c r="L767">
        <v>41</v>
      </c>
      <c r="M767">
        <v>1</v>
      </c>
      <c r="N767">
        <v>0</v>
      </c>
      <c r="O767" t="s">
        <v>2081</v>
      </c>
      <c r="P767" t="s">
        <v>33</v>
      </c>
      <c r="Q767" t="s">
        <v>31</v>
      </c>
      <c r="R767" t="s">
        <v>62</v>
      </c>
      <c r="S767" t="s">
        <v>123</v>
      </c>
      <c r="T767">
        <v>5</v>
      </c>
      <c r="U767">
        <v>449.6</v>
      </c>
      <c r="V767">
        <v>237.08</v>
      </c>
      <c r="W767">
        <v>7</v>
      </c>
      <c r="X767" t="s">
        <v>34</v>
      </c>
      <c r="Y767">
        <v>2025</v>
      </c>
    </row>
    <row r="768" spans="1:25" x14ac:dyDescent="0.3">
      <c r="A768" t="s">
        <v>2082</v>
      </c>
      <c r="B768" s="1">
        <v>45911</v>
      </c>
      <c r="C768" t="s">
        <v>2083</v>
      </c>
      <c r="D768" t="s">
        <v>3015</v>
      </c>
      <c r="E768" s="1">
        <v>45913</v>
      </c>
      <c r="F768" t="s">
        <v>140</v>
      </c>
      <c r="G768" t="s">
        <v>38</v>
      </c>
      <c r="H768" t="s">
        <v>139</v>
      </c>
      <c r="I768" t="s">
        <v>2632</v>
      </c>
      <c r="J768" t="s">
        <v>2715</v>
      </c>
      <c r="K768" t="s">
        <v>25</v>
      </c>
      <c r="L768">
        <v>40</v>
      </c>
      <c r="M768">
        <v>1</v>
      </c>
      <c r="N768">
        <v>15</v>
      </c>
      <c r="O768" t="s">
        <v>671</v>
      </c>
      <c r="P768" t="s">
        <v>75</v>
      </c>
      <c r="Q768" t="s">
        <v>31</v>
      </c>
      <c r="R768" t="s">
        <v>71</v>
      </c>
      <c r="S768" t="s">
        <v>141</v>
      </c>
      <c r="T768">
        <v>5</v>
      </c>
      <c r="U768">
        <v>784.38</v>
      </c>
      <c r="V768">
        <v>497.44</v>
      </c>
      <c r="W768">
        <v>2</v>
      </c>
      <c r="X768" t="s">
        <v>45</v>
      </c>
      <c r="Y768">
        <v>2025</v>
      </c>
    </row>
    <row r="769" spans="1:25" x14ac:dyDescent="0.3">
      <c r="A769" t="s">
        <v>2084</v>
      </c>
      <c r="B769" s="1">
        <v>45653</v>
      </c>
      <c r="C769" t="s">
        <v>2085</v>
      </c>
      <c r="D769" t="s">
        <v>3014</v>
      </c>
      <c r="E769" s="1">
        <v>45658</v>
      </c>
      <c r="F769" t="s">
        <v>68</v>
      </c>
      <c r="G769" t="s">
        <v>66</v>
      </c>
      <c r="H769" t="s">
        <v>67</v>
      </c>
      <c r="I769" t="s">
        <v>2639</v>
      </c>
      <c r="J769" t="s">
        <v>2640</v>
      </c>
      <c r="K769" t="s">
        <v>25</v>
      </c>
      <c r="L769">
        <v>60</v>
      </c>
      <c r="M769">
        <v>1</v>
      </c>
      <c r="N769">
        <v>15</v>
      </c>
      <c r="O769" t="s">
        <v>449</v>
      </c>
      <c r="P769" t="s">
        <v>75</v>
      </c>
      <c r="Q769" t="s">
        <v>117</v>
      </c>
      <c r="R769" t="s">
        <v>32</v>
      </c>
      <c r="S769" t="s">
        <v>69</v>
      </c>
      <c r="T769">
        <v>1</v>
      </c>
      <c r="U769">
        <v>302.27</v>
      </c>
      <c r="V769">
        <v>194.97</v>
      </c>
      <c r="W769">
        <v>5</v>
      </c>
      <c r="X769" t="s">
        <v>94</v>
      </c>
      <c r="Y769">
        <v>2024</v>
      </c>
    </row>
    <row r="770" spans="1:25" x14ac:dyDescent="0.3">
      <c r="A770" t="s">
        <v>2086</v>
      </c>
      <c r="B770" s="1">
        <v>45386</v>
      </c>
      <c r="C770" t="s">
        <v>2087</v>
      </c>
      <c r="D770" t="s">
        <v>3013</v>
      </c>
      <c r="E770" s="1">
        <v>45390</v>
      </c>
      <c r="F770" t="s">
        <v>56</v>
      </c>
      <c r="G770" t="s">
        <v>54</v>
      </c>
      <c r="H770" t="s">
        <v>55</v>
      </c>
      <c r="I770" t="s">
        <v>2622</v>
      </c>
      <c r="J770" t="s">
        <v>2686</v>
      </c>
      <c r="K770" t="s">
        <v>52</v>
      </c>
      <c r="L770">
        <v>61</v>
      </c>
      <c r="M770">
        <v>3</v>
      </c>
      <c r="N770">
        <v>0</v>
      </c>
      <c r="O770" t="s">
        <v>479</v>
      </c>
      <c r="P770" t="s">
        <v>33</v>
      </c>
      <c r="Q770" t="s">
        <v>117</v>
      </c>
      <c r="R770" t="s">
        <v>62</v>
      </c>
      <c r="S770" t="s">
        <v>57</v>
      </c>
      <c r="T770">
        <v>3</v>
      </c>
      <c r="U770">
        <v>741.58</v>
      </c>
      <c r="V770">
        <v>1387.83</v>
      </c>
      <c r="W770">
        <v>4</v>
      </c>
      <c r="X770" t="s">
        <v>49</v>
      </c>
      <c r="Y770">
        <v>2024</v>
      </c>
    </row>
    <row r="771" spans="1:25" x14ac:dyDescent="0.3">
      <c r="A771" t="s">
        <v>2088</v>
      </c>
      <c r="B771" s="1">
        <v>45430</v>
      </c>
      <c r="C771" t="s">
        <v>2089</v>
      </c>
      <c r="D771" t="s">
        <v>3012</v>
      </c>
      <c r="E771" s="1">
        <v>45435</v>
      </c>
      <c r="F771" t="s">
        <v>40</v>
      </c>
      <c r="G771" t="s">
        <v>38</v>
      </c>
      <c r="H771" t="s">
        <v>39</v>
      </c>
      <c r="I771" t="s">
        <v>2654</v>
      </c>
      <c r="J771" t="s">
        <v>2684</v>
      </c>
      <c r="K771" t="s">
        <v>25</v>
      </c>
      <c r="L771">
        <v>31</v>
      </c>
      <c r="M771">
        <v>3</v>
      </c>
      <c r="N771">
        <v>25</v>
      </c>
      <c r="O771" t="s">
        <v>2090</v>
      </c>
      <c r="P771" t="s">
        <v>75</v>
      </c>
      <c r="Q771" t="s">
        <v>58</v>
      </c>
      <c r="R771" t="s">
        <v>43</v>
      </c>
      <c r="S771" t="s">
        <v>41</v>
      </c>
      <c r="T771">
        <v>2</v>
      </c>
      <c r="U771">
        <v>684.94</v>
      </c>
      <c r="V771">
        <v>830.23</v>
      </c>
      <c r="W771">
        <v>5</v>
      </c>
      <c r="X771" t="s">
        <v>49</v>
      </c>
      <c r="Y771">
        <v>2024</v>
      </c>
    </row>
    <row r="772" spans="1:25" x14ac:dyDescent="0.3">
      <c r="A772" t="s">
        <v>2091</v>
      </c>
      <c r="B772" s="1">
        <v>45724</v>
      </c>
      <c r="C772" t="s">
        <v>2092</v>
      </c>
      <c r="D772" t="s">
        <v>3011</v>
      </c>
      <c r="E772" s="1">
        <v>45726</v>
      </c>
      <c r="F772" t="s">
        <v>56</v>
      </c>
      <c r="G772" t="s">
        <v>54</v>
      </c>
      <c r="H772" t="s">
        <v>55</v>
      </c>
      <c r="I772" t="s">
        <v>2665</v>
      </c>
      <c r="J772" t="s">
        <v>2719</v>
      </c>
      <c r="K772" t="s">
        <v>25</v>
      </c>
      <c r="L772">
        <v>49</v>
      </c>
      <c r="M772">
        <v>2</v>
      </c>
      <c r="N772">
        <v>15</v>
      </c>
      <c r="O772" t="s">
        <v>414</v>
      </c>
      <c r="P772" t="s">
        <v>44</v>
      </c>
      <c r="Q772" t="s">
        <v>70</v>
      </c>
      <c r="R772" t="s">
        <v>62</v>
      </c>
      <c r="S772" t="s">
        <v>57</v>
      </c>
      <c r="T772">
        <v>3</v>
      </c>
      <c r="U772">
        <v>670.93</v>
      </c>
      <c r="V772">
        <v>812.43</v>
      </c>
      <c r="W772">
        <v>2</v>
      </c>
      <c r="X772" t="s">
        <v>34</v>
      </c>
      <c r="Y772">
        <v>2025</v>
      </c>
    </row>
    <row r="773" spans="1:25" x14ac:dyDescent="0.3">
      <c r="A773" t="s">
        <v>2093</v>
      </c>
      <c r="B773" s="1">
        <v>45433</v>
      </c>
      <c r="C773" t="s">
        <v>2094</v>
      </c>
      <c r="D773" t="s">
        <v>3010</v>
      </c>
      <c r="E773" s="1">
        <v>45438</v>
      </c>
      <c r="F773" t="s">
        <v>115</v>
      </c>
      <c r="G773" t="s">
        <v>66</v>
      </c>
      <c r="H773" t="s">
        <v>114</v>
      </c>
      <c r="I773" t="s">
        <v>2623</v>
      </c>
      <c r="J773" t="s">
        <v>2696</v>
      </c>
      <c r="K773" t="s">
        <v>52</v>
      </c>
      <c r="L773">
        <v>43</v>
      </c>
      <c r="M773">
        <v>2</v>
      </c>
      <c r="N773">
        <v>30</v>
      </c>
      <c r="O773" t="s">
        <v>1265</v>
      </c>
      <c r="P773" t="s">
        <v>33</v>
      </c>
      <c r="Q773" t="s">
        <v>117</v>
      </c>
      <c r="R773" t="s">
        <v>43</v>
      </c>
      <c r="S773" t="s">
        <v>116</v>
      </c>
      <c r="T773">
        <v>1</v>
      </c>
      <c r="U773">
        <v>104.77</v>
      </c>
      <c r="V773">
        <v>83.62</v>
      </c>
      <c r="W773">
        <v>5</v>
      </c>
      <c r="X773" t="s">
        <v>49</v>
      </c>
      <c r="Y773">
        <v>2024</v>
      </c>
    </row>
    <row r="774" spans="1:25" x14ac:dyDescent="0.3">
      <c r="A774" t="s">
        <v>2095</v>
      </c>
      <c r="B774" s="1">
        <v>45841</v>
      </c>
      <c r="C774" t="s">
        <v>2096</v>
      </c>
      <c r="D774" t="s">
        <v>3009</v>
      </c>
      <c r="E774" s="1">
        <v>45845</v>
      </c>
      <c r="F774" t="s">
        <v>140</v>
      </c>
      <c r="G774" t="s">
        <v>38</v>
      </c>
      <c r="H774" t="s">
        <v>139</v>
      </c>
      <c r="I774" t="s">
        <v>2627</v>
      </c>
      <c r="J774" t="s">
        <v>2698</v>
      </c>
      <c r="K774" t="s">
        <v>25</v>
      </c>
      <c r="L774">
        <v>24</v>
      </c>
      <c r="M774">
        <v>2</v>
      </c>
      <c r="N774">
        <v>25</v>
      </c>
      <c r="O774" t="s">
        <v>1359</v>
      </c>
      <c r="P774" t="s">
        <v>33</v>
      </c>
      <c r="Q774" t="s">
        <v>70</v>
      </c>
      <c r="R774" t="s">
        <v>71</v>
      </c>
      <c r="S774" t="s">
        <v>141</v>
      </c>
      <c r="T774">
        <v>5</v>
      </c>
      <c r="U774">
        <v>321.02999999999997</v>
      </c>
      <c r="V774">
        <v>365.1</v>
      </c>
      <c r="W774">
        <v>4</v>
      </c>
      <c r="X774" t="s">
        <v>45</v>
      </c>
      <c r="Y774">
        <v>2025</v>
      </c>
    </row>
    <row r="775" spans="1:25" x14ac:dyDescent="0.3">
      <c r="A775" t="s">
        <v>2097</v>
      </c>
      <c r="B775" s="1">
        <v>45429</v>
      </c>
      <c r="C775" t="s">
        <v>2098</v>
      </c>
      <c r="D775" t="s">
        <v>3008</v>
      </c>
      <c r="E775" s="1">
        <v>45433</v>
      </c>
      <c r="F775" t="s">
        <v>100</v>
      </c>
      <c r="G775" t="s">
        <v>98</v>
      </c>
      <c r="H775" t="s">
        <v>99</v>
      </c>
      <c r="I775" t="s">
        <v>2634</v>
      </c>
      <c r="J775" t="s">
        <v>2714</v>
      </c>
      <c r="K775" t="s">
        <v>52</v>
      </c>
      <c r="L775">
        <v>38</v>
      </c>
      <c r="M775">
        <v>2</v>
      </c>
      <c r="N775">
        <v>25</v>
      </c>
      <c r="O775" t="s">
        <v>700</v>
      </c>
      <c r="P775" t="s">
        <v>44</v>
      </c>
      <c r="Q775" t="s">
        <v>58</v>
      </c>
      <c r="R775" t="s">
        <v>32</v>
      </c>
      <c r="S775" t="s">
        <v>101</v>
      </c>
      <c r="T775">
        <v>1</v>
      </c>
      <c r="U775">
        <v>762.03</v>
      </c>
      <c r="V775">
        <v>793.07</v>
      </c>
      <c r="W775">
        <v>4</v>
      </c>
      <c r="X775" t="s">
        <v>49</v>
      </c>
      <c r="Y775">
        <v>2024</v>
      </c>
    </row>
    <row r="776" spans="1:25" x14ac:dyDescent="0.3">
      <c r="A776" t="s">
        <v>2099</v>
      </c>
      <c r="B776" s="1">
        <v>46099</v>
      </c>
      <c r="C776" t="s">
        <v>2100</v>
      </c>
      <c r="D776" t="s">
        <v>3007</v>
      </c>
      <c r="E776" s="1">
        <v>46102</v>
      </c>
      <c r="F776" t="s">
        <v>115</v>
      </c>
      <c r="G776" t="s">
        <v>66</v>
      </c>
      <c r="H776" t="s">
        <v>114</v>
      </c>
      <c r="I776" t="s">
        <v>2668</v>
      </c>
      <c r="J776" t="s">
        <v>2682</v>
      </c>
      <c r="K776" t="s">
        <v>52</v>
      </c>
      <c r="L776">
        <v>54</v>
      </c>
      <c r="M776">
        <v>4</v>
      </c>
      <c r="N776">
        <v>0</v>
      </c>
      <c r="O776" t="s">
        <v>1344</v>
      </c>
      <c r="P776" t="s">
        <v>75</v>
      </c>
      <c r="Q776" t="s">
        <v>31</v>
      </c>
      <c r="R776" t="s">
        <v>71</v>
      </c>
      <c r="S776" t="s">
        <v>116</v>
      </c>
      <c r="T776">
        <v>1</v>
      </c>
      <c r="U776">
        <v>753.43</v>
      </c>
      <c r="V776">
        <v>1725.27</v>
      </c>
      <c r="W776">
        <v>3</v>
      </c>
      <c r="X776" t="s">
        <v>34</v>
      </c>
      <c r="Y776">
        <v>2026</v>
      </c>
    </row>
    <row r="777" spans="1:25" x14ac:dyDescent="0.3">
      <c r="A777" t="s">
        <v>2101</v>
      </c>
      <c r="B777" s="1">
        <v>46115</v>
      </c>
      <c r="C777" t="s">
        <v>2102</v>
      </c>
      <c r="D777" t="s">
        <v>3006</v>
      </c>
      <c r="E777" s="1">
        <v>46116</v>
      </c>
      <c r="F777" t="s">
        <v>122</v>
      </c>
      <c r="G777" t="s">
        <v>120</v>
      </c>
      <c r="H777" t="s">
        <v>121</v>
      </c>
      <c r="I777" t="s">
        <v>2679</v>
      </c>
      <c r="J777" t="s">
        <v>2685</v>
      </c>
      <c r="K777" t="s">
        <v>52</v>
      </c>
      <c r="L777">
        <v>50</v>
      </c>
      <c r="M777">
        <v>1</v>
      </c>
      <c r="N777">
        <v>5</v>
      </c>
      <c r="O777" t="s">
        <v>385</v>
      </c>
      <c r="P777" t="s">
        <v>44</v>
      </c>
      <c r="Q777" t="s">
        <v>58</v>
      </c>
      <c r="R777" t="s">
        <v>32</v>
      </c>
      <c r="S777" t="s">
        <v>123</v>
      </c>
      <c r="T777">
        <v>2</v>
      </c>
      <c r="U777">
        <v>138.65</v>
      </c>
      <c r="V777">
        <v>110.37</v>
      </c>
      <c r="W777">
        <v>1</v>
      </c>
      <c r="X777" t="s">
        <v>49</v>
      </c>
      <c r="Y777">
        <v>2026</v>
      </c>
    </row>
    <row r="778" spans="1:25" x14ac:dyDescent="0.3">
      <c r="A778" t="s">
        <v>2103</v>
      </c>
      <c r="B778" s="1">
        <v>45292</v>
      </c>
      <c r="C778" t="s">
        <v>2104</v>
      </c>
      <c r="D778" t="s">
        <v>3005</v>
      </c>
      <c r="E778" s="1">
        <v>45295</v>
      </c>
      <c r="F778" t="s">
        <v>56</v>
      </c>
      <c r="G778" t="s">
        <v>54</v>
      </c>
      <c r="H778" t="s">
        <v>55</v>
      </c>
      <c r="I778" t="s">
        <v>2659</v>
      </c>
      <c r="J778" t="s">
        <v>2718</v>
      </c>
      <c r="K778" t="s">
        <v>52</v>
      </c>
      <c r="L778">
        <v>28</v>
      </c>
      <c r="M778">
        <v>3</v>
      </c>
      <c r="N778">
        <v>25</v>
      </c>
      <c r="O778" t="s">
        <v>484</v>
      </c>
      <c r="P778" t="s">
        <v>75</v>
      </c>
      <c r="Q778" t="s">
        <v>117</v>
      </c>
      <c r="R778" t="s">
        <v>71</v>
      </c>
      <c r="S778" t="s">
        <v>57</v>
      </c>
      <c r="T778">
        <v>2</v>
      </c>
      <c r="U778">
        <v>248.31</v>
      </c>
      <c r="V778">
        <v>333.26</v>
      </c>
      <c r="W778">
        <v>3</v>
      </c>
      <c r="X778" t="s">
        <v>34</v>
      </c>
      <c r="Y778">
        <v>2024</v>
      </c>
    </row>
    <row r="779" spans="1:25" x14ac:dyDescent="0.3">
      <c r="A779" t="s">
        <v>2105</v>
      </c>
      <c r="B779" s="1">
        <v>46082</v>
      </c>
      <c r="C779" t="s">
        <v>2106</v>
      </c>
      <c r="D779" t="s">
        <v>3004</v>
      </c>
      <c r="E779" s="1">
        <v>46085</v>
      </c>
      <c r="F779" t="s">
        <v>122</v>
      </c>
      <c r="G779" t="s">
        <v>120</v>
      </c>
      <c r="H779" t="s">
        <v>121</v>
      </c>
      <c r="I779" t="s">
        <v>2634</v>
      </c>
      <c r="J779" t="s">
        <v>2714</v>
      </c>
      <c r="K779" t="s">
        <v>52</v>
      </c>
      <c r="L779">
        <v>34</v>
      </c>
      <c r="M779">
        <v>1</v>
      </c>
      <c r="N779">
        <v>10</v>
      </c>
      <c r="O779" t="s">
        <v>552</v>
      </c>
      <c r="P779" t="s">
        <v>44</v>
      </c>
      <c r="Q779" t="s">
        <v>31</v>
      </c>
      <c r="R779" t="s">
        <v>43</v>
      </c>
      <c r="S779" t="s">
        <v>123</v>
      </c>
      <c r="T779">
        <v>5</v>
      </c>
      <c r="U779">
        <v>629.63</v>
      </c>
      <c r="V779">
        <v>393.35</v>
      </c>
      <c r="W779">
        <v>3</v>
      </c>
      <c r="X779" t="s">
        <v>34</v>
      </c>
      <c r="Y779">
        <v>2026</v>
      </c>
    </row>
    <row r="780" spans="1:25" x14ac:dyDescent="0.3">
      <c r="A780" t="s">
        <v>2107</v>
      </c>
      <c r="B780" s="1">
        <v>45343</v>
      </c>
      <c r="C780" t="s">
        <v>2108</v>
      </c>
      <c r="D780" t="s">
        <v>3003</v>
      </c>
      <c r="E780" s="1">
        <v>45346</v>
      </c>
      <c r="F780" t="s">
        <v>115</v>
      </c>
      <c r="G780" t="s">
        <v>66</v>
      </c>
      <c r="H780" t="s">
        <v>114</v>
      </c>
      <c r="I780" t="s">
        <v>2623</v>
      </c>
      <c r="J780" t="s">
        <v>2696</v>
      </c>
      <c r="K780" t="s">
        <v>52</v>
      </c>
      <c r="L780">
        <v>40</v>
      </c>
      <c r="M780">
        <v>1</v>
      </c>
      <c r="N780">
        <v>0</v>
      </c>
      <c r="O780" t="s">
        <v>2109</v>
      </c>
      <c r="P780" t="s">
        <v>33</v>
      </c>
      <c r="Q780" t="s">
        <v>58</v>
      </c>
      <c r="R780" t="s">
        <v>71</v>
      </c>
      <c r="S780" t="s">
        <v>116</v>
      </c>
      <c r="T780">
        <v>3</v>
      </c>
      <c r="U780">
        <v>223.79</v>
      </c>
      <c r="V780">
        <v>128.07</v>
      </c>
      <c r="W780">
        <v>3</v>
      </c>
      <c r="X780" t="s">
        <v>34</v>
      </c>
      <c r="Y780">
        <v>2024</v>
      </c>
    </row>
    <row r="781" spans="1:25" x14ac:dyDescent="0.3">
      <c r="A781" t="s">
        <v>2110</v>
      </c>
      <c r="B781" s="1">
        <v>45932</v>
      </c>
      <c r="C781" t="s">
        <v>2111</v>
      </c>
      <c r="D781" t="s">
        <v>3002</v>
      </c>
      <c r="E781" s="1">
        <v>45939</v>
      </c>
      <c r="F781" t="s">
        <v>29</v>
      </c>
      <c r="G781" t="s">
        <v>27</v>
      </c>
      <c r="H781" t="s">
        <v>28</v>
      </c>
      <c r="I781" t="s">
        <v>2623</v>
      </c>
      <c r="J781" t="s">
        <v>2691</v>
      </c>
      <c r="K781" t="s">
        <v>25</v>
      </c>
      <c r="L781">
        <v>56</v>
      </c>
      <c r="M781">
        <v>3</v>
      </c>
      <c r="N781">
        <v>25</v>
      </c>
      <c r="O781" t="s">
        <v>1320</v>
      </c>
      <c r="P781" t="s">
        <v>75</v>
      </c>
      <c r="Q781" t="s">
        <v>42</v>
      </c>
      <c r="R781" t="s">
        <v>32</v>
      </c>
      <c r="S781" t="s">
        <v>30</v>
      </c>
      <c r="T781">
        <v>4</v>
      </c>
      <c r="U781">
        <v>54.3</v>
      </c>
      <c r="V781">
        <v>75.03</v>
      </c>
      <c r="W781">
        <v>7</v>
      </c>
      <c r="X781" t="s">
        <v>94</v>
      </c>
      <c r="Y781">
        <v>2025</v>
      </c>
    </row>
    <row r="782" spans="1:25" x14ac:dyDescent="0.3">
      <c r="A782" t="s">
        <v>2112</v>
      </c>
      <c r="B782" s="1">
        <v>45818</v>
      </c>
      <c r="C782" t="s">
        <v>2113</v>
      </c>
      <c r="D782" t="s">
        <v>3001</v>
      </c>
      <c r="E782" s="1">
        <v>45822</v>
      </c>
      <c r="F782" t="s">
        <v>115</v>
      </c>
      <c r="G782" t="s">
        <v>66</v>
      </c>
      <c r="H782" t="s">
        <v>114</v>
      </c>
      <c r="I782" t="s">
        <v>2623</v>
      </c>
      <c r="J782" t="s">
        <v>2696</v>
      </c>
      <c r="K782" t="s">
        <v>52</v>
      </c>
      <c r="L782">
        <v>61</v>
      </c>
      <c r="M782">
        <v>4</v>
      </c>
      <c r="N782">
        <v>15</v>
      </c>
      <c r="O782" t="s">
        <v>2114</v>
      </c>
      <c r="P782" t="s">
        <v>44</v>
      </c>
      <c r="Q782" t="s">
        <v>31</v>
      </c>
      <c r="R782" t="s">
        <v>43</v>
      </c>
      <c r="S782" t="s">
        <v>116</v>
      </c>
      <c r="T782">
        <v>1</v>
      </c>
      <c r="U782">
        <v>655.53</v>
      </c>
      <c r="V782">
        <v>1646.53</v>
      </c>
      <c r="W782">
        <v>4</v>
      </c>
      <c r="X782" t="s">
        <v>49</v>
      </c>
      <c r="Y782">
        <v>2025</v>
      </c>
    </row>
    <row r="783" spans="1:25" x14ac:dyDescent="0.3">
      <c r="A783" t="s">
        <v>2115</v>
      </c>
      <c r="B783" s="1">
        <v>45797</v>
      </c>
      <c r="C783" t="s">
        <v>2116</v>
      </c>
      <c r="D783" t="s">
        <v>3000</v>
      </c>
      <c r="E783" s="1">
        <v>45799</v>
      </c>
      <c r="F783" t="s">
        <v>115</v>
      </c>
      <c r="G783" t="s">
        <v>66</v>
      </c>
      <c r="H783" t="s">
        <v>114</v>
      </c>
      <c r="I783" t="s">
        <v>2629</v>
      </c>
      <c r="J783" t="s">
        <v>2630</v>
      </c>
      <c r="K783" t="s">
        <v>52</v>
      </c>
      <c r="L783">
        <v>26</v>
      </c>
      <c r="M783">
        <v>4</v>
      </c>
      <c r="N783">
        <v>0</v>
      </c>
      <c r="O783" t="s">
        <v>2117</v>
      </c>
      <c r="P783" t="s">
        <v>33</v>
      </c>
      <c r="Q783" t="s">
        <v>42</v>
      </c>
      <c r="R783" t="s">
        <v>62</v>
      </c>
      <c r="S783" t="s">
        <v>116</v>
      </c>
      <c r="T783">
        <v>5</v>
      </c>
      <c r="U783">
        <v>854.77</v>
      </c>
      <c r="V783">
        <v>1764.3</v>
      </c>
      <c r="W783">
        <v>2</v>
      </c>
      <c r="X783" t="s">
        <v>49</v>
      </c>
      <c r="Y783">
        <v>2025</v>
      </c>
    </row>
    <row r="784" spans="1:25" x14ac:dyDescent="0.3">
      <c r="A784" t="s">
        <v>2118</v>
      </c>
      <c r="B784" s="1">
        <v>45733</v>
      </c>
      <c r="C784" t="s">
        <v>2119</v>
      </c>
      <c r="D784" t="s">
        <v>2999</v>
      </c>
      <c r="E784" s="1">
        <v>45735</v>
      </c>
      <c r="F784" t="s">
        <v>100</v>
      </c>
      <c r="G784" t="s">
        <v>98</v>
      </c>
      <c r="H784" t="s">
        <v>99</v>
      </c>
      <c r="I784" t="s">
        <v>2668</v>
      </c>
      <c r="J784" t="s">
        <v>2669</v>
      </c>
      <c r="K784" t="s">
        <v>52</v>
      </c>
      <c r="L784">
        <v>52</v>
      </c>
      <c r="M784">
        <v>3</v>
      </c>
      <c r="N784">
        <v>25</v>
      </c>
      <c r="O784" t="s">
        <v>2120</v>
      </c>
      <c r="P784" t="s">
        <v>33</v>
      </c>
      <c r="Q784" t="s">
        <v>31</v>
      </c>
      <c r="R784" t="s">
        <v>62</v>
      </c>
      <c r="S784" t="s">
        <v>101</v>
      </c>
      <c r="T784">
        <v>3</v>
      </c>
      <c r="U784">
        <v>334.16</v>
      </c>
      <c r="V784">
        <v>414.43</v>
      </c>
      <c r="W784">
        <v>2</v>
      </c>
      <c r="X784" t="s">
        <v>34</v>
      </c>
      <c r="Y784">
        <v>2025</v>
      </c>
    </row>
    <row r="785" spans="1:25" x14ac:dyDescent="0.3">
      <c r="A785" t="s">
        <v>2121</v>
      </c>
      <c r="B785" s="1">
        <v>46186</v>
      </c>
      <c r="C785" t="s">
        <v>2122</v>
      </c>
      <c r="D785" t="s">
        <v>2998</v>
      </c>
      <c r="E785" s="1">
        <v>46192</v>
      </c>
      <c r="F785" t="s">
        <v>40</v>
      </c>
      <c r="G785" t="s">
        <v>38</v>
      </c>
      <c r="H785" t="s">
        <v>39</v>
      </c>
      <c r="I785" t="s">
        <v>2631</v>
      </c>
      <c r="J785" t="s">
        <v>2694</v>
      </c>
      <c r="K785" t="s">
        <v>52</v>
      </c>
      <c r="L785">
        <v>55</v>
      </c>
      <c r="M785">
        <v>3</v>
      </c>
      <c r="N785">
        <v>25</v>
      </c>
      <c r="O785" t="s">
        <v>458</v>
      </c>
      <c r="P785" t="s">
        <v>33</v>
      </c>
      <c r="Q785" t="s">
        <v>42</v>
      </c>
      <c r="R785" t="s">
        <v>32</v>
      </c>
      <c r="S785" t="s">
        <v>41</v>
      </c>
      <c r="T785">
        <v>5</v>
      </c>
      <c r="U785">
        <v>946.01</v>
      </c>
      <c r="V785">
        <v>1269.75</v>
      </c>
      <c r="W785">
        <v>6</v>
      </c>
      <c r="X785" t="s">
        <v>49</v>
      </c>
      <c r="Y785">
        <v>2026</v>
      </c>
    </row>
    <row r="786" spans="1:25" x14ac:dyDescent="0.3">
      <c r="A786" t="s">
        <v>2123</v>
      </c>
      <c r="B786" s="1">
        <v>45742</v>
      </c>
      <c r="C786" t="s">
        <v>2124</v>
      </c>
      <c r="D786" t="s">
        <v>2997</v>
      </c>
      <c r="E786" s="1">
        <v>45746</v>
      </c>
      <c r="F786" t="s">
        <v>115</v>
      </c>
      <c r="G786" t="s">
        <v>66</v>
      </c>
      <c r="H786" t="s">
        <v>114</v>
      </c>
      <c r="I786" t="s">
        <v>2622</v>
      </c>
      <c r="J786" t="s">
        <v>2622</v>
      </c>
      <c r="K786" t="s">
        <v>25</v>
      </c>
      <c r="L786">
        <v>24</v>
      </c>
      <c r="M786">
        <v>2</v>
      </c>
      <c r="N786">
        <v>0</v>
      </c>
      <c r="O786" t="s">
        <v>666</v>
      </c>
      <c r="P786" t="s">
        <v>44</v>
      </c>
      <c r="Q786" t="s">
        <v>42</v>
      </c>
      <c r="R786" t="s">
        <v>62</v>
      </c>
      <c r="S786" t="s">
        <v>116</v>
      </c>
      <c r="T786">
        <v>4</v>
      </c>
      <c r="U786">
        <v>648.78</v>
      </c>
      <c r="V786">
        <v>908.94</v>
      </c>
      <c r="W786">
        <v>4</v>
      </c>
      <c r="X786" t="s">
        <v>34</v>
      </c>
      <c r="Y786">
        <v>2025</v>
      </c>
    </row>
    <row r="787" spans="1:25" x14ac:dyDescent="0.3">
      <c r="A787" t="s">
        <v>2125</v>
      </c>
      <c r="B787" s="1">
        <v>45734</v>
      </c>
      <c r="C787" t="s">
        <v>2126</v>
      </c>
      <c r="D787" t="s">
        <v>2996</v>
      </c>
      <c r="E787" s="1">
        <v>45736</v>
      </c>
      <c r="F787" t="s">
        <v>128</v>
      </c>
      <c r="G787" t="s">
        <v>98</v>
      </c>
      <c r="H787" t="s">
        <v>127</v>
      </c>
      <c r="I787" t="s">
        <v>2625</v>
      </c>
      <c r="J787" t="s">
        <v>2651</v>
      </c>
      <c r="K787" t="s">
        <v>52</v>
      </c>
      <c r="L787">
        <v>41</v>
      </c>
      <c r="M787">
        <v>3</v>
      </c>
      <c r="N787">
        <v>25</v>
      </c>
      <c r="O787" t="s">
        <v>2127</v>
      </c>
      <c r="P787" t="s">
        <v>33</v>
      </c>
      <c r="Q787" t="s">
        <v>70</v>
      </c>
      <c r="R787" t="s">
        <v>71</v>
      </c>
      <c r="S787" t="s">
        <v>129</v>
      </c>
      <c r="T787">
        <v>2</v>
      </c>
      <c r="U787">
        <v>314</v>
      </c>
      <c r="V787">
        <v>586.62</v>
      </c>
      <c r="W787">
        <v>2</v>
      </c>
      <c r="X787" t="s">
        <v>34</v>
      </c>
      <c r="Y787">
        <v>2025</v>
      </c>
    </row>
    <row r="788" spans="1:25" x14ac:dyDescent="0.3">
      <c r="A788" t="s">
        <v>2128</v>
      </c>
      <c r="B788" s="1">
        <v>45972</v>
      </c>
      <c r="C788" t="s">
        <v>2129</v>
      </c>
      <c r="D788" t="s">
        <v>2995</v>
      </c>
      <c r="E788" s="1">
        <v>45974</v>
      </c>
      <c r="F788" t="s">
        <v>68</v>
      </c>
      <c r="G788" t="s">
        <v>66</v>
      </c>
      <c r="H788" t="s">
        <v>67</v>
      </c>
      <c r="I788" t="s">
        <v>2679</v>
      </c>
      <c r="J788" t="s">
        <v>2685</v>
      </c>
      <c r="K788" t="s">
        <v>25</v>
      </c>
      <c r="L788">
        <v>63</v>
      </c>
      <c r="M788">
        <v>5</v>
      </c>
      <c r="N788">
        <v>0</v>
      </c>
      <c r="O788" t="s">
        <v>2130</v>
      </c>
      <c r="P788" t="s">
        <v>44</v>
      </c>
      <c r="Q788" t="s">
        <v>70</v>
      </c>
      <c r="R788" t="s">
        <v>71</v>
      </c>
      <c r="S788" t="s">
        <v>69</v>
      </c>
      <c r="T788">
        <v>4</v>
      </c>
      <c r="U788">
        <v>237.64</v>
      </c>
      <c r="V788">
        <v>735.58</v>
      </c>
      <c r="W788">
        <v>2</v>
      </c>
      <c r="X788" t="s">
        <v>94</v>
      </c>
      <c r="Y788">
        <v>2025</v>
      </c>
    </row>
    <row r="789" spans="1:25" x14ac:dyDescent="0.3">
      <c r="A789" t="s">
        <v>2131</v>
      </c>
      <c r="B789" s="1">
        <v>45883</v>
      </c>
      <c r="C789" t="s">
        <v>2132</v>
      </c>
      <c r="D789" t="s">
        <v>2994</v>
      </c>
      <c r="E789" s="1">
        <v>45888</v>
      </c>
      <c r="F789" t="s">
        <v>56</v>
      </c>
      <c r="G789" t="s">
        <v>54</v>
      </c>
      <c r="H789" t="s">
        <v>55</v>
      </c>
      <c r="I789" t="s">
        <v>2633</v>
      </c>
      <c r="J789" t="s">
        <v>2636</v>
      </c>
      <c r="K789" t="s">
        <v>25</v>
      </c>
      <c r="L789">
        <v>60</v>
      </c>
      <c r="M789">
        <v>1</v>
      </c>
      <c r="N789">
        <v>25</v>
      </c>
      <c r="O789" t="s">
        <v>783</v>
      </c>
      <c r="P789" t="s">
        <v>75</v>
      </c>
      <c r="Q789" t="s">
        <v>117</v>
      </c>
      <c r="R789" t="s">
        <v>43</v>
      </c>
      <c r="S789" t="s">
        <v>57</v>
      </c>
      <c r="T789">
        <v>5</v>
      </c>
      <c r="U789">
        <v>491.41</v>
      </c>
      <c r="V789">
        <v>310.47000000000003</v>
      </c>
      <c r="W789">
        <v>5</v>
      </c>
      <c r="X789" t="s">
        <v>45</v>
      </c>
      <c r="Y789">
        <v>2025</v>
      </c>
    </row>
    <row r="790" spans="1:25" x14ac:dyDescent="0.3">
      <c r="A790" t="s">
        <v>2133</v>
      </c>
      <c r="B790" s="1">
        <v>45676</v>
      </c>
      <c r="C790" t="s">
        <v>2134</v>
      </c>
      <c r="D790" t="s">
        <v>2993</v>
      </c>
      <c r="E790" s="1">
        <v>45677</v>
      </c>
      <c r="F790" t="s">
        <v>140</v>
      </c>
      <c r="G790" t="s">
        <v>38</v>
      </c>
      <c r="H790" t="s">
        <v>139</v>
      </c>
      <c r="I790" t="s">
        <v>2635</v>
      </c>
      <c r="J790" t="s">
        <v>2643</v>
      </c>
      <c r="K790" t="s">
        <v>52</v>
      </c>
      <c r="L790">
        <v>34</v>
      </c>
      <c r="M790">
        <v>2</v>
      </c>
      <c r="N790">
        <v>0</v>
      </c>
      <c r="O790" t="s">
        <v>2135</v>
      </c>
      <c r="P790" t="s">
        <v>44</v>
      </c>
      <c r="Q790" t="s">
        <v>70</v>
      </c>
      <c r="R790" t="s">
        <v>71</v>
      </c>
      <c r="S790" t="s">
        <v>141</v>
      </c>
      <c r="T790">
        <v>1</v>
      </c>
      <c r="U790">
        <v>920.81</v>
      </c>
      <c r="V790">
        <v>1215.23</v>
      </c>
      <c r="W790">
        <v>1</v>
      </c>
      <c r="X790" t="s">
        <v>34</v>
      </c>
      <c r="Y790">
        <v>2025</v>
      </c>
    </row>
    <row r="791" spans="1:25" x14ac:dyDescent="0.3">
      <c r="A791" t="s">
        <v>2136</v>
      </c>
      <c r="B791" s="1">
        <v>46084</v>
      </c>
      <c r="C791" t="s">
        <v>2137</v>
      </c>
      <c r="D791" t="s">
        <v>2992</v>
      </c>
      <c r="E791" s="1">
        <v>46087</v>
      </c>
      <c r="F791" t="s">
        <v>29</v>
      </c>
      <c r="G791" t="s">
        <v>27</v>
      </c>
      <c r="H791" t="s">
        <v>28</v>
      </c>
      <c r="I791" t="s">
        <v>2631</v>
      </c>
      <c r="J791" t="s">
        <v>2711</v>
      </c>
      <c r="K791" t="s">
        <v>52</v>
      </c>
      <c r="L791">
        <v>55</v>
      </c>
      <c r="M791">
        <v>3</v>
      </c>
      <c r="N791">
        <v>0</v>
      </c>
      <c r="O791" t="s">
        <v>238</v>
      </c>
      <c r="P791" t="s">
        <v>33</v>
      </c>
      <c r="Q791" t="s">
        <v>42</v>
      </c>
      <c r="R791" t="s">
        <v>32</v>
      </c>
      <c r="S791" t="s">
        <v>30</v>
      </c>
      <c r="T791">
        <v>5</v>
      </c>
      <c r="U791">
        <v>490.78</v>
      </c>
      <c r="V791">
        <v>879.96</v>
      </c>
      <c r="W791">
        <v>3</v>
      </c>
      <c r="X791" t="s">
        <v>34</v>
      </c>
      <c r="Y791">
        <v>2026</v>
      </c>
    </row>
    <row r="792" spans="1:25" x14ac:dyDescent="0.3">
      <c r="A792" t="s">
        <v>2138</v>
      </c>
      <c r="B792" s="1">
        <v>45786</v>
      </c>
      <c r="C792" t="s">
        <v>2139</v>
      </c>
      <c r="D792" t="s">
        <v>2991</v>
      </c>
      <c r="E792" s="1">
        <v>45793</v>
      </c>
      <c r="F792" t="s">
        <v>56</v>
      </c>
      <c r="G792" t="s">
        <v>54</v>
      </c>
      <c r="H792" t="s">
        <v>55</v>
      </c>
      <c r="I792" t="s">
        <v>2635</v>
      </c>
      <c r="J792" t="s">
        <v>2643</v>
      </c>
      <c r="K792" t="s">
        <v>52</v>
      </c>
      <c r="L792">
        <v>56</v>
      </c>
      <c r="M792">
        <v>5</v>
      </c>
      <c r="N792">
        <v>0</v>
      </c>
      <c r="O792" t="s">
        <v>1777</v>
      </c>
      <c r="P792" t="s">
        <v>44</v>
      </c>
      <c r="Q792" t="s">
        <v>70</v>
      </c>
      <c r="R792" t="s">
        <v>43</v>
      </c>
      <c r="S792" t="s">
        <v>57</v>
      </c>
      <c r="T792">
        <v>3</v>
      </c>
      <c r="U792">
        <v>978.52</v>
      </c>
      <c r="V792">
        <v>3725.16</v>
      </c>
      <c r="W792">
        <v>7</v>
      </c>
      <c r="X792" t="s">
        <v>49</v>
      </c>
      <c r="Y792">
        <v>2025</v>
      </c>
    </row>
    <row r="793" spans="1:25" x14ac:dyDescent="0.3">
      <c r="A793" t="s">
        <v>2140</v>
      </c>
      <c r="B793" s="1">
        <v>45695</v>
      </c>
      <c r="C793" t="s">
        <v>2022</v>
      </c>
      <c r="D793" t="s">
        <v>2990</v>
      </c>
      <c r="E793" s="1">
        <v>45696</v>
      </c>
      <c r="F793" t="s">
        <v>29</v>
      </c>
      <c r="G793" t="s">
        <v>27</v>
      </c>
      <c r="H793" t="s">
        <v>28</v>
      </c>
      <c r="I793" t="s">
        <v>2639</v>
      </c>
      <c r="J793" t="s">
        <v>2687</v>
      </c>
      <c r="K793" t="s">
        <v>52</v>
      </c>
      <c r="L793">
        <v>30</v>
      </c>
      <c r="M793">
        <v>4</v>
      </c>
      <c r="N793">
        <v>20</v>
      </c>
      <c r="O793" t="s">
        <v>2141</v>
      </c>
      <c r="P793" t="s">
        <v>75</v>
      </c>
      <c r="Q793" t="s">
        <v>58</v>
      </c>
      <c r="R793" t="s">
        <v>62</v>
      </c>
      <c r="S793" t="s">
        <v>30</v>
      </c>
      <c r="T793">
        <v>2</v>
      </c>
      <c r="U793">
        <v>28.03</v>
      </c>
      <c r="V793">
        <v>52.94</v>
      </c>
      <c r="W793">
        <v>1</v>
      </c>
      <c r="X793" t="s">
        <v>34</v>
      </c>
      <c r="Y793">
        <v>2025</v>
      </c>
    </row>
    <row r="794" spans="1:25" x14ac:dyDescent="0.3">
      <c r="A794" t="s">
        <v>2142</v>
      </c>
      <c r="B794" s="1">
        <v>45618</v>
      </c>
      <c r="C794" t="s">
        <v>2143</v>
      </c>
      <c r="D794" t="s">
        <v>2989</v>
      </c>
      <c r="E794" s="1">
        <v>45619</v>
      </c>
      <c r="F794" t="s">
        <v>122</v>
      </c>
      <c r="G794" t="s">
        <v>120</v>
      </c>
      <c r="H794" t="s">
        <v>121</v>
      </c>
      <c r="I794" t="s">
        <v>2656</v>
      </c>
      <c r="J794" t="s">
        <v>2657</v>
      </c>
      <c r="K794" t="s">
        <v>52</v>
      </c>
      <c r="L794">
        <v>37</v>
      </c>
      <c r="M794">
        <v>2</v>
      </c>
      <c r="N794">
        <v>30</v>
      </c>
      <c r="O794" t="s">
        <v>989</v>
      </c>
      <c r="P794" t="s">
        <v>33</v>
      </c>
      <c r="Q794" t="s">
        <v>117</v>
      </c>
      <c r="R794" t="s">
        <v>43</v>
      </c>
      <c r="S794" t="s">
        <v>123</v>
      </c>
      <c r="T794">
        <v>5</v>
      </c>
      <c r="U794">
        <v>564.74</v>
      </c>
      <c r="V794">
        <v>491.73</v>
      </c>
      <c r="W794">
        <v>1</v>
      </c>
      <c r="X794" t="s">
        <v>94</v>
      </c>
      <c r="Y794">
        <v>2024</v>
      </c>
    </row>
    <row r="795" spans="1:25" x14ac:dyDescent="0.3">
      <c r="A795" t="s">
        <v>2144</v>
      </c>
      <c r="B795" s="1">
        <v>46050</v>
      </c>
      <c r="C795" t="s">
        <v>2145</v>
      </c>
      <c r="D795" t="s">
        <v>2988</v>
      </c>
      <c r="E795" s="1">
        <v>46052</v>
      </c>
      <c r="F795" t="s">
        <v>56</v>
      </c>
      <c r="G795" t="s">
        <v>54</v>
      </c>
      <c r="H795" t="s">
        <v>55</v>
      </c>
      <c r="I795" t="s">
        <v>2623</v>
      </c>
      <c r="J795" t="s">
        <v>2624</v>
      </c>
      <c r="K795" t="s">
        <v>52</v>
      </c>
      <c r="L795">
        <v>29</v>
      </c>
      <c r="M795">
        <v>3</v>
      </c>
      <c r="N795">
        <v>5</v>
      </c>
      <c r="O795" t="s">
        <v>1295</v>
      </c>
      <c r="P795" t="s">
        <v>33</v>
      </c>
      <c r="Q795" t="s">
        <v>31</v>
      </c>
      <c r="R795" t="s">
        <v>62</v>
      </c>
      <c r="S795" t="s">
        <v>57</v>
      </c>
      <c r="T795">
        <v>3</v>
      </c>
      <c r="U795">
        <v>141.54</v>
      </c>
      <c r="V795">
        <v>217.38</v>
      </c>
      <c r="W795">
        <v>2</v>
      </c>
      <c r="X795" t="s">
        <v>34</v>
      </c>
      <c r="Y795">
        <v>2026</v>
      </c>
    </row>
    <row r="796" spans="1:25" x14ac:dyDescent="0.3">
      <c r="A796" t="s">
        <v>2146</v>
      </c>
      <c r="B796" s="1">
        <v>46014</v>
      </c>
      <c r="C796" t="s">
        <v>639</v>
      </c>
      <c r="D796" t="s">
        <v>2987</v>
      </c>
      <c r="E796" s="1">
        <v>46020</v>
      </c>
      <c r="F796" t="s">
        <v>40</v>
      </c>
      <c r="G796" t="s">
        <v>38</v>
      </c>
      <c r="H796" t="s">
        <v>39</v>
      </c>
      <c r="I796" t="s">
        <v>2625</v>
      </c>
      <c r="J796" t="s">
        <v>2703</v>
      </c>
      <c r="K796" t="s">
        <v>52</v>
      </c>
      <c r="L796">
        <v>55</v>
      </c>
      <c r="M796">
        <v>5</v>
      </c>
      <c r="N796">
        <v>0</v>
      </c>
      <c r="O796" t="s">
        <v>2147</v>
      </c>
      <c r="P796" t="s">
        <v>33</v>
      </c>
      <c r="Q796" t="s">
        <v>70</v>
      </c>
      <c r="R796" t="s">
        <v>43</v>
      </c>
      <c r="S796" t="s">
        <v>41</v>
      </c>
      <c r="T796">
        <v>2</v>
      </c>
      <c r="U796">
        <v>540.08000000000004</v>
      </c>
      <c r="V796">
        <v>1568.68</v>
      </c>
      <c r="W796">
        <v>6</v>
      </c>
      <c r="X796" t="s">
        <v>94</v>
      </c>
      <c r="Y796">
        <v>2025</v>
      </c>
    </row>
    <row r="797" spans="1:25" x14ac:dyDescent="0.3">
      <c r="A797" t="s">
        <v>2148</v>
      </c>
      <c r="B797" s="1">
        <v>45646</v>
      </c>
      <c r="C797" t="s">
        <v>2149</v>
      </c>
      <c r="D797" t="s">
        <v>2986</v>
      </c>
      <c r="E797" s="1">
        <v>45647</v>
      </c>
      <c r="F797" t="s">
        <v>29</v>
      </c>
      <c r="G797" t="s">
        <v>27</v>
      </c>
      <c r="H797" t="s">
        <v>28</v>
      </c>
      <c r="I797" t="s">
        <v>2634</v>
      </c>
      <c r="J797" t="s">
        <v>2644</v>
      </c>
      <c r="K797" t="s">
        <v>52</v>
      </c>
      <c r="L797">
        <v>39</v>
      </c>
      <c r="M797">
        <v>3</v>
      </c>
      <c r="N797">
        <v>25</v>
      </c>
      <c r="O797" t="s">
        <v>397</v>
      </c>
      <c r="P797" t="s">
        <v>44</v>
      </c>
      <c r="Q797" t="s">
        <v>31</v>
      </c>
      <c r="R797" t="s">
        <v>71</v>
      </c>
      <c r="S797" t="s">
        <v>30</v>
      </c>
      <c r="T797">
        <v>2</v>
      </c>
      <c r="U797">
        <v>641.91999999999996</v>
      </c>
      <c r="V797">
        <v>1139.46</v>
      </c>
      <c r="W797">
        <v>1</v>
      </c>
      <c r="X797" t="s">
        <v>94</v>
      </c>
      <c r="Y797">
        <v>2024</v>
      </c>
    </row>
    <row r="798" spans="1:25" x14ac:dyDescent="0.3">
      <c r="A798" t="s">
        <v>2150</v>
      </c>
      <c r="B798" s="1">
        <v>45534</v>
      </c>
      <c r="C798" t="s">
        <v>2151</v>
      </c>
      <c r="D798" t="s">
        <v>2985</v>
      </c>
      <c r="E798" s="1">
        <v>45535</v>
      </c>
      <c r="F798" t="s">
        <v>56</v>
      </c>
      <c r="G798" t="s">
        <v>54</v>
      </c>
      <c r="H798" t="s">
        <v>55</v>
      </c>
      <c r="I798" t="s">
        <v>2652</v>
      </c>
      <c r="J798" t="s">
        <v>2688</v>
      </c>
      <c r="K798" t="s">
        <v>52</v>
      </c>
      <c r="L798">
        <v>35</v>
      </c>
      <c r="M798">
        <v>4</v>
      </c>
      <c r="N798">
        <v>20</v>
      </c>
      <c r="O798" t="s">
        <v>845</v>
      </c>
      <c r="P798" t="s">
        <v>33</v>
      </c>
      <c r="Q798" t="s">
        <v>58</v>
      </c>
      <c r="R798" t="s">
        <v>71</v>
      </c>
      <c r="S798" t="s">
        <v>57</v>
      </c>
      <c r="T798">
        <v>5</v>
      </c>
      <c r="U798">
        <v>304.68</v>
      </c>
      <c r="V798">
        <v>711.82</v>
      </c>
      <c r="W798">
        <v>1</v>
      </c>
      <c r="X798" t="s">
        <v>45</v>
      </c>
      <c r="Y798">
        <v>2024</v>
      </c>
    </row>
    <row r="799" spans="1:25" x14ac:dyDescent="0.3">
      <c r="A799" t="s">
        <v>2152</v>
      </c>
      <c r="B799" s="1">
        <v>45686</v>
      </c>
      <c r="C799" t="s">
        <v>2153</v>
      </c>
      <c r="D799" t="s">
        <v>2984</v>
      </c>
      <c r="E799" s="1">
        <v>45687</v>
      </c>
      <c r="F799" t="s">
        <v>115</v>
      </c>
      <c r="G799" t="s">
        <v>66</v>
      </c>
      <c r="H799" t="s">
        <v>114</v>
      </c>
      <c r="I799" t="s">
        <v>2659</v>
      </c>
      <c r="J799" t="s">
        <v>2718</v>
      </c>
      <c r="K799" t="s">
        <v>25</v>
      </c>
      <c r="L799">
        <v>19</v>
      </c>
      <c r="M799">
        <v>3</v>
      </c>
      <c r="N799">
        <v>15</v>
      </c>
      <c r="O799" t="s">
        <v>2147</v>
      </c>
      <c r="P799" t="s">
        <v>33</v>
      </c>
      <c r="Q799" t="s">
        <v>31</v>
      </c>
      <c r="R799" t="s">
        <v>62</v>
      </c>
      <c r="S799" t="s">
        <v>116</v>
      </c>
      <c r="T799">
        <v>4</v>
      </c>
      <c r="U799">
        <v>364.24</v>
      </c>
      <c r="V799">
        <v>634.04999999999995</v>
      </c>
      <c r="W799">
        <v>1</v>
      </c>
      <c r="X799" t="s">
        <v>34</v>
      </c>
      <c r="Y799">
        <v>2025</v>
      </c>
    </row>
    <row r="800" spans="1:25" x14ac:dyDescent="0.3">
      <c r="A800" t="s">
        <v>2154</v>
      </c>
      <c r="B800" s="1">
        <v>46165</v>
      </c>
      <c r="C800" t="s">
        <v>2155</v>
      </c>
      <c r="D800" t="s">
        <v>2983</v>
      </c>
      <c r="E800" s="1">
        <v>46169</v>
      </c>
      <c r="F800" t="s">
        <v>29</v>
      </c>
      <c r="G800" t="s">
        <v>27</v>
      </c>
      <c r="H800" t="s">
        <v>28</v>
      </c>
      <c r="I800" t="s">
        <v>2622</v>
      </c>
      <c r="J800" t="s">
        <v>2622</v>
      </c>
      <c r="K800" t="s">
        <v>52</v>
      </c>
      <c r="L800">
        <v>32</v>
      </c>
      <c r="M800">
        <v>1</v>
      </c>
      <c r="N800">
        <v>25</v>
      </c>
      <c r="O800" t="s">
        <v>2156</v>
      </c>
      <c r="P800" t="s">
        <v>75</v>
      </c>
      <c r="Q800" t="s">
        <v>117</v>
      </c>
      <c r="R800" t="s">
        <v>32</v>
      </c>
      <c r="S800" t="s">
        <v>30</v>
      </c>
      <c r="T800">
        <v>1</v>
      </c>
      <c r="U800">
        <v>349.01</v>
      </c>
      <c r="V800">
        <v>132.62</v>
      </c>
      <c r="W800">
        <v>4</v>
      </c>
      <c r="X800" t="s">
        <v>49</v>
      </c>
      <c r="Y800">
        <v>2026</v>
      </c>
    </row>
    <row r="801" spans="1:25" x14ac:dyDescent="0.3">
      <c r="A801" t="s">
        <v>2157</v>
      </c>
      <c r="B801" s="1">
        <v>46034</v>
      </c>
      <c r="C801" t="s">
        <v>2158</v>
      </c>
      <c r="D801" t="s">
        <v>2982</v>
      </c>
      <c r="E801" s="1">
        <v>46040</v>
      </c>
      <c r="F801" t="s">
        <v>56</v>
      </c>
      <c r="G801" t="s">
        <v>54</v>
      </c>
      <c r="H801" t="s">
        <v>55</v>
      </c>
      <c r="I801" t="s">
        <v>2665</v>
      </c>
      <c r="J801" t="s">
        <v>2719</v>
      </c>
      <c r="K801" t="s">
        <v>25</v>
      </c>
      <c r="L801">
        <v>25</v>
      </c>
      <c r="M801">
        <v>1</v>
      </c>
      <c r="N801">
        <v>30</v>
      </c>
      <c r="O801" t="s">
        <v>198</v>
      </c>
      <c r="P801" t="s">
        <v>44</v>
      </c>
      <c r="Q801" t="s">
        <v>31</v>
      </c>
      <c r="R801" t="s">
        <v>32</v>
      </c>
      <c r="S801" t="s">
        <v>57</v>
      </c>
      <c r="T801">
        <v>3</v>
      </c>
      <c r="U801">
        <v>276.8</v>
      </c>
      <c r="V801">
        <v>120.44</v>
      </c>
      <c r="W801">
        <v>6</v>
      </c>
      <c r="X801" t="s">
        <v>34</v>
      </c>
      <c r="Y801">
        <v>2026</v>
      </c>
    </row>
    <row r="802" spans="1:25" x14ac:dyDescent="0.3">
      <c r="A802" t="s">
        <v>2159</v>
      </c>
      <c r="B802" s="1">
        <v>46002</v>
      </c>
      <c r="C802" t="s">
        <v>2160</v>
      </c>
      <c r="D802" t="s">
        <v>2981</v>
      </c>
      <c r="E802" s="1">
        <v>46005</v>
      </c>
      <c r="F802" t="s">
        <v>115</v>
      </c>
      <c r="G802" t="s">
        <v>66</v>
      </c>
      <c r="H802" t="s">
        <v>114</v>
      </c>
      <c r="I802" t="s">
        <v>2623</v>
      </c>
      <c r="J802" t="s">
        <v>2701</v>
      </c>
      <c r="K802" t="s">
        <v>25</v>
      </c>
      <c r="L802">
        <v>53</v>
      </c>
      <c r="M802">
        <v>2</v>
      </c>
      <c r="N802">
        <v>25</v>
      </c>
      <c r="O802" t="s">
        <v>335</v>
      </c>
      <c r="P802" t="s">
        <v>44</v>
      </c>
      <c r="Q802" t="s">
        <v>31</v>
      </c>
      <c r="R802" t="s">
        <v>43</v>
      </c>
      <c r="S802" t="s">
        <v>116</v>
      </c>
      <c r="T802">
        <v>5</v>
      </c>
      <c r="U802">
        <v>845.23</v>
      </c>
      <c r="V802">
        <v>881.94</v>
      </c>
      <c r="W802">
        <v>3</v>
      </c>
      <c r="X802" t="s">
        <v>94</v>
      </c>
      <c r="Y802">
        <v>2025</v>
      </c>
    </row>
    <row r="803" spans="1:25" x14ac:dyDescent="0.3">
      <c r="A803" t="s">
        <v>2161</v>
      </c>
      <c r="B803" s="1">
        <v>45453</v>
      </c>
      <c r="C803" t="s">
        <v>2162</v>
      </c>
      <c r="D803" t="s">
        <v>2980</v>
      </c>
      <c r="E803" s="1">
        <v>45454</v>
      </c>
      <c r="F803" t="s">
        <v>56</v>
      </c>
      <c r="G803" t="s">
        <v>54</v>
      </c>
      <c r="H803" t="s">
        <v>55</v>
      </c>
      <c r="I803" t="s">
        <v>2641</v>
      </c>
      <c r="J803" t="s">
        <v>2642</v>
      </c>
      <c r="K803" t="s">
        <v>25</v>
      </c>
      <c r="L803">
        <v>21</v>
      </c>
      <c r="M803">
        <v>1</v>
      </c>
      <c r="N803">
        <v>30</v>
      </c>
      <c r="O803" t="s">
        <v>1383</v>
      </c>
      <c r="P803" t="s">
        <v>33</v>
      </c>
      <c r="Q803" t="s">
        <v>31</v>
      </c>
      <c r="R803" t="s">
        <v>71</v>
      </c>
      <c r="S803" t="s">
        <v>57</v>
      </c>
      <c r="T803">
        <v>5</v>
      </c>
      <c r="U803">
        <v>642.27</v>
      </c>
      <c r="V803">
        <v>278.87</v>
      </c>
      <c r="W803">
        <v>1</v>
      </c>
      <c r="X803" t="s">
        <v>49</v>
      </c>
      <c r="Y803">
        <v>2024</v>
      </c>
    </row>
    <row r="804" spans="1:25" x14ac:dyDescent="0.3">
      <c r="A804" t="s">
        <v>2163</v>
      </c>
      <c r="B804" s="1">
        <v>46095</v>
      </c>
      <c r="C804" t="s">
        <v>2164</v>
      </c>
      <c r="D804" t="s">
        <v>2979</v>
      </c>
      <c r="E804" s="1">
        <v>46100</v>
      </c>
      <c r="F804" t="s">
        <v>122</v>
      </c>
      <c r="G804" t="s">
        <v>120</v>
      </c>
      <c r="H804" t="s">
        <v>121</v>
      </c>
      <c r="I804" t="s">
        <v>2633</v>
      </c>
      <c r="J804" t="s">
        <v>2695</v>
      </c>
      <c r="K804" t="s">
        <v>25</v>
      </c>
      <c r="L804">
        <v>42</v>
      </c>
      <c r="M804">
        <v>1</v>
      </c>
      <c r="N804">
        <v>20</v>
      </c>
      <c r="O804" t="s">
        <v>2165</v>
      </c>
      <c r="P804" t="s">
        <v>75</v>
      </c>
      <c r="Q804" t="s">
        <v>31</v>
      </c>
      <c r="R804" t="s">
        <v>62</v>
      </c>
      <c r="S804" t="s">
        <v>123</v>
      </c>
      <c r="T804">
        <v>2</v>
      </c>
      <c r="U804">
        <v>782.93</v>
      </c>
      <c r="V804">
        <v>498.34</v>
      </c>
      <c r="W804">
        <v>5</v>
      </c>
      <c r="X804" t="s">
        <v>34</v>
      </c>
      <c r="Y804">
        <v>2026</v>
      </c>
    </row>
    <row r="805" spans="1:25" x14ac:dyDescent="0.3">
      <c r="A805" t="s">
        <v>2166</v>
      </c>
      <c r="B805" s="1">
        <v>45893</v>
      </c>
      <c r="C805" t="s">
        <v>2167</v>
      </c>
      <c r="D805" t="s">
        <v>2978</v>
      </c>
      <c r="E805" s="1">
        <v>45896</v>
      </c>
      <c r="F805" t="s">
        <v>56</v>
      </c>
      <c r="G805" t="s">
        <v>54</v>
      </c>
      <c r="H805" t="s">
        <v>55</v>
      </c>
      <c r="I805" t="s">
        <v>2637</v>
      </c>
      <c r="J805" t="s">
        <v>2649</v>
      </c>
      <c r="K805" t="s">
        <v>25</v>
      </c>
      <c r="L805">
        <v>51</v>
      </c>
      <c r="M805">
        <v>1</v>
      </c>
      <c r="N805">
        <v>10</v>
      </c>
      <c r="O805" t="s">
        <v>1359</v>
      </c>
      <c r="P805" t="s">
        <v>75</v>
      </c>
      <c r="Q805" t="s">
        <v>31</v>
      </c>
      <c r="R805" t="s">
        <v>43</v>
      </c>
      <c r="S805" t="s">
        <v>57</v>
      </c>
      <c r="T805">
        <v>5</v>
      </c>
      <c r="U805">
        <v>279.91000000000003</v>
      </c>
      <c r="V805">
        <v>177.61</v>
      </c>
      <c r="W805">
        <v>3</v>
      </c>
      <c r="X805" t="s">
        <v>45</v>
      </c>
      <c r="Y805">
        <v>2025</v>
      </c>
    </row>
    <row r="806" spans="1:25" x14ac:dyDescent="0.3">
      <c r="A806" t="s">
        <v>2168</v>
      </c>
      <c r="B806" s="1">
        <v>46044</v>
      </c>
      <c r="C806" t="s">
        <v>2169</v>
      </c>
      <c r="D806" t="s">
        <v>2977</v>
      </c>
      <c r="E806" s="1">
        <v>46045</v>
      </c>
      <c r="F806" t="s">
        <v>40</v>
      </c>
      <c r="G806" t="s">
        <v>38</v>
      </c>
      <c r="H806" t="s">
        <v>39</v>
      </c>
      <c r="I806" t="s">
        <v>2675</v>
      </c>
      <c r="J806" t="s">
        <v>2710</v>
      </c>
      <c r="K806" t="s">
        <v>52</v>
      </c>
      <c r="L806">
        <v>55</v>
      </c>
      <c r="M806">
        <v>5</v>
      </c>
      <c r="N806">
        <v>20</v>
      </c>
      <c r="O806" t="s">
        <v>296</v>
      </c>
      <c r="P806" t="s">
        <v>33</v>
      </c>
      <c r="Q806" t="s">
        <v>31</v>
      </c>
      <c r="R806" t="s">
        <v>71</v>
      </c>
      <c r="S806" t="s">
        <v>41</v>
      </c>
      <c r="T806">
        <v>1</v>
      </c>
      <c r="U806">
        <v>63.74</v>
      </c>
      <c r="V806">
        <v>156.87</v>
      </c>
      <c r="W806">
        <v>1</v>
      </c>
      <c r="X806" t="s">
        <v>34</v>
      </c>
      <c r="Y806">
        <v>2026</v>
      </c>
    </row>
    <row r="807" spans="1:25" x14ac:dyDescent="0.3">
      <c r="A807" t="s">
        <v>2170</v>
      </c>
      <c r="B807" s="1">
        <v>45371</v>
      </c>
      <c r="C807" t="s">
        <v>1119</v>
      </c>
      <c r="D807" t="s">
        <v>2976</v>
      </c>
      <c r="E807" s="1">
        <v>45373</v>
      </c>
      <c r="F807" t="s">
        <v>40</v>
      </c>
      <c r="G807" t="s">
        <v>38</v>
      </c>
      <c r="H807" t="s">
        <v>39</v>
      </c>
      <c r="I807" t="s">
        <v>2632</v>
      </c>
      <c r="J807" t="s">
        <v>2645</v>
      </c>
      <c r="K807" t="s">
        <v>25</v>
      </c>
      <c r="L807">
        <v>27</v>
      </c>
      <c r="M807">
        <v>1</v>
      </c>
      <c r="N807">
        <v>10</v>
      </c>
      <c r="O807" t="s">
        <v>989</v>
      </c>
      <c r="P807" t="s">
        <v>75</v>
      </c>
      <c r="Q807" t="s">
        <v>117</v>
      </c>
      <c r="R807" t="s">
        <v>71</v>
      </c>
      <c r="S807" t="s">
        <v>41</v>
      </c>
      <c r="T807">
        <v>3</v>
      </c>
      <c r="U807">
        <v>962.54</v>
      </c>
      <c r="V807">
        <v>520.92999999999995</v>
      </c>
      <c r="W807">
        <v>2</v>
      </c>
      <c r="X807" t="s">
        <v>34</v>
      </c>
      <c r="Y807">
        <v>2024</v>
      </c>
    </row>
    <row r="808" spans="1:25" x14ac:dyDescent="0.3">
      <c r="A808" t="s">
        <v>2171</v>
      </c>
      <c r="B808" s="1">
        <v>45474</v>
      </c>
      <c r="C808" t="s">
        <v>2172</v>
      </c>
      <c r="D808" t="s">
        <v>2975</v>
      </c>
      <c r="E808" s="1">
        <v>45479</v>
      </c>
      <c r="F808" t="s">
        <v>68</v>
      </c>
      <c r="G808" t="s">
        <v>66</v>
      </c>
      <c r="H808" t="s">
        <v>67</v>
      </c>
      <c r="I808" t="s">
        <v>2652</v>
      </c>
      <c r="J808" t="s">
        <v>2688</v>
      </c>
      <c r="K808" t="s">
        <v>25</v>
      </c>
      <c r="L808">
        <v>36</v>
      </c>
      <c r="M808">
        <v>4</v>
      </c>
      <c r="N808">
        <v>25</v>
      </c>
      <c r="O808" t="s">
        <v>2173</v>
      </c>
      <c r="P808" t="s">
        <v>75</v>
      </c>
      <c r="Q808" t="s">
        <v>117</v>
      </c>
      <c r="R808" t="s">
        <v>32</v>
      </c>
      <c r="S808" t="s">
        <v>69</v>
      </c>
      <c r="T808">
        <v>4</v>
      </c>
      <c r="U808">
        <v>815.52</v>
      </c>
      <c r="V808">
        <v>1926.55</v>
      </c>
      <c r="W808">
        <v>5</v>
      </c>
      <c r="X808" t="s">
        <v>45</v>
      </c>
      <c r="Y808">
        <v>2024</v>
      </c>
    </row>
    <row r="809" spans="1:25" x14ac:dyDescent="0.3">
      <c r="A809" t="s">
        <v>2174</v>
      </c>
      <c r="B809" s="1">
        <v>45296</v>
      </c>
      <c r="C809" t="s">
        <v>2175</v>
      </c>
      <c r="D809" t="s">
        <v>2974</v>
      </c>
      <c r="E809" s="1">
        <v>45297</v>
      </c>
      <c r="F809" t="s">
        <v>29</v>
      </c>
      <c r="G809" t="s">
        <v>27</v>
      </c>
      <c r="H809" t="s">
        <v>28</v>
      </c>
      <c r="I809" t="s">
        <v>2652</v>
      </c>
      <c r="J809" t="s">
        <v>2706</v>
      </c>
      <c r="K809" t="s">
        <v>52</v>
      </c>
      <c r="L809">
        <v>49</v>
      </c>
      <c r="M809">
        <v>3</v>
      </c>
      <c r="N809">
        <v>20</v>
      </c>
      <c r="O809" t="s">
        <v>1689</v>
      </c>
      <c r="P809" t="s">
        <v>44</v>
      </c>
      <c r="Q809" t="s">
        <v>58</v>
      </c>
      <c r="R809" t="s">
        <v>62</v>
      </c>
      <c r="S809" t="s">
        <v>30</v>
      </c>
      <c r="T809">
        <v>2</v>
      </c>
      <c r="U809">
        <v>185.9</v>
      </c>
      <c r="V809">
        <v>243.33</v>
      </c>
      <c r="W809">
        <v>1</v>
      </c>
      <c r="X809" t="s">
        <v>34</v>
      </c>
      <c r="Y809">
        <v>2024</v>
      </c>
    </row>
    <row r="810" spans="1:25" x14ac:dyDescent="0.3">
      <c r="A810" t="s">
        <v>2176</v>
      </c>
      <c r="B810" s="1">
        <v>46083</v>
      </c>
      <c r="C810" t="s">
        <v>2177</v>
      </c>
      <c r="D810" t="s">
        <v>2973</v>
      </c>
      <c r="E810" s="1">
        <v>46088</v>
      </c>
      <c r="F810" t="s">
        <v>128</v>
      </c>
      <c r="G810" t="s">
        <v>98</v>
      </c>
      <c r="H810" t="s">
        <v>127</v>
      </c>
      <c r="I810" t="s">
        <v>2623</v>
      </c>
      <c r="J810" t="s">
        <v>2624</v>
      </c>
      <c r="K810" t="s">
        <v>25</v>
      </c>
      <c r="L810">
        <v>39</v>
      </c>
      <c r="M810">
        <v>5</v>
      </c>
      <c r="N810">
        <v>5</v>
      </c>
      <c r="O810" t="s">
        <v>637</v>
      </c>
      <c r="P810" t="s">
        <v>75</v>
      </c>
      <c r="Q810" t="s">
        <v>70</v>
      </c>
      <c r="R810" t="s">
        <v>32</v>
      </c>
      <c r="S810" t="s">
        <v>129</v>
      </c>
      <c r="T810">
        <v>4</v>
      </c>
      <c r="U810">
        <v>355.27</v>
      </c>
      <c r="V810">
        <v>1246.6400000000001</v>
      </c>
      <c r="W810">
        <v>5</v>
      </c>
      <c r="X810" t="s">
        <v>34</v>
      </c>
      <c r="Y810">
        <v>2026</v>
      </c>
    </row>
    <row r="811" spans="1:25" x14ac:dyDescent="0.3">
      <c r="A811" t="s">
        <v>2178</v>
      </c>
      <c r="B811" s="1">
        <v>45868</v>
      </c>
      <c r="C811" t="s">
        <v>2179</v>
      </c>
      <c r="D811" t="s">
        <v>2972</v>
      </c>
      <c r="E811" s="1">
        <v>45869</v>
      </c>
      <c r="F811" t="s">
        <v>56</v>
      </c>
      <c r="G811" t="s">
        <v>54</v>
      </c>
      <c r="H811" t="s">
        <v>55</v>
      </c>
      <c r="I811" t="s">
        <v>2631</v>
      </c>
      <c r="J811" t="s">
        <v>2711</v>
      </c>
      <c r="K811" t="s">
        <v>52</v>
      </c>
      <c r="L811">
        <v>31</v>
      </c>
      <c r="M811">
        <v>3</v>
      </c>
      <c r="N811">
        <v>5</v>
      </c>
      <c r="O811" t="s">
        <v>2127</v>
      </c>
      <c r="P811" t="s">
        <v>44</v>
      </c>
      <c r="Q811" t="s">
        <v>31</v>
      </c>
      <c r="R811" t="s">
        <v>62</v>
      </c>
      <c r="S811" t="s">
        <v>57</v>
      </c>
      <c r="T811">
        <v>3</v>
      </c>
      <c r="U811">
        <v>852.7</v>
      </c>
      <c r="V811">
        <v>1944.86</v>
      </c>
      <c r="W811">
        <v>1</v>
      </c>
      <c r="X811" t="s">
        <v>45</v>
      </c>
      <c r="Y811">
        <v>2025</v>
      </c>
    </row>
    <row r="812" spans="1:25" x14ac:dyDescent="0.3">
      <c r="A812" t="s">
        <v>2180</v>
      </c>
      <c r="B812" s="1">
        <v>46115</v>
      </c>
      <c r="C812" t="s">
        <v>2181</v>
      </c>
      <c r="D812" t="s">
        <v>2971</v>
      </c>
      <c r="E812" s="1">
        <v>46116</v>
      </c>
      <c r="F812" t="s">
        <v>56</v>
      </c>
      <c r="G812" t="s">
        <v>54</v>
      </c>
      <c r="H812" t="s">
        <v>55</v>
      </c>
      <c r="I812" t="s">
        <v>2679</v>
      </c>
      <c r="J812" t="s">
        <v>2680</v>
      </c>
      <c r="K812" t="s">
        <v>25</v>
      </c>
      <c r="L812">
        <v>32</v>
      </c>
      <c r="M812">
        <v>3</v>
      </c>
      <c r="N812">
        <v>25</v>
      </c>
      <c r="O812" t="s">
        <v>2065</v>
      </c>
      <c r="P812" t="s">
        <v>33</v>
      </c>
      <c r="Q812" t="s">
        <v>42</v>
      </c>
      <c r="R812" t="s">
        <v>32</v>
      </c>
      <c r="S812" t="s">
        <v>57</v>
      </c>
      <c r="T812">
        <v>1</v>
      </c>
      <c r="U812">
        <v>555.61</v>
      </c>
      <c r="V812">
        <v>660.9</v>
      </c>
      <c r="W812">
        <v>1</v>
      </c>
      <c r="X812" t="s">
        <v>49</v>
      </c>
      <c r="Y812">
        <v>2026</v>
      </c>
    </row>
    <row r="813" spans="1:25" x14ac:dyDescent="0.3">
      <c r="A813" t="s">
        <v>2182</v>
      </c>
      <c r="B813" s="1">
        <v>45572</v>
      </c>
      <c r="C813" t="s">
        <v>2183</v>
      </c>
      <c r="D813" t="s">
        <v>2970</v>
      </c>
      <c r="E813" s="1">
        <v>45579</v>
      </c>
      <c r="F813" t="s">
        <v>68</v>
      </c>
      <c r="G813" t="s">
        <v>66</v>
      </c>
      <c r="H813" t="s">
        <v>67</v>
      </c>
      <c r="I813" t="s">
        <v>2629</v>
      </c>
      <c r="J813" t="s">
        <v>2697</v>
      </c>
      <c r="K813" t="s">
        <v>52</v>
      </c>
      <c r="L813">
        <v>21</v>
      </c>
      <c r="M813">
        <v>1</v>
      </c>
      <c r="N813">
        <v>20</v>
      </c>
      <c r="O813" t="s">
        <v>521</v>
      </c>
      <c r="P813" t="s">
        <v>75</v>
      </c>
      <c r="Q813" t="s">
        <v>70</v>
      </c>
      <c r="R813" t="s">
        <v>32</v>
      </c>
      <c r="S813" t="s">
        <v>69</v>
      </c>
      <c r="T813">
        <v>4</v>
      </c>
      <c r="U813">
        <v>257.57</v>
      </c>
      <c r="V813">
        <v>153.18</v>
      </c>
      <c r="W813">
        <v>7</v>
      </c>
      <c r="X813" t="s">
        <v>94</v>
      </c>
      <c r="Y813">
        <v>2024</v>
      </c>
    </row>
    <row r="814" spans="1:25" x14ac:dyDescent="0.3">
      <c r="A814" t="s">
        <v>2184</v>
      </c>
      <c r="B814" s="1">
        <v>45861</v>
      </c>
      <c r="C814" t="s">
        <v>2185</v>
      </c>
      <c r="D814" t="s">
        <v>2969</v>
      </c>
      <c r="E814" s="1">
        <v>45865</v>
      </c>
      <c r="F814" t="s">
        <v>122</v>
      </c>
      <c r="G814" t="s">
        <v>120</v>
      </c>
      <c r="H814" t="s">
        <v>121</v>
      </c>
      <c r="I814" t="s">
        <v>2629</v>
      </c>
      <c r="J814" t="s">
        <v>2697</v>
      </c>
      <c r="K814" t="s">
        <v>25</v>
      </c>
      <c r="L814">
        <v>40</v>
      </c>
      <c r="M814">
        <v>4</v>
      </c>
      <c r="N814">
        <v>25</v>
      </c>
      <c r="O814" t="s">
        <v>1482</v>
      </c>
      <c r="P814" t="s">
        <v>75</v>
      </c>
      <c r="Q814" t="s">
        <v>117</v>
      </c>
      <c r="R814" t="s">
        <v>43</v>
      </c>
      <c r="S814" t="s">
        <v>123</v>
      </c>
      <c r="T814">
        <v>3</v>
      </c>
      <c r="U814">
        <v>704.57</v>
      </c>
      <c r="V814">
        <v>1157.0899999999999</v>
      </c>
      <c r="W814">
        <v>4</v>
      </c>
      <c r="X814" t="s">
        <v>45</v>
      </c>
      <c r="Y814">
        <v>2025</v>
      </c>
    </row>
    <row r="815" spans="1:25" x14ac:dyDescent="0.3">
      <c r="A815" t="s">
        <v>2186</v>
      </c>
      <c r="B815" s="1">
        <v>46124</v>
      </c>
      <c r="C815" t="s">
        <v>2187</v>
      </c>
      <c r="D815" t="s">
        <v>2968</v>
      </c>
      <c r="E815" s="1">
        <v>46129</v>
      </c>
      <c r="F815" t="s">
        <v>40</v>
      </c>
      <c r="G815" t="s">
        <v>38</v>
      </c>
      <c r="H815" t="s">
        <v>39</v>
      </c>
      <c r="I815" t="s">
        <v>2634</v>
      </c>
      <c r="J815" t="s">
        <v>2714</v>
      </c>
      <c r="K815" t="s">
        <v>52</v>
      </c>
      <c r="L815">
        <v>24</v>
      </c>
      <c r="M815">
        <v>5</v>
      </c>
      <c r="N815">
        <v>0</v>
      </c>
      <c r="O815" t="s">
        <v>1161</v>
      </c>
      <c r="P815" t="s">
        <v>33</v>
      </c>
      <c r="Q815" t="s">
        <v>70</v>
      </c>
      <c r="R815" t="s">
        <v>71</v>
      </c>
      <c r="S815" t="s">
        <v>41</v>
      </c>
      <c r="T815">
        <v>5</v>
      </c>
      <c r="U815">
        <v>973.07</v>
      </c>
      <c r="V815">
        <v>2724.53</v>
      </c>
      <c r="W815">
        <v>5</v>
      </c>
      <c r="X815" t="s">
        <v>49</v>
      </c>
      <c r="Y815">
        <v>2026</v>
      </c>
    </row>
    <row r="816" spans="1:25" x14ac:dyDescent="0.3">
      <c r="A816" t="s">
        <v>2188</v>
      </c>
      <c r="B816" s="1">
        <v>45839</v>
      </c>
      <c r="C816" t="s">
        <v>2189</v>
      </c>
      <c r="D816" t="s">
        <v>2967</v>
      </c>
      <c r="E816" s="1">
        <v>45842</v>
      </c>
      <c r="F816" t="s">
        <v>56</v>
      </c>
      <c r="G816" t="s">
        <v>54</v>
      </c>
      <c r="H816" t="s">
        <v>55</v>
      </c>
      <c r="I816" t="s">
        <v>2656</v>
      </c>
      <c r="J816" t="s">
        <v>2712</v>
      </c>
      <c r="K816" t="s">
        <v>52</v>
      </c>
      <c r="L816">
        <v>21</v>
      </c>
      <c r="M816">
        <v>3</v>
      </c>
      <c r="N816">
        <v>25</v>
      </c>
      <c r="O816" t="s">
        <v>771</v>
      </c>
      <c r="P816" t="s">
        <v>33</v>
      </c>
      <c r="Q816" t="s">
        <v>70</v>
      </c>
      <c r="R816" t="s">
        <v>43</v>
      </c>
      <c r="S816" t="s">
        <v>57</v>
      </c>
      <c r="T816">
        <v>2</v>
      </c>
      <c r="U816">
        <v>204.31</v>
      </c>
      <c r="V816">
        <v>242.68</v>
      </c>
      <c r="W816">
        <v>3</v>
      </c>
      <c r="X816" t="s">
        <v>45</v>
      </c>
      <c r="Y816">
        <v>2025</v>
      </c>
    </row>
    <row r="817" spans="1:25" x14ac:dyDescent="0.3">
      <c r="A817" t="s">
        <v>2190</v>
      </c>
      <c r="B817" s="1">
        <v>45988</v>
      </c>
      <c r="C817" t="s">
        <v>2191</v>
      </c>
      <c r="D817" t="s">
        <v>2966</v>
      </c>
      <c r="E817" s="1">
        <v>45995</v>
      </c>
      <c r="F817" t="s">
        <v>29</v>
      </c>
      <c r="G817" t="s">
        <v>27</v>
      </c>
      <c r="H817" t="s">
        <v>28</v>
      </c>
      <c r="I817" t="s">
        <v>2661</v>
      </c>
      <c r="J817" t="s">
        <v>2700</v>
      </c>
      <c r="K817" t="s">
        <v>52</v>
      </c>
      <c r="L817">
        <v>21</v>
      </c>
      <c r="M817">
        <v>2</v>
      </c>
      <c r="N817">
        <v>5</v>
      </c>
      <c r="O817" t="s">
        <v>2192</v>
      </c>
      <c r="P817" t="s">
        <v>33</v>
      </c>
      <c r="Q817" t="s">
        <v>42</v>
      </c>
      <c r="R817" t="s">
        <v>62</v>
      </c>
      <c r="S817" t="s">
        <v>30</v>
      </c>
      <c r="T817">
        <v>2</v>
      </c>
      <c r="U817">
        <v>980.59</v>
      </c>
      <c r="V817">
        <v>1042.8599999999999</v>
      </c>
      <c r="W817">
        <v>7</v>
      </c>
      <c r="X817" t="s">
        <v>94</v>
      </c>
      <c r="Y817">
        <v>2025</v>
      </c>
    </row>
    <row r="818" spans="1:25" x14ac:dyDescent="0.3">
      <c r="A818" t="s">
        <v>2193</v>
      </c>
      <c r="B818" s="1">
        <v>45781</v>
      </c>
      <c r="C818" t="s">
        <v>2194</v>
      </c>
      <c r="D818" t="s">
        <v>2965</v>
      </c>
      <c r="E818" s="1">
        <v>45782</v>
      </c>
      <c r="F818" t="s">
        <v>29</v>
      </c>
      <c r="G818" t="s">
        <v>27</v>
      </c>
      <c r="H818" t="s">
        <v>28</v>
      </c>
      <c r="I818" t="s">
        <v>2679</v>
      </c>
      <c r="J818" t="s">
        <v>2707</v>
      </c>
      <c r="K818" t="s">
        <v>52</v>
      </c>
      <c r="L818">
        <v>25</v>
      </c>
      <c r="M818">
        <v>4</v>
      </c>
      <c r="N818">
        <v>10</v>
      </c>
      <c r="O818" t="s">
        <v>1055</v>
      </c>
      <c r="P818" t="s">
        <v>75</v>
      </c>
      <c r="Q818" t="s">
        <v>31</v>
      </c>
      <c r="R818" t="s">
        <v>71</v>
      </c>
      <c r="S818" t="s">
        <v>30</v>
      </c>
      <c r="T818">
        <v>2</v>
      </c>
      <c r="U818">
        <v>620.63</v>
      </c>
      <c r="V818">
        <v>1710.12</v>
      </c>
      <c r="W818">
        <v>1</v>
      </c>
      <c r="X818" t="s">
        <v>49</v>
      </c>
      <c r="Y818">
        <v>2025</v>
      </c>
    </row>
    <row r="819" spans="1:25" x14ac:dyDescent="0.3">
      <c r="A819" t="s">
        <v>2195</v>
      </c>
      <c r="B819" s="1">
        <v>45907</v>
      </c>
      <c r="C819" t="s">
        <v>2196</v>
      </c>
      <c r="D819" t="s">
        <v>2964</v>
      </c>
      <c r="E819" s="1">
        <v>45910</v>
      </c>
      <c r="F819" t="s">
        <v>122</v>
      </c>
      <c r="G819" t="s">
        <v>120</v>
      </c>
      <c r="H819" t="s">
        <v>121</v>
      </c>
      <c r="I819" t="s">
        <v>2661</v>
      </c>
      <c r="J819" t="s">
        <v>2700</v>
      </c>
      <c r="K819" t="s">
        <v>52</v>
      </c>
      <c r="L819">
        <v>45</v>
      </c>
      <c r="M819">
        <v>4</v>
      </c>
      <c r="N819">
        <v>5</v>
      </c>
      <c r="O819" t="s">
        <v>2135</v>
      </c>
      <c r="P819" t="s">
        <v>33</v>
      </c>
      <c r="Q819" t="s">
        <v>31</v>
      </c>
      <c r="R819" t="s">
        <v>43</v>
      </c>
      <c r="S819" t="s">
        <v>123</v>
      </c>
      <c r="T819">
        <v>1</v>
      </c>
      <c r="U819">
        <v>560.63</v>
      </c>
      <c r="V819">
        <v>1491.85</v>
      </c>
      <c r="W819">
        <v>3</v>
      </c>
      <c r="X819" t="s">
        <v>45</v>
      </c>
      <c r="Y819">
        <v>2025</v>
      </c>
    </row>
    <row r="820" spans="1:25" x14ac:dyDescent="0.3">
      <c r="A820" t="s">
        <v>2197</v>
      </c>
      <c r="B820" s="1">
        <v>45962</v>
      </c>
      <c r="C820" t="s">
        <v>2198</v>
      </c>
      <c r="D820" t="s">
        <v>2963</v>
      </c>
      <c r="E820" s="1">
        <v>45969</v>
      </c>
      <c r="F820" t="s">
        <v>140</v>
      </c>
      <c r="G820" t="s">
        <v>38</v>
      </c>
      <c r="H820" t="s">
        <v>139</v>
      </c>
      <c r="I820" t="s">
        <v>2625</v>
      </c>
      <c r="J820" t="s">
        <v>2667</v>
      </c>
      <c r="K820" t="s">
        <v>25</v>
      </c>
      <c r="L820">
        <v>57</v>
      </c>
      <c r="M820">
        <v>5</v>
      </c>
      <c r="N820">
        <v>0</v>
      </c>
      <c r="O820" t="s">
        <v>2199</v>
      </c>
      <c r="P820" t="s">
        <v>33</v>
      </c>
      <c r="Q820" t="s">
        <v>70</v>
      </c>
      <c r="R820" t="s">
        <v>62</v>
      </c>
      <c r="S820" t="s">
        <v>141</v>
      </c>
      <c r="T820">
        <v>2</v>
      </c>
      <c r="U820">
        <v>220.23</v>
      </c>
      <c r="V820">
        <v>660.56</v>
      </c>
      <c r="W820">
        <v>7</v>
      </c>
      <c r="X820" t="s">
        <v>94</v>
      </c>
      <c r="Y820">
        <v>2025</v>
      </c>
    </row>
    <row r="821" spans="1:25" x14ac:dyDescent="0.3">
      <c r="A821" t="s">
        <v>2200</v>
      </c>
      <c r="B821" s="1">
        <v>45528</v>
      </c>
      <c r="C821" t="s">
        <v>2201</v>
      </c>
      <c r="D821" t="s">
        <v>2962</v>
      </c>
      <c r="E821" s="1">
        <v>45531</v>
      </c>
      <c r="F821" t="s">
        <v>29</v>
      </c>
      <c r="G821" t="s">
        <v>27</v>
      </c>
      <c r="H821" t="s">
        <v>28</v>
      </c>
      <c r="I821" t="s">
        <v>2622</v>
      </c>
      <c r="J821" t="s">
        <v>2686</v>
      </c>
      <c r="K821" t="s">
        <v>25</v>
      </c>
      <c r="L821">
        <v>64</v>
      </c>
      <c r="M821">
        <v>5</v>
      </c>
      <c r="N821">
        <v>5</v>
      </c>
      <c r="O821" t="s">
        <v>2202</v>
      </c>
      <c r="P821" t="s">
        <v>75</v>
      </c>
      <c r="Q821" t="s">
        <v>31</v>
      </c>
      <c r="R821" t="s">
        <v>32</v>
      </c>
      <c r="S821" t="s">
        <v>30</v>
      </c>
      <c r="T821">
        <v>3</v>
      </c>
      <c r="U821">
        <v>704.21</v>
      </c>
      <c r="V821">
        <v>2405.4699999999998</v>
      </c>
      <c r="W821">
        <v>3</v>
      </c>
      <c r="X821" t="s">
        <v>45</v>
      </c>
      <c r="Y821">
        <v>2024</v>
      </c>
    </row>
    <row r="822" spans="1:25" x14ac:dyDescent="0.3">
      <c r="A822" t="s">
        <v>2203</v>
      </c>
      <c r="B822" s="1">
        <v>45413</v>
      </c>
      <c r="C822" t="s">
        <v>1002</v>
      </c>
      <c r="D822" t="s">
        <v>2961</v>
      </c>
      <c r="E822" s="1">
        <v>45419</v>
      </c>
      <c r="F822" t="s">
        <v>128</v>
      </c>
      <c r="G822" t="s">
        <v>98</v>
      </c>
      <c r="H822" t="s">
        <v>127</v>
      </c>
      <c r="I822" t="s">
        <v>2623</v>
      </c>
      <c r="J822" t="s">
        <v>2691</v>
      </c>
      <c r="K822" t="s">
        <v>52</v>
      </c>
      <c r="L822">
        <v>31</v>
      </c>
      <c r="M822">
        <v>3</v>
      </c>
      <c r="N822">
        <v>20</v>
      </c>
      <c r="O822" t="s">
        <v>2204</v>
      </c>
      <c r="P822" t="s">
        <v>44</v>
      </c>
      <c r="Q822" t="s">
        <v>70</v>
      </c>
      <c r="R822" t="s">
        <v>43</v>
      </c>
      <c r="S822" t="s">
        <v>129</v>
      </c>
      <c r="T822">
        <v>3</v>
      </c>
      <c r="U822">
        <v>500.85</v>
      </c>
      <c r="V822">
        <v>795.69</v>
      </c>
      <c r="W822">
        <v>6</v>
      </c>
      <c r="X822" t="s">
        <v>49</v>
      </c>
      <c r="Y822">
        <v>2024</v>
      </c>
    </row>
    <row r="823" spans="1:25" x14ac:dyDescent="0.3">
      <c r="A823" t="s">
        <v>2205</v>
      </c>
      <c r="B823" s="1">
        <v>45405</v>
      </c>
      <c r="C823" t="s">
        <v>2206</v>
      </c>
      <c r="D823" t="s">
        <v>2960</v>
      </c>
      <c r="E823" s="1">
        <v>45407</v>
      </c>
      <c r="F823" t="s">
        <v>100</v>
      </c>
      <c r="G823" t="s">
        <v>98</v>
      </c>
      <c r="H823" t="s">
        <v>99</v>
      </c>
      <c r="I823" t="s">
        <v>2663</v>
      </c>
      <c r="J823" t="s">
        <v>2670</v>
      </c>
      <c r="K823" t="s">
        <v>25</v>
      </c>
      <c r="L823">
        <v>38</v>
      </c>
      <c r="M823">
        <v>5</v>
      </c>
      <c r="N823">
        <v>10</v>
      </c>
      <c r="O823" t="s">
        <v>1099</v>
      </c>
      <c r="P823" t="s">
        <v>44</v>
      </c>
      <c r="Q823" t="s">
        <v>117</v>
      </c>
      <c r="R823" t="s">
        <v>43</v>
      </c>
      <c r="S823" t="s">
        <v>101</v>
      </c>
      <c r="T823">
        <v>5</v>
      </c>
      <c r="U823">
        <v>751.5</v>
      </c>
      <c r="V823">
        <v>2151.2600000000002</v>
      </c>
      <c r="W823">
        <v>2</v>
      </c>
      <c r="X823" t="s">
        <v>49</v>
      </c>
      <c r="Y823">
        <v>2024</v>
      </c>
    </row>
    <row r="824" spans="1:25" x14ac:dyDescent="0.3">
      <c r="A824" t="s">
        <v>2207</v>
      </c>
      <c r="B824" s="1">
        <v>46188</v>
      </c>
      <c r="C824" t="s">
        <v>2208</v>
      </c>
      <c r="D824" t="s">
        <v>2959</v>
      </c>
      <c r="E824" s="1">
        <v>46191</v>
      </c>
      <c r="F824" t="s">
        <v>100</v>
      </c>
      <c r="G824" t="s">
        <v>98</v>
      </c>
      <c r="H824" t="s">
        <v>99</v>
      </c>
      <c r="I824" t="s">
        <v>2639</v>
      </c>
      <c r="J824" t="s">
        <v>2704</v>
      </c>
      <c r="K824" t="s">
        <v>25</v>
      </c>
      <c r="L824">
        <v>56</v>
      </c>
      <c r="M824">
        <v>2</v>
      </c>
      <c r="N824">
        <v>30</v>
      </c>
      <c r="O824" t="s">
        <v>1926</v>
      </c>
      <c r="P824" t="s">
        <v>75</v>
      </c>
      <c r="Q824" t="s">
        <v>117</v>
      </c>
      <c r="R824" t="s">
        <v>62</v>
      </c>
      <c r="S824" t="s">
        <v>101</v>
      </c>
      <c r="T824">
        <v>5</v>
      </c>
      <c r="U824">
        <v>441.65</v>
      </c>
      <c r="V824">
        <v>398.58</v>
      </c>
      <c r="W824">
        <v>3</v>
      </c>
      <c r="X824" t="s">
        <v>49</v>
      </c>
      <c r="Y824">
        <v>2026</v>
      </c>
    </row>
    <row r="825" spans="1:25" x14ac:dyDescent="0.3">
      <c r="A825" t="s">
        <v>2209</v>
      </c>
      <c r="B825" s="1">
        <v>45790</v>
      </c>
      <c r="C825" t="s">
        <v>1113</v>
      </c>
      <c r="D825" t="s">
        <v>2958</v>
      </c>
      <c r="E825" s="1">
        <v>45795</v>
      </c>
      <c r="F825" t="s">
        <v>56</v>
      </c>
      <c r="G825" t="s">
        <v>54</v>
      </c>
      <c r="H825" t="s">
        <v>55</v>
      </c>
      <c r="I825" t="s">
        <v>2663</v>
      </c>
      <c r="J825" t="s">
        <v>2664</v>
      </c>
      <c r="K825" t="s">
        <v>25</v>
      </c>
      <c r="L825">
        <v>56</v>
      </c>
      <c r="M825">
        <v>4</v>
      </c>
      <c r="N825">
        <v>0</v>
      </c>
      <c r="O825" t="s">
        <v>874</v>
      </c>
      <c r="P825" t="s">
        <v>33</v>
      </c>
      <c r="Q825" t="s">
        <v>70</v>
      </c>
      <c r="R825" t="s">
        <v>43</v>
      </c>
      <c r="S825" t="s">
        <v>57</v>
      </c>
      <c r="T825">
        <v>4</v>
      </c>
      <c r="U825">
        <v>984.22</v>
      </c>
      <c r="V825">
        <v>2004.19</v>
      </c>
      <c r="W825">
        <v>5</v>
      </c>
      <c r="X825" t="s">
        <v>49</v>
      </c>
      <c r="Y825">
        <v>2025</v>
      </c>
    </row>
    <row r="826" spans="1:25" x14ac:dyDescent="0.3">
      <c r="A826" t="s">
        <v>2210</v>
      </c>
      <c r="B826" s="1">
        <v>45295</v>
      </c>
      <c r="C826" t="s">
        <v>2211</v>
      </c>
      <c r="D826" t="s">
        <v>2737</v>
      </c>
      <c r="E826" s="1">
        <v>45297</v>
      </c>
      <c r="F826" t="s">
        <v>122</v>
      </c>
      <c r="G826" t="s">
        <v>120</v>
      </c>
      <c r="H826" t="s">
        <v>121</v>
      </c>
      <c r="I826" t="s">
        <v>2637</v>
      </c>
      <c r="J826" t="s">
        <v>2638</v>
      </c>
      <c r="K826" t="s">
        <v>52</v>
      </c>
      <c r="L826">
        <v>18</v>
      </c>
      <c r="M826">
        <v>5</v>
      </c>
      <c r="N826">
        <v>25</v>
      </c>
      <c r="O826" t="s">
        <v>515</v>
      </c>
      <c r="P826" t="s">
        <v>33</v>
      </c>
      <c r="Q826" t="s">
        <v>58</v>
      </c>
      <c r="R826" t="s">
        <v>71</v>
      </c>
      <c r="S826" t="s">
        <v>123</v>
      </c>
      <c r="T826">
        <v>1</v>
      </c>
      <c r="U826">
        <v>749.03</v>
      </c>
      <c r="V826">
        <v>2308.09</v>
      </c>
      <c r="W826">
        <v>2</v>
      </c>
      <c r="X826" t="s">
        <v>34</v>
      </c>
      <c r="Y826">
        <v>2024</v>
      </c>
    </row>
    <row r="827" spans="1:25" x14ac:dyDescent="0.3">
      <c r="A827" t="s">
        <v>2212</v>
      </c>
      <c r="B827" s="1">
        <v>46089</v>
      </c>
      <c r="C827" t="s">
        <v>2213</v>
      </c>
      <c r="D827" t="s">
        <v>2736</v>
      </c>
      <c r="E827" s="1">
        <v>46093</v>
      </c>
      <c r="F827" t="s">
        <v>40</v>
      </c>
      <c r="G827" t="s">
        <v>38</v>
      </c>
      <c r="H827" t="s">
        <v>39</v>
      </c>
      <c r="I827" t="s">
        <v>2631</v>
      </c>
      <c r="J827" t="s">
        <v>2711</v>
      </c>
      <c r="K827" t="s">
        <v>25</v>
      </c>
      <c r="L827">
        <v>33</v>
      </c>
      <c r="M827">
        <v>5</v>
      </c>
      <c r="N827">
        <v>5</v>
      </c>
      <c r="O827" t="s">
        <v>2081</v>
      </c>
      <c r="P827" t="s">
        <v>75</v>
      </c>
      <c r="Q827" t="s">
        <v>70</v>
      </c>
      <c r="R827" t="s">
        <v>62</v>
      </c>
      <c r="S827" t="s">
        <v>41</v>
      </c>
      <c r="T827">
        <v>1</v>
      </c>
      <c r="U827">
        <v>601.1</v>
      </c>
      <c r="V827">
        <v>1949.41</v>
      </c>
      <c r="W827">
        <v>4</v>
      </c>
      <c r="X827" t="s">
        <v>34</v>
      </c>
      <c r="Y827">
        <v>2026</v>
      </c>
    </row>
    <row r="828" spans="1:25" x14ac:dyDescent="0.3">
      <c r="A828" t="s">
        <v>2214</v>
      </c>
      <c r="B828" s="1">
        <v>45565</v>
      </c>
      <c r="C828" t="s">
        <v>2215</v>
      </c>
      <c r="D828" t="s">
        <v>2735</v>
      </c>
      <c r="E828" s="1">
        <v>45566</v>
      </c>
      <c r="F828" t="s">
        <v>115</v>
      </c>
      <c r="G828" t="s">
        <v>66</v>
      </c>
      <c r="H828" t="s">
        <v>114</v>
      </c>
      <c r="I828" t="s">
        <v>2654</v>
      </c>
      <c r="J828" t="s">
        <v>2702</v>
      </c>
      <c r="K828" t="s">
        <v>52</v>
      </c>
      <c r="L828">
        <v>56</v>
      </c>
      <c r="M828">
        <v>3</v>
      </c>
      <c r="N828">
        <v>5</v>
      </c>
      <c r="O828" t="s">
        <v>2216</v>
      </c>
      <c r="P828" t="s">
        <v>44</v>
      </c>
      <c r="Q828" t="s">
        <v>31</v>
      </c>
      <c r="R828" t="s">
        <v>62</v>
      </c>
      <c r="S828" t="s">
        <v>116</v>
      </c>
      <c r="T828">
        <v>1</v>
      </c>
      <c r="U828">
        <v>397.06</v>
      </c>
      <c r="V828">
        <v>878.77</v>
      </c>
      <c r="W828">
        <v>1</v>
      </c>
      <c r="X828" t="s">
        <v>45</v>
      </c>
      <c r="Y828">
        <v>2024</v>
      </c>
    </row>
    <row r="829" spans="1:25" x14ac:dyDescent="0.3">
      <c r="A829" t="s">
        <v>2217</v>
      </c>
      <c r="B829" s="1">
        <v>45596</v>
      </c>
      <c r="C829" t="s">
        <v>2218</v>
      </c>
      <c r="D829" t="s">
        <v>2734</v>
      </c>
      <c r="E829" s="1">
        <v>45597</v>
      </c>
      <c r="F829" t="s">
        <v>128</v>
      </c>
      <c r="G829" t="s">
        <v>98</v>
      </c>
      <c r="H829" t="s">
        <v>127</v>
      </c>
      <c r="I829" t="s">
        <v>2654</v>
      </c>
      <c r="J829" t="s">
        <v>2655</v>
      </c>
      <c r="K829" t="s">
        <v>25</v>
      </c>
      <c r="L829">
        <v>51</v>
      </c>
      <c r="M829">
        <v>5</v>
      </c>
      <c r="N829">
        <v>0</v>
      </c>
      <c r="O829" t="s">
        <v>2219</v>
      </c>
      <c r="P829" t="s">
        <v>44</v>
      </c>
      <c r="Q829" t="s">
        <v>70</v>
      </c>
      <c r="R829" t="s">
        <v>43</v>
      </c>
      <c r="S829" t="s">
        <v>129</v>
      </c>
      <c r="T829">
        <v>1</v>
      </c>
      <c r="U829">
        <v>126.68</v>
      </c>
      <c r="V829">
        <v>362.03</v>
      </c>
      <c r="W829">
        <v>1</v>
      </c>
      <c r="X829" t="s">
        <v>94</v>
      </c>
      <c r="Y829">
        <v>2024</v>
      </c>
    </row>
    <row r="830" spans="1:25" x14ac:dyDescent="0.3">
      <c r="A830" t="s">
        <v>2220</v>
      </c>
      <c r="B830" s="1">
        <v>45868</v>
      </c>
      <c r="C830" t="s">
        <v>2221</v>
      </c>
      <c r="D830" t="s">
        <v>2957</v>
      </c>
      <c r="E830" s="1">
        <v>45872</v>
      </c>
      <c r="F830" t="s">
        <v>56</v>
      </c>
      <c r="G830" t="s">
        <v>54</v>
      </c>
      <c r="H830" t="s">
        <v>55</v>
      </c>
      <c r="I830" t="s">
        <v>2679</v>
      </c>
      <c r="J830" t="s">
        <v>2680</v>
      </c>
      <c r="K830" t="s">
        <v>25</v>
      </c>
      <c r="L830">
        <v>25</v>
      </c>
      <c r="M830">
        <v>5</v>
      </c>
      <c r="N830">
        <v>15</v>
      </c>
      <c r="O830" t="s">
        <v>945</v>
      </c>
      <c r="P830" t="s">
        <v>44</v>
      </c>
      <c r="Q830" t="s">
        <v>42</v>
      </c>
      <c r="R830" t="s">
        <v>71</v>
      </c>
      <c r="S830" t="s">
        <v>57</v>
      </c>
      <c r="T830">
        <v>4</v>
      </c>
      <c r="U830">
        <v>655.23</v>
      </c>
      <c r="V830">
        <v>1657.49</v>
      </c>
      <c r="W830">
        <v>4</v>
      </c>
      <c r="X830" t="s">
        <v>45</v>
      </c>
      <c r="Y830">
        <v>2025</v>
      </c>
    </row>
    <row r="831" spans="1:25" x14ac:dyDescent="0.3">
      <c r="A831" t="s">
        <v>2222</v>
      </c>
      <c r="B831" s="1">
        <v>45508</v>
      </c>
      <c r="C831" t="s">
        <v>2223</v>
      </c>
      <c r="D831" t="s">
        <v>2956</v>
      </c>
      <c r="E831" s="1">
        <v>45509</v>
      </c>
      <c r="F831" t="s">
        <v>140</v>
      </c>
      <c r="G831" t="s">
        <v>38</v>
      </c>
      <c r="H831" t="s">
        <v>139</v>
      </c>
      <c r="I831" t="s">
        <v>2625</v>
      </c>
      <c r="J831" t="s">
        <v>2703</v>
      </c>
      <c r="K831" t="s">
        <v>25</v>
      </c>
      <c r="L831">
        <v>26</v>
      </c>
      <c r="M831">
        <v>3</v>
      </c>
      <c r="N831">
        <v>20</v>
      </c>
      <c r="O831" t="s">
        <v>2224</v>
      </c>
      <c r="P831" t="s">
        <v>33</v>
      </c>
      <c r="Q831" t="s">
        <v>70</v>
      </c>
      <c r="R831" t="s">
        <v>43</v>
      </c>
      <c r="S831" t="s">
        <v>141</v>
      </c>
      <c r="T831">
        <v>4</v>
      </c>
      <c r="U831">
        <v>725.16</v>
      </c>
      <c r="V831">
        <v>1311.93</v>
      </c>
      <c r="W831">
        <v>1</v>
      </c>
      <c r="X831" t="s">
        <v>45</v>
      </c>
      <c r="Y831">
        <v>2024</v>
      </c>
    </row>
    <row r="832" spans="1:25" x14ac:dyDescent="0.3">
      <c r="A832" t="s">
        <v>2225</v>
      </c>
      <c r="B832" s="1">
        <v>45486</v>
      </c>
      <c r="C832" t="s">
        <v>2226</v>
      </c>
      <c r="D832" t="s">
        <v>2955</v>
      </c>
      <c r="E832" s="1">
        <v>45490</v>
      </c>
      <c r="F832" t="s">
        <v>29</v>
      </c>
      <c r="G832" t="s">
        <v>27</v>
      </c>
      <c r="H832" t="s">
        <v>28</v>
      </c>
      <c r="I832" t="s">
        <v>2623</v>
      </c>
      <c r="J832" t="s">
        <v>2696</v>
      </c>
      <c r="K832" t="s">
        <v>52</v>
      </c>
      <c r="L832">
        <v>62</v>
      </c>
      <c r="M832">
        <v>3</v>
      </c>
      <c r="N832">
        <v>5</v>
      </c>
      <c r="O832" t="s">
        <v>2227</v>
      </c>
      <c r="P832" t="s">
        <v>75</v>
      </c>
      <c r="Q832" t="s">
        <v>70</v>
      </c>
      <c r="R832" t="s">
        <v>62</v>
      </c>
      <c r="S832" t="s">
        <v>30</v>
      </c>
      <c r="T832">
        <v>3</v>
      </c>
      <c r="U832">
        <v>740.68</v>
      </c>
      <c r="V832">
        <v>1404.19</v>
      </c>
      <c r="W832">
        <v>4</v>
      </c>
      <c r="X832" t="s">
        <v>45</v>
      </c>
      <c r="Y832">
        <v>2024</v>
      </c>
    </row>
    <row r="833" spans="1:25" x14ac:dyDescent="0.3">
      <c r="A833" t="s">
        <v>2228</v>
      </c>
      <c r="B833" s="1">
        <v>45815</v>
      </c>
      <c r="C833" t="s">
        <v>2229</v>
      </c>
      <c r="D833" t="s">
        <v>2954</v>
      </c>
      <c r="E833" s="1">
        <v>45817</v>
      </c>
      <c r="F833" t="s">
        <v>56</v>
      </c>
      <c r="G833" t="s">
        <v>54</v>
      </c>
      <c r="H833" t="s">
        <v>55</v>
      </c>
      <c r="I833" t="s">
        <v>2623</v>
      </c>
      <c r="J833" t="s">
        <v>2696</v>
      </c>
      <c r="K833" t="s">
        <v>52</v>
      </c>
      <c r="L833">
        <v>28</v>
      </c>
      <c r="M833">
        <v>3</v>
      </c>
      <c r="N833">
        <v>15</v>
      </c>
      <c r="O833" t="s">
        <v>1460</v>
      </c>
      <c r="P833" t="s">
        <v>44</v>
      </c>
      <c r="Q833" t="s">
        <v>117</v>
      </c>
      <c r="R833" t="s">
        <v>71</v>
      </c>
      <c r="S833" t="s">
        <v>57</v>
      </c>
      <c r="T833">
        <v>2</v>
      </c>
      <c r="U833">
        <v>712.14</v>
      </c>
      <c r="V833">
        <v>1172.94</v>
      </c>
      <c r="W833">
        <v>2</v>
      </c>
      <c r="X833" t="s">
        <v>49</v>
      </c>
      <c r="Y833">
        <v>2025</v>
      </c>
    </row>
    <row r="834" spans="1:25" x14ac:dyDescent="0.3">
      <c r="A834" t="s">
        <v>2230</v>
      </c>
      <c r="B834" s="1">
        <v>45746</v>
      </c>
      <c r="C834" t="s">
        <v>225</v>
      </c>
      <c r="D834" t="s">
        <v>2953</v>
      </c>
      <c r="E834" s="1">
        <v>45749</v>
      </c>
      <c r="F834" t="s">
        <v>100</v>
      </c>
      <c r="G834" t="s">
        <v>98</v>
      </c>
      <c r="H834" t="s">
        <v>99</v>
      </c>
      <c r="I834" t="s">
        <v>2647</v>
      </c>
      <c r="J834" t="s">
        <v>2721</v>
      </c>
      <c r="K834" t="s">
        <v>52</v>
      </c>
      <c r="L834">
        <v>38</v>
      </c>
      <c r="M834">
        <v>3</v>
      </c>
      <c r="N834">
        <v>0</v>
      </c>
      <c r="O834" t="s">
        <v>2231</v>
      </c>
      <c r="P834" t="s">
        <v>75</v>
      </c>
      <c r="Q834" t="s">
        <v>58</v>
      </c>
      <c r="R834" t="s">
        <v>71</v>
      </c>
      <c r="S834" t="s">
        <v>101</v>
      </c>
      <c r="T834">
        <v>3</v>
      </c>
      <c r="U834">
        <v>393.08</v>
      </c>
      <c r="V834">
        <v>812.99</v>
      </c>
      <c r="W834">
        <v>3</v>
      </c>
      <c r="X834" t="s">
        <v>34</v>
      </c>
      <c r="Y834">
        <v>2025</v>
      </c>
    </row>
    <row r="835" spans="1:25" x14ac:dyDescent="0.3">
      <c r="A835" t="s">
        <v>2232</v>
      </c>
      <c r="B835" s="1">
        <v>45696</v>
      </c>
      <c r="C835" t="s">
        <v>2233</v>
      </c>
      <c r="D835" t="s">
        <v>2952</v>
      </c>
      <c r="E835" s="1">
        <v>45699</v>
      </c>
      <c r="F835" t="s">
        <v>40</v>
      </c>
      <c r="G835" t="s">
        <v>38</v>
      </c>
      <c r="H835" t="s">
        <v>39</v>
      </c>
      <c r="I835" t="s">
        <v>2625</v>
      </c>
      <c r="J835" t="s">
        <v>2703</v>
      </c>
      <c r="K835" t="s">
        <v>25</v>
      </c>
      <c r="L835">
        <v>24</v>
      </c>
      <c r="M835">
        <v>3</v>
      </c>
      <c r="N835">
        <v>30</v>
      </c>
      <c r="O835" t="s">
        <v>512</v>
      </c>
      <c r="P835" t="s">
        <v>33</v>
      </c>
      <c r="Q835" t="s">
        <v>42</v>
      </c>
      <c r="R835" t="s">
        <v>32</v>
      </c>
      <c r="S835" t="s">
        <v>41</v>
      </c>
      <c r="T835">
        <v>4</v>
      </c>
      <c r="U835">
        <v>960.6</v>
      </c>
      <c r="V835">
        <v>1193.2</v>
      </c>
      <c r="W835">
        <v>3</v>
      </c>
      <c r="X835" t="s">
        <v>34</v>
      </c>
      <c r="Y835">
        <v>2025</v>
      </c>
    </row>
    <row r="836" spans="1:25" x14ac:dyDescent="0.3">
      <c r="A836" t="s">
        <v>2234</v>
      </c>
      <c r="B836" s="1">
        <v>45495</v>
      </c>
      <c r="C836" t="s">
        <v>2235</v>
      </c>
      <c r="D836" t="s">
        <v>2951</v>
      </c>
      <c r="E836" s="1">
        <v>45496</v>
      </c>
      <c r="F836" t="s">
        <v>140</v>
      </c>
      <c r="G836" t="s">
        <v>38</v>
      </c>
      <c r="H836" t="s">
        <v>139</v>
      </c>
      <c r="I836" t="s">
        <v>2629</v>
      </c>
      <c r="J836" t="s">
        <v>2630</v>
      </c>
      <c r="K836" t="s">
        <v>25</v>
      </c>
      <c r="L836">
        <v>55</v>
      </c>
      <c r="M836">
        <v>5</v>
      </c>
      <c r="N836">
        <v>15</v>
      </c>
      <c r="O836" t="s">
        <v>350</v>
      </c>
      <c r="P836" t="s">
        <v>44</v>
      </c>
      <c r="Q836" t="s">
        <v>42</v>
      </c>
      <c r="R836" t="s">
        <v>62</v>
      </c>
      <c r="S836" t="s">
        <v>141</v>
      </c>
      <c r="T836">
        <v>5</v>
      </c>
      <c r="U836">
        <v>788.42</v>
      </c>
      <c r="V836">
        <v>2814.03</v>
      </c>
      <c r="W836">
        <v>1</v>
      </c>
      <c r="X836" t="s">
        <v>45</v>
      </c>
      <c r="Y836">
        <v>2024</v>
      </c>
    </row>
    <row r="837" spans="1:25" x14ac:dyDescent="0.3">
      <c r="A837" t="s">
        <v>2236</v>
      </c>
      <c r="B837" s="1">
        <v>45787</v>
      </c>
      <c r="C837" t="s">
        <v>796</v>
      </c>
      <c r="D837" t="s">
        <v>2950</v>
      </c>
      <c r="E837" s="1">
        <v>45793</v>
      </c>
      <c r="F837" t="s">
        <v>68</v>
      </c>
      <c r="G837" t="s">
        <v>66</v>
      </c>
      <c r="H837" t="s">
        <v>67</v>
      </c>
      <c r="I837" t="s">
        <v>2679</v>
      </c>
      <c r="J837" t="s">
        <v>2707</v>
      </c>
      <c r="K837" t="s">
        <v>25</v>
      </c>
      <c r="L837">
        <v>42</v>
      </c>
      <c r="M837">
        <v>3</v>
      </c>
      <c r="N837">
        <v>15</v>
      </c>
      <c r="O837" t="s">
        <v>2237</v>
      </c>
      <c r="P837" t="s">
        <v>33</v>
      </c>
      <c r="Q837" t="s">
        <v>117</v>
      </c>
      <c r="R837" t="s">
        <v>71</v>
      </c>
      <c r="S837" t="s">
        <v>69</v>
      </c>
      <c r="T837">
        <v>3</v>
      </c>
      <c r="U837">
        <v>816.34</v>
      </c>
      <c r="V837">
        <v>1476.6</v>
      </c>
      <c r="W837">
        <v>6</v>
      </c>
      <c r="X837" t="s">
        <v>49</v>
      </c>
      <c r="Y837">
        <v>2025</v>
      </c>
    </row>
    <row r="838" spans="1:25" x14ac:dyDescent="0.3">
      <c r="A838" t="s">
        <v>2238</v>
      </c>
      <c r="B838" s="1">
        <v>46121</v>
      </c>
      <c r="C838" t="s">
        <v>2239</v>
      </c>
      <c r="D838" t="s">
        <v>2949</v>
      </c>
      <c r="E838" s="1">
        <v>46124</v>
      </c>
      <c r="F838" t="s">
        <v>29</v>
      </c>
      <c r="G838" t="s">
        <v>27</v>
      </c>
      <c r="H838" t="s">
        <v>28</v>
      </c>
      <c r="I838" t="s">
        <v>2634</v>
      </c>
      <c r="J838" t="s">
        <v>2650</v>
      </c>
      <c r="K838" t="s">
        <v>52</v>
      </c>
      <c r="L838">
        <v>57</v>
      </c>
      <c r="M838">
        <v>3</v>
      </c>
      <c r="N838">
        <v>25</v>
      </c>
      <c r="O838" t="s">
        <v>2216</v>
      </c>
      <c r="P838" t="s">
        <v>75</v>
      </c>
      <c r="Q838" t="s">
        <v>58</v>
      </c>
      <c r="R838" t="s">
        <v>43</v>
      </c>
      <c r="S838" t="s">
        <v>30</v>
      </c>
      <c r="T838">
        <v>2</v>
      </c>
      <c r="U838">
        <v>626.71</v>
      </c>
      <c r="V838">
        <v>756.38</v>
      </c>
      <c r="W838">
        <v>3</v>
      </c>
      <c r="X838" t="s">
        <v>49</v>
      </c>
      <c r="Y838">
        <v>2026</v>
      </c>
    </row>
    <row r="839" spans="1:25" x14ac:dyDescent="0.3">
      <c r="A839" t="s">
        <v>2240</v>
      </c>
      <c r="B839" s="1">
        <v>46102</v>
      </c>
      <c r="C839" t="s">
        <v>2241</v>
      </c>
      <c r="D839" t="s">
        <v>2948</v>
      </c>
      <c r="E839" s="1">
        <v>46103</v>
      </c>
      <c r="F839" t="s">
        <v>56</v>
      </c>
      <c r="G839" t="s">
        <v>54</v>
      </c>
      <c r="H839" t="s">
        <v>55</v>
      </c>
      <c r="I839" t="s">
        <v>2625</v>
      </c>
      <c r="J839" t="s">
        <v>2703</v>
      </c>
      <c r="K839" t="s">
        <v>52</v>
      </c>
      <c r="L839">
        <v>58</v>
      </c>
      <c r="M839">
        <v>1</v>
      </c>
      <c r="N839">
        <v>15</v>
      </c>
      <c r="O839" t="s">
        <v>613</v>
      </c>
      <c r="P839" t="s">
        <v>33</v>
      </c>
      <c r="Q839" t="s">
        <v>70</v>
      </c>
      <c r="R839" t="s">
        <v>71</v>
      </c>
      <c r="S839" t="s">
        <v>57</v>
      </c>
      <c r="T839">
        <v>5</v>
      </c>
      <c r="U839">
        <v>48.22</v>
      </c>
      <c r="V839">
        <v>23.83</v>
      </c>
      <c r="W839">
        <v>1</v>
      </c>
      <c r="X839" t="s">
        <v>34</v>
      </c>
      <c r="Y839">
        <v>2026</v>
      </c>
    </row>
    <row r="840" spans="1:25" x14ac:dyDescent="0.3">
      <c r="A840" t="s">
        <v>2242</v>
      </c>
      <c r="B840" s="1">
        <v>46072</v>
      </c>
      <c r="C840" t="s">
        <v>2243</v>
      </c>
      <c r="D840" t="s">
        <v>2947</v>
      </c>
      <c r="E840" s="1">
        <v>46076</v>
      </c>
      <c r="F840" t="s">
        <v>40</v>
      </c>
      <c r="G840" t="s">
        <v>38</v>
      </c>
      <c r="H840" t="s">
        <v>39</v>
      </c>
      <c r="I840" t="s">
        <v>2641</v>
      </c>
      <c r="J840" t="s">
        <v>2642</v>
      </c>
      <c r="K840" t="s">
        <v>25</v>
      </c>
      <c r="L840">
        <v>41</v>
      </c>
      <c r="M840">
        <v>2</v>
      </c>
      <c r="N840">
        <v>5</v>
      </c>
      <c r="O840" t="s">
        <v>540</v>
      </c>
      <c r="P840" t="s">
        <v>44</v>
      </c>
      <c r="Q840" t="s">
        <v>117</v>
      </c>
      <c r="R840" t="s">
        <v>62</v>
      </c>
      <c r="S840" t="s">
        <v>41</v>
      </c>
      <c r="T840">
        <v>2</v>
      </c>
      <c r="U840">
        <v>562.91</v>
      </c>
      <c r="V840">
        <v>889.06</v>
      </c>
      <c r="W840">
        <v>4</v>
      </c>
      <c r="X840" t="s">
        <v>34</v>
      </c>
      <c r="Y840">
        <v>2026</v>
      </c>
    </row>
    <row r="841" spans="1:25" x14ac:dyDescent="0.3">
      <c r="A841" t="s">
        <v>2244</v>
      </c>
      <c r="B841" s="1">
        <v>45638</v>
      </c>
      <c r="C841" t="s">
        <v>2143</v>
      </c>
      <c r="D841" t="s">
        <v>2946</v>
      </c>
      <c r="E841" s="1">
        <v>45641</v>
      </c>
      <c r="F841" t="s">
        <v>40</v>
      </c>
      <c r="G841" t="s">
        <v>38</v>
      </c>
      <c r="H841" t="s">
        <v>39</v>
      </c>
      <c r="I841" t="s">
        <v>2625</v>
      </c>
      <c r="J841" t="s">
        <v>2703</v>
      </c>
      <c r="K841" t="s">
        <v>52</v>
      </c>
      <c r="L841">
        <v>48</v>
      </c>
      <c r="M841">
        <v>4</v>
      </c>
      <c r="N841">
        <v>10</v>
      </c>
      <c r="O841" t="s">
        <v>2245</v>
      </c>
      <c r="P841" t="s">
        <v>44</v>
      </c>
      <c r="Q841" t="s">
        <v>42</v>
      </c>
      <c r="R841" t="s">
        <v>62</v>
      </c>
      <c r="S841" t="s">
        <v>41</v>
      </c>
      <c r="T841">
        <v>2</v>
      </c>
      <c r="U841">
        <v>62.54</v>
      </c>
      <c r="V841">
        <v>136.88999999999999</v>
      </c>
      <c r="W841">
        <v>3</v>
      </c>
      <c r="X841" t="s">
        <v>94</v>
      </c>
      <c r="Y841">
        <v>2024</v>
      </c>
    </row>
    <row r="842" spans="1:25" x14ac:dyDescent="0.3">
      <c r="A842" t="s">
        <v>2246</v>
      </c>
      <c r="B842" s="1">
        <v>45495</v>
      </c>
      <c r="C842" t="s">
        <v>2247</v>
      </c>
      <c r="D842" t="s">
        <v>2945</v>
      </c>
      <c r="E842" s="1">
        <v>45501</v>
      </c>
      <c r="F842" t="s">
        <v>29</v>
      </c>
      <c r="G842" t="s">
        <v>27</v>
      </c>
      <c r="H842" t="s">
        <v>28</v>
      </c>
      <c r="I842" t="s">
        <v>2623</v>
      </c>
      <c r="J842" t="s">
        <v>2624</v>
      </c>
      <c r="K842" t="s">
        <v>25</v>
      </c>
      <c r="L842">
        <v>57</v>
      </c>
      <c r="M842">
        <v>1</v>
      </c>
      <c r="N842">
        <v>20</v>
      </c>
      <c r="O842" t="s">
        <v>2248</v>
      </c>
      <c r="P842" t="s">
        <v>44</v>
      </c>
      <c r="Q842" t="s">
        <v>42</v>
      </c>
      <c r="R842" t="s">
        <v>71</v>
      </c>
      <c r="S842" t="s">
        <v>30</v>
      </c>
      <c r="T842">
        <v>5</v>
      </c>
      <c r="U842">
        <v>736.79</v>
      </c>
      <c r="V842">
        <v>356.69</v>
      </c>
      <c r="W842">
        <v>6</v>
      </c>
      <c r="X842" t="s">
        <v>45</v>
      </c>
      <c r="Y842">
        <v>2024</v>
      </c>
    </row>
    <row r="843" spans="1:25" x14ac:dyDescent="0.3">
      <c r="A843" t="s">
        <v>2249</v>
      </c>
      <c r="B843" s="1">
        <v>45843</v>
      </c>
      <c r="C843" t="s">
        <v>2250</v>
      </c>
      <c r="D843" t="s">
        <v>2944</v>
      </c>
      <c r="E843" s="1">
        <v>45847</v>
      </c>
      <c r="F843" t="s">
        <v>29</v>
      </c>
      <c r="G843" t="s">
        <v>27</v>
      </c>
      <c r="H843" t="s">
        <v>28</v>
      </c>
      <c r="I843" t="s">
        <v>2623</v>
      </c>
      <c r="J843" t="s">
        <v>2691</v>
      </c>
      <c r="K843" t="s">
        <v>52</v>
      </c>
      <c r="L843">
        <v>60</v>
      </c>
      <c r="M843">
        <v>1</v>
      </c>
      <c r="N843">
        <v>0</v>
      </c>
      <c r="O843" t="s">
        <v>698</v>
      </c>
      <c r="P843" t="s">
        <v>44</v>
      </c>
      <c r="Q843" t="s">
        <v>58</v>
      </c>
      <c r="R843" t="s">
        <v>62</v>
      </c>
      <c r="S843" t="s">
        <v>30</v>
      </c>
      <c r="T843">
        <v>3</v>
      </c>
      <c r="U843">
        <v>250.52</v>
      </c>
      <c r="V843">
        <v>143.87</v>
      </c>
      <c r="W843">
        <v>4</v>
      </c>
      <c r="X843" t="s">
        <v>45</v>
      </c>
      <c r="Y843">
        <v>2025</v>
      </c>
    </row>
    <row r="844" spans="1:25" x14ac:dyDescent="0.3">
      <c r="A844" t="s">
        <v>2251</v>
      </c>
      <c r="B844" s="1">
        <v>46134</v>
      </c>
      <c r="C844" t="s">
        <v>2252</v>
      </c>
      <c r="D844" t="s">
        <v>2943</v>
      </c>
      <c r="E844" s="1">
        <v>46141</v>
      </c>
      <c r="F844" t="s">
        <v>29</v>
      </c>
      <c r="G844" t="s">
        <v>27</v>
      </c>
      <c r="H844" t="s">
        <v>28</v>
      </c>
      <c r="I844" t="s">
        <v>2675</v>
      </c>
      <c r="J844" t="s">
        <v>2699</v>
      </c>
      <c r="K844" t="s">
        <v>25</v>
      </c>
      <c r="L844">
        <v>54</v>
      </c>
      <c r="M844">
        <v>2</v>
      </c>
      <c r="N844">
        <v>25</v>
      </c>
      <c r="O844" t="s">
        <v>1897</v>
      </c>
      <c r="P844" t="s">
        <v>33</v>
      </c>
      <c r="Q844" t="s">
        <v>58</v>
      </c>
      <c r="R844" t="s">
        <v>62</v>
      </c>
      <c r="S844" t="s">
        <v>30</v>
      </c>
      <c r="T844">
        <v>3</v>
      </c>
      <c r="U844">
        <v>675.13</v>
      </c>
      <c r="V844">
        <v>544.86</v>
      </c>
      <c r="W844">
        <v>7</v>
      </c>
      <c r="X844" t="s">
        <v>49</v>
      </c>
      <c r="Y844">
        <v>2026</v>
      </c>
    </row>
    <row r="845" spans="1:25" x14ac:dyDescent="0.3">
      <c r="A845" t="s">
        <v>2253</v>
      </c>
      <c r="B845" s="1">
        <v>46087</v>
      </c>
      <c r="C845" t="s">
        <v>2254</v>
      </c>
      <c r="D845" t="s">
        <v>2942</v>
      </c>
      <c r="E845" s="1">
        <v>46092</v>
      </c>
      <c r="F845" t="s">
        <v>140</v>
      </c>
      <c r="G845" t="s">
        <v>38</v>
      </c>
      <c r="H845" t="s">
        <v>139</v>
      </c>
      <c r="I845" t="s">
        <v>2634</v>
      </c>
      <c r="J845" t="s">
        <v>2714</v>
      </c>
      <c r="K845" t="s">
        <v>25</v>
      </c>
      <c r="L845">
        <v>24</v>
      </c>
      <c r="M845">
        <v>5</v>
      </c>
      <c r="N845">
        <v>20</v>
      </c>
      <c r="O845" t="s">
        <v>316</v>
      </c>
      <c r="P845" t="s">
        <v>44</v>
      </c>
      <c r="Q845" t="s">
        <v>70</v>
      </c>
      <c r="R845" t="s">
        <v>32</v>
      </c>
      <c r="S845" t="s">
        <v>141</v>
      </c>
      <c r="T845">
        <v>2</v>
      </c>
      <c r="U845">
        <v>970.76</v>
      </c>
      <c r="V845">
        <v>1989.74</v>
      </c>
      <c r="W845">
        <v>5</v>
      </c>
      <c r="X845" t="s">
        <v>34</v>
      </c>
      <c r="Y845">
        <v>2026</v>
      </c>
    </row>
    <row r="846" spans="1:25" x14ac:dyDescent="0.3">
      <c r="A846" t="s">
        <v>2255</v>
      </c>
      <c r="B846" s="1">
        <v>45671</v>
      </c>
      <c r="C846" t="s">
        <v>2256</v>
      </c>
      <c r="D846" t="s">
        <v>2941</v>
      </c>
      <c r="E846" s="1">
        <v>45673</v>
      </c>
      <c r="F846" t="s">
        <v>140</v>
      </c>
      <c r="G846" t="s">
        <v>38</v>
      </c>
      <c r="H846" t="s">
        <v>139</v>
      </c>
      <c r="I846" t="s">
        <v>2634</v>
      </c>
      <c r="J846" t="s">
        <v>2644</v>
      </c>
      <c r="K846" t="s">
        <v>25</v>
      </c>
      <c r="L846">
        <v>45</v>
      </c>
      <c r="M846">
        <v>1</v>
      </c>
      <c r="N846">
        <v>20</v>
      </c>
      <c r="O846" t="s">
        <v>2257</v>
      </c>
      <c r="P846" t="s">
        <v>33</v>
      </c>
      <c r="Q846" t="s">
        <v>31</v>
      </c>
      <c r="R846" t="s">
        <v>71</v>
      </c>
      <c r="S846" t="s">
        <v>141</v>
      </c>
      <c r="T846">
        <v>2</v>
      </c>
      <c r="U846">
        <v>571.15</v>
      </c>
      <c r="V846">
        <v>236.83</v>
      </c>
      <c r="W846">
        <v>2</v>
      </c>
      <c r="X846" t="s">
        <v>34</v>
      </c>
      <c r="Y846">
        <v>2025</v>
      </c>
    </row>
    <row r="847" spans="1:25" x14ac:dyDescent="0.3">
      <c r="A847" t="s">
        <v>2258</v>
      </c>
      <c r="B847" s="1">
        <v>46074</v>
      </c>
      <c r="C847" t="s">
        <v>2259</v>
      </c>
      <c r="D847" t="s">
        <v>2940</v>
      </c>
      <c r="E847" s="1">
        <v>46076</v>
      </c>
      <c r="F847" t="s">
        <v>122</v>
      </c>
      <c r="G847" t="s">
        <v>120</v>
      </c>
      <c r="H847" t="s">
        <v>121</v>
      </c>
      <c r="I847" t="s">
        <v>2625</v>
      </c>
      <c r="J847" t="s">
        <v>2651</v>
      </c>
      <c r="K847" t="s">
        <v>52</v>
      </c>
      <c r="L847">
        <v>47</v>
      </c>
      <c r="M847">
        <v>3</v>
      </c>
      <c r="N847">
        <v>5</v>
      </c>
      <c r="O847" t="s">
        <v>980</v>
      </c>
      <c r="P847" t="s">
        <v>75</v>
      </c>
      <c r="Q847" t="s">
        <v>70</v>
      </c>
      <c r="R847" t="s">
        <v>32</v>
      </c>
      <c r="S847" t="s">
        <v>123</v>
      </c>
      <c r="T847">
        <v>3</v>
      </c>
      <c r="U847">
        <v>391.14</v>
      </c>
      <c r="V847">
        <v>847.48</v>
      </c>
      <c r="W847">
        <v>2</v>
      </c>
      <c r="X847" t="s">
        <v>34</v>
      </c>
      <c r="Y847">
        <v>2026</v>
      </c>
    </row>
    <row r="848" spans="1:25" x14ac:dyDescent="0.3">
      <c r="A848" t="s">
        <v>2260</v>
      </c>
      <c r="B848" s="1">
        <v>45978</v>
      </c>
      <c r="C848" t="s">
        <v>1067</v>
      </c>
      <c r="D848" t="s">
        <v>2939</v>
      </c>
      <c r="E848" s="1">
        <v>45982</v>
      </c>
      <c r="F848" t="s">
        <v>122</v>
      </c>
      <c r="G848" t="s">
        <v>120</v>
      </c>
      <c r="H848" t="s">
        <v>121</v>
      </c>
      <c r="I848" t="s">
        <v>2634</v>
      </c>
      <c r="J848" t="s">
        <v>2644</v>
      </c>
      <c r="K848" t="s">
        <v>52</v>
      </c>
      <c r="L848">
        <v>43</v>
      </c>
      <c r="M848">
        <v>5</v>
      </c>
      <c r="N848">
        <v>0</v>
      </c>
      <c r="O848" t="s">
        <v>2261</v>
      </c>
      <c r="P848" t="s">
        <v>33</v>
      </c>
      <c r="Q848" t="s">
        <v>70</v>
      </c>
      <c r="R848" t="s">
        <v>32</v>
      </c>
      <c r="S848" t="s">
        <v>123</v>
      </c>
      <c r="T848">
        <v>2</v>
      </c>
      <c r="U848">
        <v>124.79</v>
      </c>
      <c r="V848">
        <v>345.12</v>
      </c>
      <c r="W848">
        <v>4</v>
      </c>
      <c r="X848" t="s">
        <v>94</v>
      </c>
      <c r="Y848">
        <v>2025</v>
      </c>
    </row>
    <row r="849" spans="1:25" x14ac:dyDescent="0.3">
      <c r="A849" t="s">
        <v>2262</v>
      </c>
      <c r="B849" s="1">
        <v>45753</v>
      </c>
      <c r="C849" t="s">
        <v>2263</v>
      </c>
      <c r="D849" t="s">
        <v>2938</v>
      </c>
      <c r="E849" s="1">
        <v>45759</v>
      </c>
      <c r="F849" t="s">
        <v>56</v>
      </c>
      <c r="G849" t="s">
        <v>54</v>
      </c>
      <c r="H849" t="s">
        <v>55</v>
      </c>
      <c r="I849" t="s">
        <v>2668</v>
      </c>
      <c r="J849" t="s">
        <v>2682</v>
      </c>
      <c r="K849" t="s">
        <v>52</v>
      </c>
      <c r="L849">
        <v>28</v>
      </c>
      <c r="M849">
        <v>4</v>
      </c>
      <c r="N849">
        <v>10</v>
      </c>
      <c r="O849" t="s">
        <v>613</v>
      </c>
      <c r="P849" t="s">
        <v>33</v>
      </c>
      <c r="Q849" t="s">
        <v>58</v>
      </c>
      <c r="R849" t="s">
        <v>62</v>
      </c>
      <c r="S849" t="s">
        <v>57</v>
      </c>
      <c r="T849">
        <v>1</v>
      </c>
      <c r="U849">
        <v>484.61</v>
      </c>
      <c r="V849">
        <v>984.07</v>
      </c>
      <c r="W849">
        <v>6</v>
      </c>
      <c r="X849" t="s">
        <v>49</v>
      </c>
      <c r="Y849">
        <v>2025</v>
      </c>
    </row>
    <row r="850" spans="1:25" x14ac:dyDescent="0.3">
      <c r="A850" t="s">
        <v>2264</v>
      </c>
      <c r="B850" s="1">
        <v>45825</v>
      </c>
      <c r="C850" t="s">
        <v>2265</v>
      </c>
      <c r="D850" t="s">
        <v>2937</v>
      </c>
      <c r="E850" s="1">
        <v>45832</v>
      </c>
      <c r="F850" t="s">
        <v>56</v>
      </c>
      <c r="G850" t="s">
        <v>54</v>
      </c>
      <c r="H850" t="s">
        <v>55</v>
      </c>
      <c r="I850" t="s">
        <v>2629</v>
      </c>
      <c r="J850" t="s">
        <v>2709</v>
      </c>
      <c r="K850" t="s">
        <v>52</v>
      </c>
      <c r="L850">
        <v>64</v>
      </c>
      <c r="M850">
        <v>1</v>
      </c>
      <c r="N850">
        <v>25</v>
      </c>
      <c r="O850" t="s">
        <v>2266</v>
      </c>
      <c r="P850" t="s">
        <v>75</v>
      </c>
      <c r="Q850" t="s">
        <v>58</v>
      </c>
      <c r="R850" t="s">
        <v>71</v>
      </c>
      <c r="S850" t="s">
        <v>57</v>
      </c>
      <c r="T850">
        <v>3</v>
      </c>
      <c r="U850">
        <v>253.2</v>
      </c>
      <c r="V850">
        <v>125.5</v>
      </c>
      <c r="W850">
        <v>7</v>
      </c>
      <c r="X850" t="s">
        <v>49</v>
      </c>
      <c r="Y850">
        <v>2025</v>
      </c>
    </row>
    <row r="851" spans="1:25" x14ac:dyDescent="0.3">
      <c r="A851" t="s">
        <v>2267</v>
      </c>
      <c r="B851" s="1">
        <v>45935</v>
      </c>
      <c r="C851" t="s">
        <v>2268</v>
      </c>
      <c r="D851" t="s">
        <v>2936</v>
      </c>
      <c r="E851" s="1">
        <v>45940</v>
      </c>
      <c r="F851" t="s">
        <v>68</v>
      </c>
      <c r="G851" t="s">
        <v>66</v>
      </c>
      <c r="H851" t="s">
        <v>67</v>
      </c>
      <c r="I851" t="s">
        <v>2656</v>
      </c>
      <c r="J851" t="s">
        <v>2657</v>
      </c>
      <c r="K851" t="s">
        <v>52</v>
      </c>
      <c r="L851">
        <v>23</v>
      </c>
      <c r="M851">
        <v>4</v>
      </c>
      <c r="N851">
        <v>5</v>
      </c>
      <c r="O851" t="s">
        <v>1528</v>
      </c>
      <c r="P851" t="s">
        <v>44</v>
      </c>
      <c r="Q851" t="s">
        <v>58</v>
      </c>
      <c r="R851" t="s">
        <v>71</v>
      </c>
      <c r="S851" t="s">
        <v>69</v>
      </c>
      <c r="T851">
        <v>3</v>
      </c>
      <c r="U851">
        <v>880.81</v>
      </c>
      <c r="V851">
        <v>2666.82</v>
      </c>
      <c r="W851">
        <v>5</v>
      </c>
      <c r="X851" t="s">
        <v>94</v>
      </c>
      <c r="Y851">
        <v>2025</v>
      </c>
    </row>
    <row r="852" spans="1:25" x14ac:dyDescent="0.3">
      <c r="A852" t="s">
        <v>2269</v>
      </c>
      <c r="B852" s="1">
        <v>46093</v>
      </c>
      <c r="C852" t="s">
        <v>2270</v>
      </c>
      <c r="D852" t="s">
        <v>2935</v>
      </c>
      <c r="E852" s="1">
        <v>46100</v>
      </c>
      <c r="F852" t="s">
        <v>56</v>
      </c>
      <c r="G852" t="s">
        <v>54</v>
      </c>
      <c r="H852" t="s">
        <v>55</v>
      </c>
      <c r="I852" t="s">
        <v>2672</v>
      </c>
      <c r="J852" t="s">
        <v>2690</v>
      </c>
      <c r="K852" t="s">
        <v>25</v>
      </c>
      <c r="L852">
        <v>50</v>
      </c>
      <c r="M852">
        <v>4</v>
      </c>
      <c r="N852">
        <v>30</v>
      </c>
      <c r="O852" t="s">
        <v>2271</v>
      </c>
      <c r="P852" t="s">
        <v>44</v>
      </c>
      <c r="Q852" t="s">
        <v>31</v>
      </c>
      <c r="R852" t="s">
        <v>43</v>
      </c>
      <c r="S852" t="s">
        <v>57</v>
      </c>
      <c r="T852">
        <v>4</v>
      </c>
      <c r="U852">
        <v>303.17</v>
      </c>
      <c r="V852">
        <v>640.20000000000005</v>
      </c>
      <c r="W852">
        <v>7</v>
      </c>
      <c r="X852" t="s">
        <v>34</v>
      </c>
      <c r="Y852">
        <v>2026</v>
      </c>
    </row>
    <row r="853" spans="1:25" x14ac:dyDescent="0.3">
      <c r="A853" t="s">
        <v>2272</v>
      </c>
      <c r="B853" s="1">
        <v>46017</v>
      </c>
      <c r="C853" t="s">
        <v>2273</v>
      </c>
      <c r="D853" t="s">
        <v>2934</v>
      </c>
      <c r="E853" s="1">
        <v>46024</v>
      </c>
      <c r="F853" t="s">
        <v>40</v>
      </c>
      <c r="G853" t="s">
        <v>38</v>
      </c>
      <c r="H853" t="s">
        <v>39</v>
      </c>
      <c r="I853" t="s">
        <v>2654</v>
      </c>
      <c r="J853" t="s">
        <v>2684</v>
      </c>
      <c r="K853" t="s">
        <v>25</v>
      </c>
      <c r="L853">
        <v>50</v>
      </c>
      <c r="M853">
        <v>3</v>
      </c>
      <c r="N853">
        <v>0</v>
      </c>
      <c r="O853" t="s">
        <v>2274</v>
      </c>
      <c r="P853" t="s">
        <v>33</v>
      </c>
      <c r="Q853" t="s">
        <v>42</v>
      </c>
      <c r="R853" t="s">
        <v>62</v>
      </c>
      <c r="S853" t="s">
        <v>41</v>
      </c>
      <c r="T853">
        <v>2</v>
      </c>
      <c r="U853">
        <v>769.53</v>
      </c>
      <c r="V853">
        <v>1265.69</v>
      </c>
      <c r="W853">
        <v>7</v>
      </c>
      <c r="X853" t="s">
        <v>94</v>
      </c>
      <c r="Y853">
        <v>2025</v>
      </c>
    </row>
    <row r="854" spans="1:25" x14ac:dyDescent="0.3">
      <c r="A854" t="s">
        <v>2275</v>
      </c>
      <c r="B854" s="1">
        <v>45383</v>
      </c>
      <c r="C854" t="s">
        <v>2276</v>
      </c>
      <c r="D854" t="s">
        <v>2933</v>
      </c>
      <c r="E854" s="1">
        <v>45387</v>
      </c>
      <c r="F854" t="s">
        <v>122</v>
      </c>
      <c r="G854" t="s">
        <v>120</v>
      </c>
      <c r="H854" t="s">
        <v>121</v>
      </c>
      <c r="I854" t="s">
        <v>2625</v>
      </c>
      <c r="J854" t="s">
        <v>2626</v>
      </c>
      <c r="K854" t="s">
        <v>25</v>
      </c>
      <c r="L854">
        <v>59</v>
      </c>
      <c r="M854">
        <v>1</v>
      </c>
      <c r="N854">
        <v>30</v>
      </c>
      <c r="O854" t="s">
        <v>1093</v>
      </c>
      <c r="P854" t="s">
        <v>75</v>
      </c>
      <c r="Q854" t="s">
        <v>117</v>
      </c>
      <c r="R854" t="s">
        <v>43</v>
      </c>
      <c r="S854" t="s">
        <v>123</v>
      </c>
      <c r="T854">
        <v>4</v>
      </c>
      <c r="U854">
        <v>129.47</v>
      </c>
      <c r="V854">
        <v>72.36</v>
      </c>
      <c r="W854">
        <v>4</v>
      </c>
      <c r="X854" t="s">
        <v>49</v>
      </c>
      <c r="Y854">
        <v>2024</v>
      </c>
    </row>
    <row r="855" spans="1:25" x14ac:dyDescent="0.3">
      <c r="A855" t="s">
        <v>2277</v>
      </c>
      <c r="B855" s="1">
        <v>45744</v>
      </c>
      <c r="C855" t="s">
        <v>2278</v>
      </c>
      <c r="D855" t="s">
        <v>2932</v>
      </c>
      <c r="E855" s="1">
        <v>45748</v>
      </c>
      <c r="F855" t="s">
        <v>100</v>
      </c>
      <c r="G855" t="s">
        <v>98</v>
      </c>
      <c r="H855" t="s">
        <v>99</v>
      </c>
      <c r="I855" t="s">
        <v>2623</v>
      </c>
      <c r="J855" t="s">
        <v>2691</v>
      </c>
      <c r="K855" t="s">
        <v>52</v>
      </c>
      <c r="L855">
        <v>56</v>
      </c>
      <c r="M855">
        <v>2</v>
      </c>
      <c r="N855">
        <v>25</v>
      </c>
      <c r="O855" t="s">
        <v>359</v>
      </c>
      <c r="P855" t="s">
        <v>75</v>
      </c>
      <c r="Q855" t="s">
        <v>70</v>
      </c>
      <c r="R855" t="s">
        <v>32</v>
      </c>
      <c r="S855" t="s">
        <v>101</v>
      </c>
      <c r="T855">
        <v>3</v>
      </c>
      <c r="U855">
        <v>632.55999999999995</v>
      </c>
      <c r="V855">
        <v>712.9</v>
      </c>
      <c r="W855">
        <v>4</v>
      </c>
      <c r="X855" t="s">
        <v>34</v>
      </c>
      <c r="Y855">
        <v>2025</v>
      </c>
    </row>
    <row r="856" spans="1:25" x14ac:dyDescent="0.3">
      <c r="A856" t="s">
        <v>2279</v>
      </c>
      <c r="B856" s="1">
        <v>45612</v>
      </c>
      <c r="C856" t="s">
        <v>2280</v>
      </c>
      <c r="D856" t="s">
        <v>2931</v>
      </c>
      <c r="E856" s="1">
        <v>45614</v>
      </c>
      <c r="F856" t="s">
        <v>128</v>
      </c>
      <c r="G856" t="s">
        <v>98</v>
      </c>
      <c r="H856" t="s">
        <v>127</v>
      </c>
      <c r="I856" t="s">
        <v>2652</v>
      </c>
      <c r="J856" t="s">
        <v>2706</v>
      </c>
      <c r="K856" t="s">
        <v>25</v>
      </c>
      <c r="L856">
        <v>41</v>
      </c>
      <c r="M856">
        <v>2</v>
      </c>
      <c r="N856">
        <v>15</v>
      </c>
      <c r="O856" t="s">
        <v>2281</v>
      </c>
      <c r="P856" t="s">
        <v>33</v>
      </c>
      <c r="Q856" t="s">
        <v>42</v>
      </c>
      <c r="R856" t="s">
        <v>62</v>
      </c>
      <c r="S856" t="s">
        <v>129</v>
      </c>
      <c r="T856">
        <v>5</v>
      </c>
      <c r="U856">
        <v>849.02</v>
      </c>
      <c r="V856">
        <v>1027.22</v>
      </c>
      <c r="W856">
        <v>2</v>
      </c>
      <c r="X856" t="s">
        <v>94</v>
      </c>
      <c r="Y856">
        <v>2024</v>
      </c>
    </row>
    <row r="857" spans="1:25" x14ac:dyDescent="0.3">
      <c r="A857" t="s">
        <v>2282</v>
      </c>
      <c r="B857" s="1">
        <v>45781</v>
      </c>
      <c r="C857" t="s">
        <v>2283</v>
      </c>
      <c r="D857" t="s">
        <v>2930</v>
      </c>
      <c r="E857" s="1">
        <v>45788</v>
      </c>
      <c r="F857" t="s">
        <v>140</v>
      </c>
      <c r="G857" t="s">
        <v>38</v>
      </c>
      <c r="H857" t="s">
        <v>139</v>
      </c>
      <c r="I857" t="s">
        <v>2637</v>
      </c>
      <c r="J857" t="s">
        <v>2649</v>
      </c>
      <c r="K857" t="s">
        <v>25</v>
      </c>
      <c r="L857">
        <v>27</v>
      </c>
      <c r="M857">
        <v>5</v>
      </c>
      <c r="N857">
        <v>15</v>
      </c>
      <c r="O857" t="s">
        <v>2045</v>
      </c>
      <c r="P857" t="s">
        <v>75</v>
      </c>
      <c r="Q857" t="s">
        <v>31</v>
      </c>
      <c r="R857" t="s">
        <v>32</v>
      </c>
      <c r="S857" t="s">
        <v>141</v>
      </c>
      <c r="T857">
        <v>3</v>
      </c>
      <c r="U857">
        <v>258.74</v>
      </c>
      <c r="V857">
        <v>760.35</v>
      </c>
      <c r="W857">
        <v>7</v>
      </c>
      <c r="X857" t="s">
        <v>49</v>
      </c>
      <c r="Y857">
        <v>2025</v>
      </c>
    </row>
    <row r="858" spans="1:25" x14ac:dyDescent="0.3">
      <c r="A858" t="s">
        <v>2284</v>
      </c>
      <c r="B858" s="1">
        <v>46158</v>
      </c>
      <c r="C858" t="s">
        <v>2285</v>
      </c>
      <c r="D858" t="s">
        <v>2929</v>
      </c>
      <c r="E858" s="1">
        <v>46159</v>
      </c>
      <c r="F858" t="s">
        <v>122</v>
      </c>
      <c r="G858" t="s">
        <v>120</v>
      </c>
      <c r="H858" t="s">
        <v>121</v>
      </c>
      <c r="I858" t="s">
        <v>2668</v>
      </c>
      <c r="J858" t="s">
        <v>2682</v>
      </c>
      <c r="K858" t="s">
        <v>25</v>
      </c>
      <c r="L858">
        <v>26</v>
      </c>
      <c r="M858">
        <v>2</v>
      </c>
      <c r="N858">
        <v>20</v>
      </c>
      <c r="O858" t="s">
        <v>2286</v>
      </c>
      <c r="P858" t="s">
        <v>75</v>
      </c>
      <c r="Q858" t="s">
        <v>31</v>
      </c>
      <c r="R858" t="s">
        <v>43</v>
      </c>
      <c r="S858" t="s">
        <v>123</v>
      </c>
      <c r="T858">
        <v>2</v>
      </c>
      <c r="U858">
        <v>882.36</v>
      </c>
      <c r="V858">
        <v>961.12</v>
      </c>
      <c r="W858">
        <v>1</v>
      </c>
      <c r="X858" t="s">
        <v>49</v>
      </c>
      <c r="Y858">
        <v>2026</v>
      </c>
    </row>
    <row r="859" spans="1:25" x14ac:dyDescent="0.3">
      <c r="A859" t="s">
        <v>2287</v>
      </c>
      <c r="B859" s="1">
        <v>46006</v>
      </c>
      <c r="C859" t="s">
        <v>2288</v>
      </c>
      <c r="D859" t="s">
        <v>2928</v>
      </c>
      <c r="E859" s="1">
        <v>46010</v>
      </c>
      <c r="F859" t="s">
        <v>29</v>
      </c>
      <c r="G859" t="s">
        <v>27</v>
      </c>
      <c r="H859" t="s">
        <v>28</v>
      </c>
      <c r="I859" t="s">
        <v>2623</v>
      </c>
      <c r="J859" t="s">
        <v>2691</v>
      </c>
      <c r="K859" t="s">
        <v>25</v>
      </c>
      <c r="L859">
        <v>58</v>
      </c>
      <c r="M859">
        <v>4</v>
      </c>
      <c r="N859">
        <v>0</v>
      </c>
      <c r="O859" t="s">
        <v>1723</v>
      </c>
      <c r="P859" t="s">
        <v>44</v>
      </c>
      <c r="Q859" t="s">
        <v>31</v>
      </c>
      <c r="R859" t="s">
        <v>32</v>
      </c>
      <c r="S859" t="s">
        <v>30</v>
      </c>
      <c r="T859">
        <v>5</v>
      </c>
      <c r="U859">
        <v>202.32</v>
      </c>
      <c r="V859">
        <v>419.93</v>
      </c>
      <c r="W859">
        <v>4</v>
      </c>
      <c r="X859" t="s">
        <v>94</v>
      </c>
      <c r="Y859">
        <v>2025</v>
      </c>
    </row>
    <row r="860" spans="1:25" x14ac:dyDescent="0.3">
      <c r="A860" t="s">
        <v>2289</v>
      </c>
      <c r="B860" s="1">
        <v>46115</v>
      </c>
      <c r="C860" t="s">
        <v>2290</v>
      </c>
      <c r="D860" t="s">
        <v>2927</v>
      </c>
      <c r="E860" s="1">
        <v>46116</v>
      </c>
      <c r="F860" t="s">
        <v>115</v>
      </c>
      <c r="G860" t="s">
        <v>66</v>
      </c>
      <c r="H860" t="s">
        <v>114</v>
      </c>
      <c r="I860" t="s">
        <v>2634</v>
      </c>
      <c r="J860" t="s">
        <v>2650</v>
      </c>
      <c r="K860" t="s">
        <v>52</v>
      </c>
      <c r="L860">
        <v>48</v>
      </c>
      <c r="M860">
        <v>3</v>
      </c>
      <c r="N860">
        <v>25</v>
      </c>
      <c r="O860" t="s">
        <v>2291</v>
      </c>
      <c r="P860" t="s">
        <v>33</v>
      </c>
      <c r="Q860" t="s">
        <v>42</v>
      </c>
      <c r="R860" t="s">
        <v>71</v>
      </c>
      <c r="S860" t="s">
        <v>116</v>
      </c>
      <c r="T860">
        <v>2</v>
      </c>
      <c r="U860">
        <v>391.89</v>
      </c>
      <c r="V860">
        <v>542.44000000000005</v>
      </c>
      <c r="W860">
        <v>1</v>
      </c>
      <c r="X860" t="s">
        <v>49</v>
      </c>
      <c r="Y860">
        <v>2026</v>
      </c>
    </row>
    <row r="861" spans="1:25" x14ac:dyDescent="0.3">
      <c r="A861" t="s">
        <v>2292</v>
      </c>
      <c r="B861" s="1">
        <v>45363</v>
      </c>
      <c r="C861" t="s">
        <v>2293</v>
      </c>
      <c r="D861" t="s">
        <v>2926</v>
      </c>
      <c r="E861" s="1">
        <v>45364</v>
      </c>
      <c r="F861" t="s">
        <v>29</v>
      </c>
      <c r="G861" t="s">
        <v>27</v>
      </c>
      <c r="H861" t="s">
        <v>28</v>
      </c>
      <c r="I861" t="s">
        <v>2631</v>
      </c>
      <c r="J861" t="s">
        <v>2694</v>
      </c>
      <c r="K861" t="s">
        <v>25</v>
      </c>
      <c r="L861">
        <v>37</v>
      </c>
      <c r="M861">
        <v>5</v>
      </c>
      <c r="N861">
        <v>25</v>
      </c>
      <c r="O861" t="s">
        <v>2294</v>
      </c>
      <c r="P861" t="s">
        <v>33</v>
      </c>
      <c r="Q861" t="s">
        <v>42</v>
      </c>
      <c r="R861" t="s">
        <v>43</v>
      </c>
      <c r="S861" t="s">
        <v>30</v>
      </c>
      <c r="T861">
        <v>5</v>
      </c>
      <c r="U861">
        <v>609.29</v>
      </c>
      <c r="V861">
        <v>1309.47</v>
      </c>
      <c r="W861">
        <v>1</v>
      </c>
      <c r="X861" t="s">
        <v>34</v>
      </c>
      <c r="Y861">
        <v>2024</v>
      </c>
    </row>
    <row r="862" spans="1:25" x14ac:dyDescent="0.3">
      <c r="A862" t="s">
        <v>2295</v>
      </c>
      <c r="B862" s="1">
        <v>45295</v>
      </c>
      <c r="C862" t="s">
        <v>2296</v>
      </c>
      <c r="D862" t="s">
        <v>2925</v>
      </c>
      <c r="E862" s="1">
        <v>45297</v>
      </c>
      <c r="F862" t="s">
        <v>68</v>
      </c>
      <c r="G862" t="s">
        <v>66</v>
      </c>
      <c r="H862" t="s">
        <v>67</v>
      </c>
      <c r="I862" t="s">
        <v>2623</v>
      </c>
      <c r="J862" t="s">
        <v>2691</v>
      </c>
      <c r="K862" t="s">
        <v>25</v>
      </c>
      <c r="L862">
        <v>43</v>
      </c>
      <c r="M862">
        <v>2</v>
      </c>
      <c r="N862">
        <v>10</v>
      </c>
      <c r="O862" t="s">
        <v>969</v>
      </c>
      <c r="P862" t="s">
        <v>33</v>
      </c>
      <c r="Q862" t="s">
        <v>42</v>
      </c>
      <c r="R862" t="s">
        <v>71</v>
      </c>
      <c r="S862" t="s">
        <v>69</v>
      </c>
      <c r="T862">
        <v>3</v>
      </c>
      <c r="U862">
        <v>349.45</v>
      </c>
      <c r="V862">
        <v>346.33</v>
      </c>
      <c r="W862">
        <v>2</v>
      </c>
      <c r="X862" t="s">
        <v>34</v>
      </c>
      <c r="Y862">
        <v>2024</v>
      </c>
    </row>
    <row r="863" spans="1:25" x14ac:dyDescent="0.3">
      <c r="A863" t="s">
        <v>2297</v>
      </c>
      <c r="B863" s="1">
        <v>46115</v>
      </c>
      <c r="C863" t="s">
        <v>2298</v>
      </c>
      <c r="D863" t="s">
        <v>2924</v>
      </c>
      <c r="E863" s="1">
        <v>46121</v>
      </c>
      <c r="F863" t="s">
        <v>56</v>
      </c>
      <c r="G863" t="s">
        <v>54</v>
      </c>
      <c r="H863" t="s">
        <v>55</v>
      </c>
      <c r="I863" t="s">
        <v>2633</v>
      </c>
      <c r="J863" t="s">
        <v>2695</v>
      </c>
      <c r="K863" t="s">
        <v>25</v>
      </c>
      <c r="L863">
        <v>39</v>
      </c>
      <c r="M863">
        <v>5</v>
      </c>
      <c r="N863">
        <v>25</v>
      </c>
      <c r="O863" t="s">
        <v>693</v>
      </c>
      <c r="P863" t="s">
        <v>75</v>
      </c>
      <c r="Q863" t="s">
        <v>42</v>
      </c>
      <c r="R863" t="s">
        <v>43</v>
      </c>
      <c r="S863" t="s">
        <v>57</v>
      </c>
      <c r="T863">
        <v>3</v>
      </c>
      <c r="U863">
        <v>172.66</v>
      </c>
      <c r="V863">
        <v>514.34</v>
      </c>
      <c r="W863">
        <v>6</v>
      </c>
      <c r="X863" t="s">
        <v>49</v>
      </c>
      <c r="Y863">
        <v>2026</v>
      </c>
    </row>
    <row r="864" spans="1:25" x14ac:dyDescent="0.3">
      <c r="A864" t="s">
        <v>2299</v>
      </c>
      <c r="B864" s="1">
        <v>45991</v>
      </c>
      <c r="C864" t="s">
        <v>2300</v>
      </c>
      <c r="D864" t="s">
        <v>2923</v>
      </c>
      <c r="E864" s="1">
        <v>45992</v>
      </c>
      <c r="F864" t="s">
        <v>56</v>
      </c>
      <c r="G864" t="s">
        <v>54</v>
      </c>
      <c r="H864" t="s">
        <v>55</v>
      </c>
      <c r="I864" t="s">
        <v>2654</v>
      </c>
      <c r="J864" t="s">
        <v>2702</v>
      </c>
      <c r="K864" t="s">
        <v>25</v>
      </c>
      <c r="L864">
        <v>35</v>
      </c>
      <c r="M864">
        <v>2</v>
      </c>
      <c r="N864">
        <v>15</v>
      </c>
      <c r="O864" t="s">
        <v>832</v>
      </c>
      <c r="P864" t="s">
        <v>44</v>
      </c>
      <c r="Q864" t="s">
        <v>70</v>
      </c>
      <c r="R864" t="s">
        <v>71</v>
      </c>
      <c r="S864" t="s">
        <v>57</v>
      </c>
      <c r="T864">
        <v>3</v>
      </c>
      <c r="U864">
        <v>905.65</v>
      </c>
      <c r="V864">
        <v>1160.08</v>
      </c>
      <c r="W864">
        <v>1</v>
      </c>
      <c r="X864" t="s">
        <v>94</v>
      </c>
      <c r="Y864">
        <v>2025</v>
      </c>
    </row>
    <row r="865" spans="1:25" x14ac:dyDescent="0.3">
      <c r="A865" t="s">
        <v>2301</v>
      </c>
      <c r="B865" s="1">
        <v>45345</v>
      </c>
      <c r="C865" t="s">
        <v>2302</v>
      </c>
      <c r="D865" t="s">
        <v>2922</v>
      </c>
      <c r="E865" s="1">
        <v>45350</v>
      </c>
      <c r="F865" t="s">
        <v>29</v>
      </c>
      <c r="G865" t="s">
        <v>27</v>
      </c>
      <c r="H865" t="s">
        <v>28</v>
      </c>
      <c r="I865" t="s">
        <v>2629</v>
      </c>
      <c r="J865" t="s">
        <v>2689</v>
      </c>
      <c r="K865" t="s">
        <v>25</v>
      </c>
      <c r="L865">
        <v>33</v>
      </c>
      <c r="M865">
        <v>1</v>
      </c>
      <c r="N865">
        <v>30</v>
      </c>
      <c r="O865" t="s">
        <v>2303</v>
      </c>
      <c r="P865" t="s">
        <v>44</v>
      </c>
      <c r="Q865" t="s">
        <v>42</v>
      </c>
      <c r="R865" t="s">
        <v>32</v>
      </c>
      <c r="S865" t="s">
        <v>30</v>
      </c>
      <c r="T865">
        <v>2</v>
      </c>
      <c r="U865">
        <v>833.89</v>
      </c>
      <c r="V865">
        <v>413.64</v>
      </c>
      <c r="W865">
        <v>5</v>
      </c>
      <c r="X865" t="s">
        <v>34</v>
      </c>
      <c r="Y865">
        <v>2024</v>
      </c>
    </row>
    <row r="866" spans="1:25" x14ac:dyDescent="0.3">
      <c r="A866" t="s">
        <v>2304</v>
      </c>
      <c r="B866" s="1">
        <v>45793</v>
      </c>
      <c r="C866" t="s">
        <v>2305</v>
      </c>
      <c r="D866" t="s">
        <v>2921</v>
      </c>
      <c r="E866" s="1">
        <v>45798</v>
      </c>
      <c r="F866" t="s">
        <v>122</v>
      </c>
      <c r="G866" t="s">
        <v>120</v>
      </c>
      <c r="H866" t="s">
        <v>121</v>
      </c>
      <c r="I866" t="s">
        <v>2672</v>
      </c>
      <c r="J866" t="s">
        <v>2716</v>
      </c>
      <c r="K866" t="s">
        <v>25</v>
      </c>
      <c r="L866">
        <v>60</v>
      </c>
      <c r="M866">
        <v>4</v>
      </c>
      <c r="N866">
        <v>10</v>
      </c>
      <c r="O866" t="s">
        <v>832</v>
      </c>
      <c r="P866" t="s">
        <v>44</v>
      </c>
      <c r="Q866" t="s">
        <v>42</v>
      </c>
      <c r="R866" t="s">
        <v>32</v>
      </c>
      <c r="S866" t="s">
        <v>123</v>
      </c>
      <c r="T866">
        <v>2</v>
      </c>
      <c r="U866">
        <v>631.94000000000005</v>
      </c>
      <c r="V866">
        <v>1697.36</v>
      </c>
      <c r="W866">
        <v>5</v>
      </c>
      <c r="X866" t="s">
        <v>49</v>
      </c>
      <c r="Y866">
        <v>2025</v>
      </c>
    </row>
    <row r="867" spans="1:25" x14ac:dyDescent="0.3">
      <c r="A867" t="s">
        <v>2306</v>
      </c>
      <c r="B867" s="1">
        <v>45713</v>
      </c>
      <c r="C867" t="s">
        <v>2307</v>
      </c>
      <c r="D867" t="s">
        <v>2920</v>
      </c>
      <c r="E867" s="1">
        <v>45719</v>
      </c>
      <c r="F867" t="s">
        <v>140</v>
      </c>
      <c r="G867" t="s">
        <v>38</v>
      </c>
      <c r="H867" t="s">
        <v>139</v>
      </c>
      <c r="I867" t="s">
        <v>2661</v>
      </c>
      <c r="J867" t="s">
        <v>2700</v>
      </c>
      <c r="K867" t="s">
        <v>25</v>
      </c>
      <c r="L867">
        <v>61</v>
      </c>
      <c r="M867">
        <v>3</v>
      </c>
      <c r="N867">
        <v>0</v>
      </c>
      <c r="O867" t="s">
        <v>2308</v>
      </c>
      <c r="P867" t="s">
        <v>44</v>
      </c>
      <c r="Q867" t="s">
        <v>117</v>
      </c>
      <c r="R867" t="s">
        <v>62</v>
      </c>
      <c r="S867" t="s">
        <v>141</v>
      </c>
      <c r="T867">
        <v>2</v>
      </c>
      <c r="U867">
        <v>47.77</v>
      </c>
      <c r="V867">
        <v>81.17</v>
      </c>
      <c r="W867">
        <v>6</v>
      </c>
      <c r="X867" t="s">
        <v>34</v>
      </c>
      <c r="Y867">
        <v>2025</v>
      </c>
    </row>
    <row r="868" spans="1:25" x14ac:dyDescent="0.3">
      <c r="A868" t="s">
        <v>2309</v>
      </c>
      <c r="B868" s="1">
        <v>45340</v>
      </c>
      <c r="C868" t="s">
        <v>2310</v>
      </c>
      <c r="D868" t="s">
        <v>2919</v>
      </c>
      <c r="E868" s="1">
        <v>45345</v>
      </c>
      <c r="F868" t="s">
        <v>29</v>
      </c>
      <c r="G868" t="s">
        <v>27</v>
      </c>
      <c r="H868" t="s">
        <v>28</v>
      </c>
      <c r="I868" t="s">
        <v>2625</v>
      </c>
      <c r="J868" t="s">
        <v>2651</v>
      </c>
      <c r="K868" t="s">
        <v>52</v>
      </c>
      <c r="L868">
        <v>32</v>
      </c>
      <c r="M868">
        <v>3</v>
      </c>
      <c r="N868">
        <v>0</v>
      </c>
      <c r="O868" t="s">
        <v>821</v>
      </c>
      <c r="P868" t="s">
        <v>75</v>
      </c>
      <c r="Q868" t="s">
        <v>31</v>
      </c>
      <c r="R868" t="s">
        <v>43</v>
      </c>
      <c r="S868" t="s">
        <v>30</v>
      </c>
      <c r="T868">
        <v>3</v>
      </c>
      <c r="U868">
        <v>97.46</v>
      </c>
      <c r="V868">
        <v>146.54</v>
      </c>
      <c r="W868">
        <v>5</v>
      </c>
      <c r="X868" t="s">
        <v>34</v>
      </c>
      <c r="Y868">
        <v>2024</v>
      </c>
    </row>
    <row r="869" spans="1:25" x14ac:dyDescent="0.3">
      <c r="A869" t="s">
        <v>2311</v>
      </c>
      <c r="B869" s="1">
        <v>46161</v>
      </c>
      <c r="C869" t="s">
        <v>2312</v>
      </c>
      <c r="D869" t="s">
        <v>2918</v>
      </c>
      <c r="E869" s="1">
        <v>46163</v>
      </c>
      <c r="F869" t="s">
        <v>29</v>
      </c>
      <c r="G869" t="s">
        <v>27</v>
      </c>
      <c r="H869" t="s">
        <v>28</v>
      </c>
      <c r="I869" t="s">
        <v>2629</v>
      </c>
      <c r="J869" t="s">
        <v>2630</v>
      </c>
      <c r="K869" t="s">
        <v>52</v>
      </c>
      <c r="L869">
        <v>51</v>
      </c>
      <c r="M869">
        <v>2</v>
      </c>
      <c r="N869">
        <v>10</v>
      </c>
      <c r="O869" t="s">
        <v>2313</v>
      </c>
      <c r="P869" t="s">
        <v>33</v>
      </c>
      <c r="Q869" t="s">
        <v>117</v>
      </c>
      <c r="R869" t="s">
        <v>43</v>
      </c>
      <c r="S869" t="s">
        <v>30</v>
      </c>
      <c r="T869">
        <v>3</v>
      </c>
      <c r="U869">
        <v>163.69</v>
      </c>
      <c r="V869">
        <v>213.53</v>
      </c>
      <c r="W869">
        <v>2</v>
      </c>
      <c r="X869" t="s">
        <v>49</v>
      </c>
      <c r="Y869">
        <v>2026</v>
      </c>
    </row>
    <row r="870" spans="1:25" x14ac:dyDescent="0.3">
      <c r="A870" t="s">
        <v>2314</v>
      </c>
      <c r="B870" s="1">
        <v>45860</v>
      </c>
      <c r="C870" t="s">
        <v>2315</v>
      </c>
      <c r="D870" t="s">
        <v>2917</v>
      </c>
      <c r="E870" s="1">
        <v>45864</v>
      </c>
      <c r="F870" t="s">
        <v>100</v>
      </c>
      <c r="G870" t="s">
        <v>98</v>
      </c>
      <c r="H870" t="s">
        <v>99</v>
      </c>
      <c r="I870" t="s">
        <v>2634</v>
      </c>
      <c r="J870" t="s">
        <v>2650</v>
      </c>
      <c r="K870" t="s">
        <v>52</v>
      </c>
      <c r="L870">
        <v>26</v>
      </c>
      <c r="M870">
        <v>2</v>
      </c>
      <c r="N870">
        <v>5</v>
      </c>
      <c r="O870" t="s">
        <v>693</v>
      </c>
      <c r="P870" t="s">
        <v>75</v>
      </c>
      <c r="Q870" t="s">
        <v>70</v>
      </c>
      <c r="R870" t="s">
        <v>62</v>
      </c>
      <c r="S870" t="s">
        <v>101</v>
      </c>
      <c r="T870">
        <v>2</v>
      </c>
      <c r="U870">
        <v>336.42</v>
      </c>
      <c r="V870">
        <v>454.3</v>
      </c>
      <c r="W870">
        <v>4</v>
      </c>
      <c r="X870" t="s">
        <v>45</v>
      </c>
      <c r="Y870">
        <v>2025</v>
      </c>
    </row>
    <row r="871" spans="1:25" x14ac:dyDescent="0.3">
      <c r="A871" t="s">
        <v>2316</v>
      </c>
      <c r="B871" s="1">
        <v>45863</v>
      </c>
      <c r="C871" t="s">
        <v>2317</v>
      </c>
      <c r="D871" t="s">
        <v>2916</v>
      </c>
      <c r="E871" s="1">
        <v>45867</v>
      </c>
      <c r="F871" t="s">
        <v>128</v>
      </c>
      <c r="G871" t="s">
        <v>98</v>
      </c>
      <c r="H871" t="s">
        <v>127</v>
      </c>
      <c r="I871" t="s">
        <v>2654</v>
      </c>
      <c r="J871" t="s">
        <v>2702</v>
      </c>
      <c r="K871" t="s">
        <v>25</v>
      </c>
      <c r="L871">
        <v>41</v>
      </c>
      <c r="M871">
        <v>2</v>
      </c>
      <c r="N871">
        <v>25</v>
      </c>
      <c r="O871" t="s">
        <v>1070</v>
      </c>
      <c r="P871" t="s">
        <v>44</v>
      </c>
      <c r="Q871" t="s">
        <v>70</v>
      </c>
      <c r="R871" t="s">
        <v>43</v>
      </c>
      <c r="S871" t="s">
        <v>129</v>
      </c>
      <c r="T871">
        <v>2</v>
      </c>
      <c r="U871">
        <v>165.57</v>
      </c>
      <c r="V871">
        <v>169.37</v>
      </c>
      <c r="W871">
        <v>4</v>
      </c>
      <c r="X871" t="s">
        <v>45</v>
      </c>
      <c r="Y871">
        <v>2025</v>
      </c>
    </row>
    <row r="872" spans="1:25" x14ac:dyDescent="0.3">
      <c r="A872" t="s">
        <v>2318</v>
      </c>
      <c r="B872" s="1">
        <v>45958</v>
      </c>
      <c r="C872" t="s">
        <v>2319</v>
      </c>
      <c r="D872" t="s">
        <v>2915</v>
      </c>
      <c r="E872" s="1">
        <v>45961</v>
      </c>
      <c r="F872" t="s">
        <v>29</v>
      </c>
      <c r="G872" t="s">
        <v>27</v>
      </c>
      <c r="H872" t="s">
        <v>28</v>
      </c>
      <c r="I872" t="s">
        <v>2679</v>
      </c>
      <c r="J872" t="s">
        <v>2685</v>
      </c>
      <c r="K872" t="s">
        <v>52</v>
      </c>
      <c r="L872">
        <v>59</v>
      </c>
      <c r="M872">
        <v>1</v>
      </c>
      <c r="N872">
        <v>30</v>
      </c>
      <c r="O872" t="s">
        <v>1848</v>
      </c>
      <c r="P872" t="s">
        <v>33</v>
      </c>
      <c r="Q872" t="s">
        <v>70</v>
      </c>
      <c r="R872" t="s">
        <v>43</v>
      </c>
      <c r="S872" t="s">
        <v>30</v>
      </c>
      <c r="T872">
        <v>4</v>
      </c>
      <c r="U872">
        <v>392.65</v>
      </c>
      <c r="V872">
        <v>218.78</v>
      </c>
      <c r="W872">
        <v>3</v>
      </c>
      <c r="X872" t="s">
        <v>94</v>
      </c>
      <c r="Y872">
        <v>2025</v>
      </c>
    </row>
    <row r="873" spans="1:25" x14ac:dyDescent="0.3">
      <c r="A873" t="s">
        <v>2320</v>
      </c>
      <c r="B873" s="1">
        <v>45750</v>
      </c>
      <c r="C873" t="s">
        <v>2321</v>
      </c>
      <c r="D873" t="s">
        <v>2914</v>
      </c>
      <c r="E873" s="1">
        <v>45753</v>
      </c>
      <c r="F873" t="s">
        <v>128</v>
      </c>
      <c r="G873" t="s">
        <v>98</v>
      </c>
      <c r="H873" t="s">
        <v>127</v>
      </c>
      <c r="I873" t="s">
        <v>2633</v>
      </c>
      <c r="J873" t="s">
        <v>2678</v>
      </c>
      <c r="K873" t="s">
        <v>52</v>
      </c>
      <c r="L873">
        <v>30</v>
      </c>
      <c r="M873">
        <v>3</v>
      </c>
      <c r="N873">
        <v>5</v>
      </c>
      <c r="O873" t="s">
        <v>2322</v>
      </c>
      <c r="P873" t="s">
        <v>44</v>
      </c>
      <c r="Q873" t="s">
        <v>70</v>
      </c>
      <c r="R873" t="s">
        <v>43</v>
      </c>
      <c r="S873" t="s">
        <v>129</v>
      </c>
      <c r="T873">
        <v>1</v>
      </c>
      <c r="U873">
        <v>483.44</v>
      </c>
      <c r="V873">
        <v>1136.78</v>
      </c>
      <c r="W873">
        <v>3</v>
      </c>
      <c r="X873" t="s">
        <v>49</v>
      </c>
      <c r="Y873">
        <v>2025</v>
      </c>
    </row>
    <row r="874" spans="1:25" x14ac:dyDescent="0.3">
      <c r="A874" t="s">
        <v>2323</v>
      </c>
      <c r="B874" s="1">
        <v>45844</v>
      </c>
      <c r="C874" t="s">
        <v>2324</v>
      </c>
      <c r="D874" t="s">
        <v>2913</v>
      </c>
      <c r="E874" s="1">
        <v>45851</v>
      </c>
      <c r="F874" t="s">
        <v>140</v>
      </c>
      <c r="G874" t="s">
        <v>38</v>
      </c>
      <c r="H874" t="s">
        <v>139</v>
      </c>
      <c r="I874" t="s">
        <v>2672</v>
      </c>
      <c r="J874" t="s">
        <v>2673</v>
      </c>
      <c r="K874" t="s">
        <v>52</v>
      </c>
      <c r="L874">
        <v>56</v>
      </c>
      <c r="M874">
        <v>1</v>
      </c>
      <c r="N874">
        <v>5</v>
      </c>
      <c r="O874" t="s">
        <v>1209</v>
      </c>
      <c r="P874" t="s">
        <v>44</v>
      </c>
      <c r="Q874" t="s">
        <v>42</v>
      </c>
      <c r="R874" t="s">
        <v>43</v>
      </c>
      <c r="S874" t="s">
        <v>141</v>
      </c>
      <c r="T874">
        <v>3</v>
      </c>
      <c r="U874">
        <v>618.33000000000004</v>
      </c>
      <c r="V874">
        <v>449.77</v>
      </c>
      <c r="W874">
        <v>7</v>
      </c>
      <c r="X874" t="s">
        <v>45</v>
      </c>
      <c r="Y874">
        <v>2025</v>
      </c>
    </row>
    <row r="875" spans="1:25" x14ac:dyDescent="0.3">
      <c r="A875" t="s">
        <v>2325</v>
      </c>
      <c r="B875" s="1">
        <v>46020</v>
      </c>
      <c r="C875" t="s">
        <v>2326</v>
      </c>
      <c r="D875" t="s">
        <v>2733</v>
      </c>
      <c r="E875" s="1">
        <v>46027</v>
      </c>
      <c r="F875" t="s">
        <v>100</v>
      </c>
      <c r="G875" t="s">
        <v>98</v>
      </c>
      <c r="H875" t="s">
        <v>99</v>
      </c>
      <c r="I875" t="s">
        <v>2641</v>
      </c>
      <c r="J875" t="s">
        <v>2692</v>
      </c>
      <c r="K875" t="s">
        <v>52</v>
      </c>
      <c r="L875">
        <v>58</v>
      </c>
      <c r="M875">
        <v>4</v>
      </c>
      <c r="N875">
        <v>10</v>
      </c>
      <c r="O875" t="s">
        <v>2327</v>
      </c>
      <c r="P875" t="s">
        <v>33</v>
      </c>
      <c r="Q875" t="s">
        <v>31</v>
      </c>
      <c r="R875" t="s">
        <v>43</v>
      </c>
      <c r="S875" t="s">
        <v>101</v>
      </c>
      <c r="T875">
        <v>2</v>
      </c>
      <c r="U875">
        <v>760.17</v>
      </c>
      <c r="V875">
        <v>1483.27</v>
      </c>
      <c r="W875">
        <v>7</v>
      </c>
      <c r="X875" t="s">
        <v>94</v>
      </c>
      <c r="Y875">
        <v>2025</v>
      </c>
    </row>
    <row r="876" spans="1:25" x14ac:dyDescent="0.3">
      <c r="A876" t="s">
        <v>2328</v>
      </c>
      <c r="B876" s="1">
        <v>45367</v>
      </c>
      <c r="C876" t="s">
        <v>2329</v>
      </c>
      <c r="D876" t="s">
        <v>2732</v>
      </c>
      <c r="E876" s="1">
        <v>45368</v>
      </c>
      <c r="F876" t="s">
        <v>56</v>
      </c>
      <c r="G876" t="s">
        <v>54</v>
      </c>
      <c r="H876" t="s">
        <v>55</v>
      </c>
      <c r="I876" t="s">
        <v>2622</v>
      </c>
      <c r="J876" t="s">
        <v>2622</v>
      </c>
      <c r="K876" t="s">
        <v>25</v>
      </c>
      <c r="L876">
        <v>63</v>
      </c>
      <c r="M876">
        <v>1</v>
      </c>
      <c r="N876">
        <v>30</v>
      </c>
      <c r="O876" t="s">
        <v>1250</v>
      </c>
      <c r="P876" t="s">
        <v>75</v>
      </c>
      <c r="Q876" t="s">
        <v>42</v>
      </c>
      <c r="R876" t="s">
        <v>43</v>
      </c>
      <c r="S876" t="s">
        <v>57</v>
      </c>
      <c r="T876">
        <v>4</v>
      </c>
      <c r="U876">
        <v>385.95</v>
      </c>
      <c r="V876">
        <v>223.65</v>
      </c>
      <c r="W876">
        <v>1</v>
      </c>
      <c r="X876" t="s">
        <v>34</v>
      </c>
      <c r="Y876">
        <v>2024</v>
      </c>
    </row>
    <row r="877" spans="1:25" x14ac:dyDescent="0.3">
      <c r="A877" t="s">
        <v>2330</v>
      </c>
      <c r="B877" s="1">
        <v>45990</v>
      </c>
      <c r="C877" t="s">
        <v>2331</v>
      </c>
      <c r="D877" t="s">
        <v>2731</v>
      </c>
      <c r="E877" s="1">
        <v>45993</v>
      </c>
      <c r="F877" t="s">
        <v>40</v>
      </c>
      <c r="G877" t="s">
        <v>38</v>
      </c>
      <c r="H877" t="s">
        <v>39</v>
      </c>
      <c r="I877" t="s">
        <v>2637</v>
      </c>
      <c r="J877" t="s">
        <v>2649</v>
      </c>
      <c r="K877" t="s">
        <v>52</v>
      </c>
      <c r="L877">
        <v>61</v>
      </c>
      <c r="M877">
        <v>5</v>
      </c>
      <c r="N877">
        <v>0</v>
      </c>
      <c r="O877" t="s">
        <v>1271</v>
      </c>
      <c r="P877" t="s">
        <v>75</v>
      </c>
      <c r="Q877" t="s">
        <v>70</v>
      </c>
      <c r="R877" t="s">
        <v>32</v>
      </c>
      <c r="S877" t="s">
        <v>41</v>
      </c>
      <c r="T877">
        <v>1</v>
      </c>
      <c r="U877">
        <v>318.04000000000002</v>
      </c>
      <c r="V877">
        <v>965.33</v>
      </c>
      <c r="W877">
        <v>3</v>
      </c>
      <c r="X877" t="s">
        <v>94</v>
      </c>
      <c r="Y877">
        <v>2025</v>
      </c>
    </row>
    <row r="878" spans="1:25" x14ac:dyDescent="0.3">
      <c r="A878" t="s">
        <v>2332</v>
      </c>
      <c r="B878" s="1">
        <v>45927</v>
      </c>
      <c r="C878" t="s">
        <v>2333</v>
      </c>
      <c r="D878" t="s">
        <v>2730</v>
      </c>
      <c r="E878" s="1">
        <v>45931</v>
      </c>
      <c r="F878" t="s">
        <v>56</v>
      </c>
      <c r="G878" t="s">
        <v>54</v>
      </c>
      <c r="H878" t="s">
        <v>55</v>
      </c>
      <c r="I878" t="s">
        <v>2633</v>
      </c>
      <c r="J878" t="s">
        <v>2695</v>
      </c>
      <c r="K878" t="s">
        <v>52</v>
      </c>
      <c r="L878">
        <v>53</v>
      </c>
      <c r="M878">
        <v>2</v>
      </c>
      <c r="N878">
        <v>20</v>
      </c>
      <c r="O878" t="s">
        <v>1164</v>
      </c>
      <c r="P878" t="s">
        <v>33</v>
      </c>
      <c r="Q878" t="s">
        <v>70</v>
      </c>
      <c r="R878" t="s">
        <v>71</v>
      </c>
      <c r="S878" t="s">
        <v>57</v>
      </c>
      <c r="T878">
        <v>2</v>
      </c>
      <c r="U878">
        <v>20.100000000000001</v>
      </c>
      <c r="V878">
        <v>26.33</v>
      </c>
      <c r="W878">
        <v>4</v>
      </c>
      <c r="X878" t="s">
        <v>45</v>
      </c>
      <c r="Y878">
        <v>2025</v>
      </c>
    </row>
    <row r="879" spans="1:25" x14ac:dyDescent="0.3">
      <c r="A879" t="s">
        <v>2334</v>
      </c>
      <c r="B879" s="1">
        <v>45458</v>
      </c>
      <c r="C879" t="s">
        <v>2335</v>
      </c>
      <c r="D879" t="s">
        <v>2912</v>
      </c>
      <c r="E879" s="1">
        <v>45461</v>
      </c>
      <c r="F879" t="s">
        <v>122</v>
      </c>
      <c r="G879" t="s">
        <v>120</v>
      </c>
      <c r="H879" t="s">
        <v>121</v>
      </c>
      <c r="I879" t="s">
        <v>2656</v>
      </c>
      <c r="J879" t="s">
        <v>2683</v>
      </c>
      <c r="K879" t="s">
        <v>52</v>
      </c>
      <c r="L879">
        <v>26</v>
      </c>
      <c r="M879">
        <v>2</v>
      </c>
      <c r="N879">
        <v>0</v>
      </c>
      <c r="O879" t="s">
        <v>1848</v>
      </c>
      <c r="P879" t="s">
        <v>44</v>
      </c>
      <c r="Q879" t="s">
        <v>117</v>
      </c>
      <c r="R879" t="s">
        <v>43</v>
      </c>
      <c r="S879" t="s">
        <v>123</v>
      </c>
      <c r="T879">
        <v>4</v>
      </c>
      <c r="U879">
        <v>32.49</v>
      </c>
      <c r="V879">
        <v>33.96</v>
      </c>
      <c r="W879">
        <v>3</v>
      </c>
      <c r="X879" t="s">
        <v>49</v>
      </c>
      <c r="Y879">
        <v>2024</v>
      </c>
    </row>
    <row r="880" spans="1:25" x14ac:dyDescent="0.3">
      <c r="A880" t="s">
        <v>2336</v>
      </c>
      <c r="B880" s="1">
        <v>46088</v>
      </c>
      <c r="C880" t="s">
        <v>2337</v>
      </c>
      <c r="D880" t="s">
        <v>2911</v>
      </c>
      <c r="E880" s="1">
        <v>46092</v>
      </c>
      <c r="F880" t="s">
        <v>140</v>
      </c>
      <c r="G880" t="s">
        <v>38</v>
      </c>
      <c r="H880" t="s">
        <v>139</v>
      </c>
      <c r="I880" t="s">
        <v>2631</v>
      </c>
      <c r="J880" t="s">
        <v>2694</v>
      </c>
      <c r="K880" t="s">
        <v>25</v>
      </c>
      <c r="L880">
        <v>55</v>
      </c>
      <c r="M880">
        <v>1</v>
      </c>
      <c r="N880">
        <v>15</v>
      </c>
      <c r="O880" t="s">
        <v>2338</v>
      </c>
      <c r="P880" t="s">
        <v>44</v>
      </c>
      <c r="Q880" t="s">
        <v>117</v>
      </c>
      <c r="R880" t="s">
        <v>32</v>
      </c>
      <c r="S880" t="s">
        <v>141</v>
      </c>
      <c r="T880">
        <v>4</v>
      </c>
      <c r="U880">
        <v>569.91999999999996</v>
      </c>
      <c r="V880">
        <v>289.02</v>
      </c>
      <c r="W880">
        <v>4</v>
      </c>
      <c r="X880" t="s">
        <v>34</v>
      </c>
      <c r="Y880">
        <v>2026</v>
      </c>
    </row>
    <row r="881" spans="1:25" x14ac:dyDescent="0.3">
      <c r="A881" t="s">
        <v>2339</v>
      </c>
      <c r="B881" s="1">
        <v>45517</v>
      </c>
      <c r="C881" t="s">
        <v>2340</v>
      </c>
      <c r="D881" t="s">
        <v>2910</v>
      </c>
      <c r="E881" s="1">
        <v>45523</v>
      </c>
      <c r="F881" t="s">
        <v>128</v>
      </c>
      <c r="G881" t="s">
        <v>98</v>
      </c>
      <c r="H881" t="s">
        <v>127</v>
      </c>
      <c r="I881" t="s">
        <v>2627</v>
      </c>
      <c r="J881" t="s">
        <v>2717</v>
      </c>
      <c r="K881" t="s">
        <v>25</v>
      </c>
      <c r="L881">
        <v>35</v>
      </c>
      <c r="M881">
        <v>1</v>
      </c>
      <c r="N881">
        <v>10</v>
      </c>
      <c r="O881" t="s">
        <v>2341</v>
      </c>
      <c r="P881" t="s">
        <v>44</v>
      </c>
      <c r="Q881" t="s">
        <v>31</v>
      </c>
      <c r="R881" t="s">
        <v>62</v>
      </c>
      <c r="S881" t="s">
        <v>129</v>
      </c>
      <c r="T881">
        <v>4</v>
      </c>
      <c r="U881">
        <v>759.44</v>
      </c>
      <c r="V881">
        <v>500.36</v>
      </c>
      <c r="W881">
        <v>6</v>
      </c>
      <c r="X881" t="s">
        <v>45</v>
      </c>
      <c r="Y881">
        <v>2024</v>
      </c>
    </row>
    <row r="882" spans="1:25" x14ac:dyDescent="0.3">
      <c r="A882" t="s">
        <v>2342</v>
      </c>
      <c r="B882" s="1">
        <v>46091</v>
      </c>
      <c r="C882" t="s">
        <v>1890</v>
      </c>
      <c r="D882" t="s">
        <v>2909</v>
      </c>
      <c r="E882" s="1">
        <v>46093</v>
      </c>
      <c r="F882" t="s">
        <v>56</v>
      </c>
      <c r="G882" t="s">
        <v>54</v>
      </c>
      <c r="H882" t="s">
        <v>55</v>
      </c>
      <c r="I882" t="s">
        <v>2679</v>
      </c>
      <c r="J882" t="s">
        <v>2680</v>
      </c>
      <c r="K882" t="s">
        <v>25</v>
      </c>
      <c r="L882">
        <v>50</v>
      </c>
      <c r="M882">
        <v>2</v>
      </c>
      <c r="N882">
        <v>15</v>
      </c>
      <c r="O882" t="s">
        <v>2343</v>
      </c>
      <c r="P882" t="s">
        <v>44</v>
      </c>
      <c r="Q882" t="s">
        <v>70</v>
      </c>
      <c r="R882" t="s">
        <v>32</v>
      </c>
      <c r="S882" t="s">
        <v>57</v>
      </c>
      <c r="T882">
        <v>3</v>
      </c>
      <c r="U882">
        <v>839.31</v>
      </c>
      <c r="V882">
        <v>1164.76</v>
      </c>
      <c r="W882">
        <v>2</v>
      </c>
      <c r="X882" t="s">
        <v>34</v>
      </c>
      <c r="Y882">
        <v>2026</v>
      </c>
    </row>
    <row r="883" spans="1:25" x14ac:dyDescent="0.3">
      <c r="A883" t="s">
        <v>2344</v>
      </c>
      <c r="B883" s="1">
        <v>45463</v>
      </c>
      <c r="C883" t="s">
        <v>2345</v>
      </c>
      <c r="D883" t="s">
        <v>2908</v>
      </c>
      <c r="E883" s="1">
        <v>45468</v>
      </c>
      <c r="F883" t="s">
        <v>100</v>
      </c>
      <c r="G883" t="s">
        <v>98</v>
      </c>
      <c r="H883" t="s">
        <v>99</v>
      </c>
      <c r="I883" t="s">
        <v>2625</v>
      </c>
      <c r="J883" t="s">
        <v>2703</v>
      </c>
      <c r="K883" t="s">
        <v>25</v>
      </c>
      <c r="L883">
        <v>21</v>
      </c>
      <c r="M883">
        <v>4</v>
      </c>
      <c r="N883">
        <v>30</v>
      </c>
      <c r="O883" t="s">
        <v>382</v>
      </c>
      <c r="P883" t="s">
        <v>75</v>
      </c>
      <c r="Q883" t="s">
        <v>42</v>
      </c>
      <c r="R883" t="s">
        <v>43</v>
      </c>
      <c r="S883" t="s">
        <v>101</v>
      </c>
      <c r="T883">
        <v>3</v>
      </c>
      <c r="U883">
        <v>377.03</v>
      </c>
      <c r="V883">
        <v>644.16</v>
      </c>
      <c r="W883">
        <v>5</v>
      </c>
      <c r="X883" t="s">
        <v>49</v>
      </c>
      <c r="Y883">
        <v>2024</v>
      </c>
    </row>
    <row r="884" spans="1:25" x14ac:dyDescent="0.3">
      <c r="A884" t="s">
        <v>2346</v>
      </c>
      <c r="B884" s="1">
        <v>45491</v>
      </c>
      <c r="C884" t="s">
        <v>536</v>
      </c>
      <c r="D884" t="s">
        <v>2907</v>
      </c>
      <c r="E884" s="1">
        <v>45496</v>
      </c>
      <c r="F884" t="s">
        <v>122</v>
      </c>
      <c r="G884" t="s">
        <v>120</v>
      </c>
      <c r="H884" t="s">
        <v>121</v>
      </c>
      <c r="I884" t="s">
        <v>2629</v>
      </c>
      <c r="J884" t="s">
        <v>2630</v>
      </c>
      <c r="K884" t="s">
        <v>52</v>
      </c>
      <c r="L884">
        <v>21</v>
      </c>
      <c r="M884">
        <v>5</v>
      </c>
      <c r="N884">
        <v>10</v>
      </c>
      <c r="O884" t="s">
        <v>198</v>
      </c>
      <c r="P884" t="s">
        <v>44</v>
      </c>
      <c r="Q884" t="s">
        <v>117</v>
      </c>
      <c r="R884" t="s">
        <v>71</v>
      </c>
      <c r="S884" t="s">
        <v>123</v>
      </c>
      <c r="T884">
        <v>5</v>
      </c>
      <c r="U884">
        <v>330.68</v>
      </c>
      <c r="V884">
        <v>803.19</v>
      </c>
      <c r="W884">
        <v>5</v>
      </c>
      <c r="X884" t="s">
        <v>45</v>
      </c>
      <c r="Y884">
        <v>2024</v>
      </c>
    </row>
    <row r="885" spans="1:25" x14ac:dyDescent="0.3">
      <c r="A885" t="s">
        <v>2347</v>
      </c>
      <c r="B885" s="1">
        <v>45520</v>
      </c>
      <c r="C885" t="s">
        <v>2348</v>
      </c>
      <c r="D885" t="s">
        <v>2906</v>
      </c>
      <c r="E885" s="1">
        <v>45523</v>
      </c>
      <c r="F885" t="s">
        <v>140</v>
      </c>
      <c r="G885" t="s">
        <v>38</v>
      </c>
      <c r="H885" t="s">
        <v>139</v>
      </c>
      <c r="I885" t="s">
        <v>2622</v>
      </c>
      <c r="J885" t="s">
        <v>2686</v>
      </c>
      <c r="K885" t="s">
        <v>52</v>
      </c>
      <c r="L885">
        <v>19</v>
      </c>
      <c r="M885">
        <v>5</v>
      </c>
      <c r="N885">
        <v>20</v>
      </c>
      <c r="O885" t="s">
        <v>264</v>
      </c>
      <c r="P885" t="s">
        <v>44</v>
      </c>
      <c r="Q885" t="s">
        <v>70</v>
      </c>
      <c r="R885" t="s">
        <v>62</v>
      </c>
      <c r="S885" t="s">
        <v>141</v>
      </c>
      <c r="T885">
        <v>2</v>
      </c>
      <c r="U885">
        <v>466.54</v>
      </c>
      <c r="V885">
        <v>1553.81</v>
      </c>
      <c r="W885">
        <v>3</v>
      </c>
      <c r="X885" t="s">
        <v>45</v>
      </c>
      <c r="Y885">
        <v>2024</v>
      </c>
    </row>
    <row r="886" spans="1:25" x14ac:dyDescent="0.3">
      <c r="A886" t="s">
        <v>2349</v>
      </c>
      <c r="B886" s="1">
        <v>45986</v>
      </c>
      <c r="C886" t="s">
        <v>2350</v>
      </c>
      <c r="D886" t="s">
        <v>2905</v>
      </c>
      <c r="E886" s="1">
        <v>45993</v>
      </c>
      <c r="F886" t="s">
        <v>140</v>
      </c>
      <c r="G886" t="s">
        <v>38</v>
      </c>
      <c r="H886" t="s">
        <v>139</v>
      </c>
      <c r="I886" t="s">
        <v>2668</v>
      </c>
      <c r="J886" t="s">
        <v>2669</v>
      </c>
      <c r="K886" t="s">
        <v>25</v>
      </c>
      <c r="L886">
        <v>64</v>
      </c>
      <c r="M886">
        <v>1</v>
      </c>
      <c r="N886">
        <v>25</v>
      </c>
      <c r="O886" t="s">
        <v>2351</v>
      </c>
      <c r="P886" t="s">
        <v>33</v>
      </c>
      <c r="Q886" t="s">
        <v>42</v>
      </c>
      <c r="R886" t="s">
        <v>43</v>
      </c>
      <c r="S886" t="s">
        <v>141</v>
      </c>
      <c r="T886">
        <v>5</v>
      </c>
      <c r="U886">
        <v>410.52</v>
      </c>
      <c r="V886">
        <v>173.45</v>
      </c>
      <c r="W886">
        <v>7</v>
      </c>
      <c r="X886" t="s">
        <v>94</v>
      </c>
      <c r="Y886">
        <v>2025</v>
      </c>
    </row>
    <row r="887" spans="1:25" x14ac:dyDescent="0.3">
      <c r="A887" t="s">
        <v>2352</v>
      </c>
      <c r="B887" s="1">
        <v>45821</v>
      </c>
      <c r="C887" t="s">
        <v>2353</v>
      </c>
      <c r="D887" t="s">
        <v>2904</v>
      </c>
      <c r="E887" s="1">
        <v>45824</v>
      </c>
      <c r="F887" t="s">
        <v>68</v>
      </c>
      <c r="G887" t="s">
        <v>66</v>
      </c>
      <c r="H887" t="s">
        <v>67</v>
      </c>
      <c r="I887" t="s">
        <v>2665</v>
      </c>
      <c r="J887" t="s">
        <v>2666</v>
      </c>
      <c r="K887" t="s">
        <v>52</v>
      </c>
      <c r="L887">
        <v>45</v>
      </c>
      <c r="M887">
        <v>2</v>
      </c>
      <c r="N887">
        <v>25</v>
      </c>
      <c r="O887" t="s">
        <v>2354</v>
      </c>
      <c r="P887" t="s">
        <v>44</v>
      </c>
      <c r="Q887" t="s">
        <v>70</v>
      </c>
      <c r="R887" t="s">
        <v>71</v>
      </c>
      <c r="S887" t="s">
        <v>69</v>
      </c>
      <c r="T887">
        <v>3</v>
      </c>
      <c r="U887">
        <v>33.08</v>
      </c>
      <c r="V887">
        <v>33.93</v>
      </c>
      <c r="W887">
        <v>3</v>
      </c>
      <c r="X887" t="s">
        <v>49</v>
      </c>
      <c r="Y887">
        <v>2025</v>
      </c>
    </row>
    <row r="888" spans="1:25" x14ac:dyDescent="0.3">
      <c r="A888" t="s">
        <v>2355</v>
      </c>
      <c r="B888" s="1">
        <v>45835</v>
      </c>
      <c r="C888" t="s">
        <v>2356</v>
      </c>
      <c r="D888" t="s">
        <v>2903</v>
      </c>
      <c r="E888" s="1">
        <v>45840</v>
      </c>
      <c r="F888" t="s">
        <v>122</v>
      </c>
      <c r="G888" t="s">
        <v>120</v>
      </c>
      <c r="H888" t="s">
        <v>121</v>
      </c>
      <c r="I888" t="s">
        <v>2675</v>
      </c>
      <c r="J888" t="s">
        <v>2699</v>
      </c>
      <c r="K888" t="s">
        <v>25</v>
      </c>
      <c r="L888">
        <v>44</v>
      </c>
      <c r="M888">
        <v>5</v>
      </c>
      <c r="N888">
        <v>5</v>
      </c>
      <c r="O888" t="s">
        <v>2357</v>
      </c>
      <c r="P888" t="s">
        <v>33</v>
      </c>
      <c r="Q888" t="s">
        <v>58</v>
      </c>
      <c r="R888" t="s">
        <v>62</v>
      </c>
      <c r="S888" t="s">
        <v>123</v>
      </c>
      <c r="T888">
        <v>2</v>
      </c>
      <c r="U888">
        <v>686.49</v>
      </c>
      <c r="V888">
        <v>1882.32</v>
      </c>
      <c r="W888">
        <v>5</v>
      </c>
      <c r="X888" t="s">
        <v>49</v>
      </c>
      <c r="Y888">
        <v>2025</v>
      </c>
    </row>
    <row r="889" spans="1:25" x14ac:dyDescent="0.3">
      <c r="A889" t="s">
        <v>2358</v>
      </c>
      <c r="B889" s="1">
        <v>46083</v>
      </c>
      <c r="C889" t="s">
        <v>2359</v>
      </c>
      <c r="D889" t="s">
        <v>2902</v>
      </c>
      <c r="E889" s="1">
        <v>46086</v>
      </c>
      <c r="F889" t="s">
        <v>29</v>
      </c>
      <c r="G889" t="s">
        <v>27</v>
      </c>
      <c r="H889" t="s">
        <v>28</v>
      </c>
      <c r="I889" t="s">
        <v>2661</v>
      </c>
      <c r="J889" t="s">
        <v>2662</v>
      </c>
      <c r="K889" t="s">
        <v>52</v>
      </c>
      <c r="L889">
        <v>40</v>
      </c>
      <c r="M889">
        <v>2</v>
      </c>
      <c r="N889">
        <v>0</v>
      </c>
      <c r="O889" t="s">
        <v>2360</v>
      </c>
      <c r="P889" t="s">
        <v>33</v>
      </c>
      <c r="Q889" t="s">
        <v>31</v>
      </c>
      <c r="R889" t="s">
        <v>62</v>
      </c>
      <c r="S889" t="s">
        <v>30</v>
      </c>
      <c r="T889">
        <v>5</v>
      </c>
      <c r="U889">
        <v>183.67</v>
      </c>
      <c r="V889">
        <v>303.39999999999998</v>
      </c>
      <c r="W889">
        <v>3</v>
      </c>
      <c r="X889" t="s">
        <v>34</v>
      </c>
      <c r="Y889">
        <v>2026</v>
      </c>
    </row>
    <row r="890" spans="1:25" x14ac:dyDescent="0.3">
      <c r="A890" t="s">
        <v>2361</v>
      </c>
      <c r="B890" s="1">
        <v>46162</v>
      </c>
      <c r="C890" t="s">
        <v>2362</v>
      </c>
      <c r="D890" t="s">
        <v>2901</v>
      </c>
      <c r="E890" s="1">
        <v>46163</v>
      </c>
      <c r="F890" t="s">
        <v>122</v>
      </c>
      <c r="G890" t="s">
        <v>120</v>
      </c>
      <c r="H890" t="s">
        <v>121</v>
      </c>
      <c r="I890" t="s">
        <v>2668</v>
      </c>
      <c r="J890" t="s">
        <v>2669</v>
      </c>
      <c r="K890" t="s">
        <v>52</v>
      </c>
      <c r="L890">
        <v>30</v>
      </c>
      <c r="M890">
        <v>1</v>
      </c>
      <c r="N890">
        <v>10</v>
      </c>
      <c r="O890" t="s">
        <v>2363</v>
      </c>
      <c r="P890" t="s">
        <v>44</v>
      </c>
      <c r="Q890" t="s">
        <v>58</v>
      </c>
      <c r="R890" t="s">
        <v>43</v>
      </c>
      <c r="S890" t="s">
        <v>123</v>
      </c>
      <c r="T890">
        <v>1</v>
      </c>
      <c r="U890">
        <v>868.73</v>
      </c>
      <c r="V890">
        <v>405.51</v>
      </c>
      <c r="W890">
        <v>1</v>
      </c>
      <c r="X890" t="s">
        <v>49</v>
      </c>
      <c r="Y890">
        <v>2026</v>
      </c>
    </row>
    <row r="891" spans="1:25" x14ac:dyDescent="0.3">
      <c r="A891" t="s">
        <v>2364</v>
      </c>
      <c r="B891" s="1">
        <v>46192</v>
      </c>
      <c r="C891" t="s">
        <v>2365</v>
      </c>
      <c r="D891" t="s">
        <v>2900</v>
      </c>
      <c r="E891" s="1">
        <v>46197</v>
      </c>
      <c r="F891" t="s">
        <v>122</v>
      </c>
      <c r="G891" t="s">
        <v>120</v>
      </c>
      <c r="H891" t="s">
        <v>121</v>
      </c>
      <c r="I891" t="s">
        <v>2679</v>
      </c>
      <c r="J891" t="s">
        <v>2680</v>
      </c>
      <c r="K891" t="s">
        <v>52</v>
      </c>
      <c r="L891">
        <v>25</v>
      </c>
      <c r="M891">
        <v>4</v>
      </c>
      <c r="N891">
        <v>20</v>
      </c>
      <c r="O891" t="s">
        <v>209</v>
      </c>
      <c r="P891" t="s">
        <v>33</v>
      </c>
      <c r="Q891" t="s">
        <v>70</v>
      </c>
      <c r="R891" t="s">
        <v>32</v>
      </c>
      <c r="S891" t="s">
        <v>123</v>
      </c>
      <c r="T891">
        <v>3</v>
      </c>
      <c r="U891">
        <v>609.62</v>
      </c>
      <c r="V891">
        <v>1096.9000000000001</v>
      </c>
      <c r="W891">
        <v>5</v>
      </c>
      <c r="X891" t="s">
        <v>49</v>
      </c>
      <c r="Y891">
        <v>2026</v>
      </c>
    </row>
    <row r="892" spans="1:25" x14ac:dyDescent="0.3">
      <c r="A892" t="s">
        <v>2366</v>
      </c>
      <c r="B892" s="1">
        <v>45528</v>
      </c>
      <c r="C892" t="s">
        <v>2367</v>
      </c>
      <c r="D892" t="s">
        <v>2899</v>
      </c>
      <c r="E892" s="1">
        <v>45533</v>
      </c>
      <c r="F892" t="s">
        <v>56</v>
      </c>
      <c r="G892" t="s">
        <v>54</v>
      </c>
      <c r="H892" t="s">
        <v>55</v>
      </c>
      <c r="I892" t="s">
        <v>2647</v>
      </c>
      <c r="J892" t="s">
        <v>2658</v>
      </c>
      <c r="K892" t="s">
        <v>52</v>
      </c>
      <c r="L892">
        <v>36</v>
      </c>
      <c r="M892">
        <v>4</v>
      </c>
      <c r="N892">
        <v>30</v>
      </c>
      <c r="O892" t="s">
        <v>1193</v>
      </c>
      <c r="P892" t="s">
        <v>75</v>
      </c>
      <c r="Q892" t="s">
        <v>58</v>
      </c>
      <c r="R892" t="s">
        <v>71</v>
      </c>
      <c r="S892" t="s">
        <v>57</v>
      </c>
      <c r="T892">
        <v>3</v>
      </c>
      <c r="U892">
        <v>251.47</v>
      </c>
      <c r="V892">
        <v>521.29</v>
      </c>
      <c r="W892">
        <v>5</v>
      </c>
      <c r="X892" t="s">
        <v>45</v>
      </c>
      <c r="Y892">
        <v>2024</v>
      </c>
    </row>
    <row r="893" spans="1:25" x14ac:dyDescent="0.3">
      <c r="A893" t="s">
        <v>2368</v>
      </c>
      <c r="B893" s="1">
        <v>45647</v>
      </c>
      <c r="C893" t="s">
        <v>2369</v>
      </c>
      <c r="D893" t="s">
        <v>2898</v>
      </c>
      <c r="E893" s="1">
        <v>45652</v>
      </c>
      <c r="F893" t="s">
        <v>140</v>
      </c>
      <c r="G893" t="s">
        <v>38</v>
      </c>
      <c r="H893" t="s">
        <v>139</v>
      </c>
      <c r="I893" t="s">
        <v>2623</v>
      </c>
      <c r="J893" t="s">
        <v>2696</v>
      </c>
      <c r="K893" t="s">
        <v>25</v>
      </c>
      <c r="L893">
        <v>21</v>
      </c>
      <c r="M893">
        <v>4</v>
      </c>
      <c r="N893">
        <v>25</v>
      </c>
      <c r="O893" t="s">
        <v>1367</v>
      </c>
      <c r="P893" t="s">
        <v>75</v>
      </c>
      <c r="Q893" t="s">
        <v>31</v>
      </c>
      <c r="R893" t="s">
        <v>62</v>
      </c>
      <c r="S893" t="s">
        <v>141</v>
      </c>
      <c r="T893">
        <v>4</v>
      </c>
      <c r="U893">
        <v>888.12</v>
      </c>
      <c r="V893">
        <v>1939.47</v>
      </c>
      <c r="W893">
        <v>5</v>
      </c>
      <c r="X893" t="s">
        <v>94</v>
      </c>
      <c r="Y893">
        <v>2024</v>
      </c>
    </row>
    <row r="894" spans="1:25" x14ac:dyDescent="0.3">
      <c r="A894" t="s">
        <v>2370</v>
      </c>
      <c r="B894" s="1">
        <v>45426</v>
      </c>
      <c r="C894" t="s">
        <v>2371</v>
      </c>
      <c r="D894" t="s">
        <v>2897</v>
      </c>
      <c r="E894" s="1">
        <v>45432</v>
      </c>
      <c r="F894" t="s">
        <v>29</v>
      </c>
      <c r="G894" t="s">
        <v>27</v>
      </c>
      <c r="H894" t="s">
        <v>28</v>
      </c>
      <c r="I894" t="s">
        <v>2665</v>
      </c>
      <c r="J894" t="s">
        <v>2693</v>
      </c>
      <c r="K894" t="s">
        <v>25</v>
      </c>
      <c r="L894">
        <v>63</v>
      </c>
      <c r="M894">
        <v>4</v>
      </c>
      <c r="N894">
        <v>25</v>
      </c>
      <c r="O894" t="s">
        <v>1952</v>
      </c>
      <c r="P894" t="s">
        <v>33</v>
      </c>
      <c r="Q894" t="s">
        <v>70</v>
      </c>
      <c r="R894" t="s">
        <v>62</v>
      </c>
      <c r="S894" t="s">
        <v>30</v>
      </c>
      <c r="T894">
        <v>1</v>
      </c>
      <c r="U894">
        <v>120.4</v>
      </c>
      <c r="V894">
        <v>219.84</v>
      </c>
      <c r="W894">
        <v>6</v>
      </c>
      <c r="X894" t="s">
        <v>49</v>
      </c>
      <c r="Y894">
        <v>2024</v>
      </c>
    </row>
    <row r="895" spans="1:25" x14ac:dyDescent="0.3">
      <c r="A895" t="s">
        <v>2372</v>
      </c>
      <c r="B895" s="1">
        <v>45770</v>
      </c>
      <c r="C895" t="s">
        <v>2373</v>
      </c>
      <c r="D895" t="s">
        <v>2896</v>
      </c>
      <c r="E895" s="1">
        <v>45771</v>
      </c>
      <c r="F895" t="s">
        <v>100</v>
      </c>
      <c r="G895" t="s">
        <v>98</v>
      </c>
      <c r="H895" t="s">
        <v>99</v>
      </c>
      <c r="I895" t="s">
        <v>2632</v>
      </c>
      <c r="J895" t="s">
        <v>2646</v>
      </c>
      <c r="K895" t="s">
        <v>25</v>
      </c>
      <c r="L895">
        <v>31</v>
      </c>
      <c r="M895">
        <v>1</v>
      </c>
      <c r="N895">
        <v>5</v>
      </c>
      <c r="O895" t="s">
        <v>1219</v>
      </c>
      <c r="P895" t="s">
        <v>33</v>
      </c>
      <c r="Q895" t="s">
        <v>42</v>
      </c>
      <c r="R895" t="s">
        <v>32</v>
      </c>
      <c r="S895" t="s">
        <v>101</v>
      </c>
      <c r="T895">
        <v>3</v>
      </c>
      <c r="U895">
        <v>336.15</v>
      </c>
      <c r="V895">
        <v>165.6</v>
      </c>
      <c r="W895">
        <v>1</v>
      </c>
      <c r="X895" t="s">
        <v>49</v>
      </c>
      <c r="Y895">
        <v>2025</v>
      </c>
    </row>
    <row r="896" spans="1:25" x14ac:dyDescent="0.3">
      <c r="A896" t="s">
        <v>2374</v>
      </c>
      <c r="B896" s="1">
        <v>45845</v>
      </c>
      <c r="C896" t="s">
        <v>2375</v>
      </c>
      <c r="D896" t="s">
        <v>2895</v>
      </c>
      <c r="E896" s="1">
        <v>45847</v>
      </c>
      <c r="F896" t="s">
        <v>128</v>
      </c>
      <c r="G896" t="s">
        <v>98</v>
      </c>
      <c r="H896" t="s">
        <v>127</v>
      </c>
      <c r="I896" t="s">
        <v>2635</v>
      </c>
      <c r="J896" t="s">
        <v>2643</v>
      </c>
      <c r="K896" t="s">
        <v>25</v>
      </c>
      <c r="L896">
        <v>28</v>
      </c>
      <c r="M896">
        <v>4</v>
      </c>
      <c r="N896">
        <v>5</v>
      </c>
      <c r="O896" t="s">
        <v>2376</v>
      </c>
      <c r="P896" t="s">
        <v>44</v>
      </c>
      <c r="Q896" t="s">
        <v>58</v>
      </c>
      <c r="R896" t="s">
        <v>71</v>
      </c>
      <c r="S896" t="s">
        <v>129</v>
      </c>
      <c r="T896">
        <v>2</v>
      </c>
      <c r="U896">
        <v>438.31</v>
      </c>
      <c r="V896">
        <v>1389.1</v>
      </c>
      <c r="W896">
        <v>2</v>
      </c>
      <c r="X896" t="s">
        <v>45</v>
      </c>
      <c r="Y896">
        <v>2025</v>
      </c>
    </row>
    <row r="897" spans="1:25" x14ac:dyDescent="0.3">
      <c r="A897" t="s">
        <v>2377</v>
      </c>
      <c r="B897" s="1">
        <v>45681</v>
      </c>
      <c r="C897" t="s">
        <v>2378</v>
      </c>
      <c r="D897" t="s">
        <v>2894</v>
      </c>
      <c r="E897" s="1">
        <v>45683</v>
      </c>
      <c r="F897" t="s">
        <v>122</v>
      </c>
      <c r="G897" t="s">
        <v>120</v>
      </c>
      <c r="H897" t="s">
        <v>121</v>
      </c>
      <c r="I897" t="s">
        <v>2622</v>
      </c>
      <c r="J897" t="s">
        <v>2705</v>
      </c>
      <c r="K897" t="s">
        <v>52</v>
      </c>
      <c r="L897">
        <v>55</v>
      </c>
      <c r="M897">
        <v>1</v>
      </c>
      <c r="N897">
        <v>10</v>
      </c>
      <c r="O897" t="s">
        <v>93</v>
      </c>
      <c r="P897" t="s">
        <v>44</v>
      </c>
      <c r="Q897" t="s">
        <v>42</v>
      </c>
      <c r="R897" t="s">
        <v>43</v>
      </c>
      <c r="S897" t="s">
        <v>123</v>
      </c>
      <c r="T897">
        <v>3</v>
      </c>
      <c r="U897">
        <v>65.400000000000006</v>
      </c>
      <c r="V897">
        <v>31.25</v>
      </c>
      <c r="W897">
        <v>2</v>
      </c>
      <c r="X897" t="s">
        <v>34</v>
      </c>
      <c r="Y897">
        <v>2025</v>
      </c>
    </row>
    <row r="898" spans="1:25" x14ac:dyDescent="0.3">
      <c r="A898" t="s">
        <v>2379</v>
      </c>
      <c r="B898" s="1">
        <v>45959</v>
      </c>
      <c r="C898" t="s">
        <v>2380</v>
      </c>
      <c r="D898" t="s">
        <v>2893</v>
      </c>
      <c r="E898" s="1">
        <v>45965</v>
      </c>
      <c r="F898" t="s">
        <v>29</v>
      </c>
      <c r="G898" t="s">
        <v>27</v>
      </c>
      <c r="H898" t="s">
        <v>28</v>
      </c>
      <c r="I898" t="s">
        <v>2623</v>
      </c>
      <c r="J898" t="s">
        <v>2624</v>
      </c>
      <c r="K898" t="s">
        <v>52</v>
      </c>
      <c r="L898">
        <v>18</v>
      </c>
      <c r="M898">
        <v>1</v>
      </c>
      <c r="N898">
        <v>30</v>
      </c>
      <c r="O898" t="s">
        <v>437</v>
      </c>
      <c r="P898" t="s">
        <v>44</v>
      </c>
      <c r="Q898" t="s">
        <v>70</v>
      </c>
      <c r="R898" t="s">
        <v>32</v>
      </c>
      <c r="S898" t="s">
        <v>30</v>
      </c>
      <c r="T898">
        <v>2</v>
      </c>
      <c r="U898">
        <v>10.08</v>
      </c>
      <c r="V898">
        <v>4.7699999999999996</v>
      </c>
      <c r="W898">
        <v>6</v>
      </c>
      <c r="X898" t="s">
        <v>94</v>
      </c>
      <c r="Y898">
        <v>2025</v>
      </c>
    </row>
    <row r="899" spans="1:25" x14ac:dyDescent="0.3">
      <c r="A899" t="s">
        <v>2381</v>
      </c>
      <c r="B899" s="1">
        <v>45525</v>
      </c>
      <c r="C899" t="s">
        <v>2382</v>
      </c>
      <c r="D899" t="s">
        <v>2892</v>
      </c>
      <c r="E899" s="1">
        <v>45528</v>
      </c>
      <c r="F899" t="s">
        <v>140</v>
      </c>
      <c r="G899" t="s">
        <v>38</v>
      </c>
      <c r="H899" t="s">
        <v>139</v>
      </c>
      <c r="I899" t="s">
        <v>2665</v>
      </c>
      <c r="J899" t="s">
        <v>2693</v>
      </c>
      <c r="K899" t="s">
        <v>52</v>
      </c>
      <c r="L899">
        <v>24</v>
      </c>
      <c r="M899">
        <v>3</v>
      </c>
      <c r="N899">
        <v>30</v>
      </c>
      <c r="O899" t="s">
        <v>2261</v>
      </c>
      <c r="P899" t="s">
        <v>33</v>
      </c>
      <c r="Q899" t="s">
        <v>31</v>
      </c>
      <c r="R899" t="s">
        <v>62</v>
      </c>
      <c r="S899" t="s">
        <v>141</v>
      </c>
      <c r="T899">
        <v>4</v>
      </c>
      <c r="U899">
        <v>470.12</v>
      </c>
      <c r="V899">
        <v>642.30999999999995</v>
      </c>
      <c r="W899">
        <v>3</v>
      </c>
      <c r="X899" t="s">
        <v>45</v>
      </c>
      <c r="Y899">
        <v>2024</v>
      </c>
    </row>
    <row r="900" spans="1:25" x14ac:dyDescent="0.3">
      <c r="A900" t="s">
        <v>2383</v>
      </c>
      <c r="B900" s="1">
        <v>45434</v>
      </c>
      <c r="C900" t="s">
        <v>2384</v>
      </c>
      <c r="D900" t="s">
        <v>2891</v>
      </c>
      <c r="E900" s="1">
        <v>45437</v>
      </c>
      <c r="F900" t="s">
        <v>115</v>
      </c>
      <c r="G900" t="s">
        <v>66</v>
      </c>
      <c r="H900" t="s">
        <v>114</v>
      </c>
      <c r="I900" t="s">
        <v>2631</v>
      </c>
      <c r="J900" t="s">
        <v>2711</v>
      </c>
      <c r="K900" t="s">
        <v>52</v>
      </c>
      <c r="L900">
        <v>23</v>
      </c>
      <c r="M900">
        <v>4</v>
      </c>
      <c r="N900">
        <v>30</v>
      </c>
      <c r="O900" t="s">
        <v>2385</v>
      </c>
      <c r="P900" t="s">
        <v>33</v>
      </c>
      <c r="Q900" t="s">
        <v>117</v>
      </c>
      <c r="R900" t="s">
        <v>71</v>
      </c>
      <c r="S900" t="s">
        <v>116</v>
      </c>
      <c r="T900">
        <v>3</v>
      </c>
      <c r="U900">
        <v>853.2</v>
      </c>
      <c r="V900">
        <v>1932.7</v>
      </c>
      <c r="W900">
        <v>3</v>
      </c>
      <c r="X900" t="s">
        <v>49</v>
      </c>
      <c r="Y900">
        <v>2024</v>
      </c>
    </row>
    <row r="901" spans="1:25" x14ac:dyDescent="0.3">
      <c r="A901" t="s">
        <v>2386</v>
      </c>
      <c r="B901" s="1">
        <v>45840</v>
      </c>
      <c r="C901" t="s">
        <v>2387</v>
      </c>
      <c r="D901" t="s">
        <v>2890</v>
      </c>
      <c r="E901" s="1">
        <v>45842</v>
      </c>
      <c r="F901" t="s">
        <v>29</v>
      </c>
      <c r="G901" t="s">
        <v>27</v>
      </c>
      <c r="H901" t="s">
        <v>28</v>
      </c>
      <c r="I901" t="s">
        <v>2635</v>
      </c>
      <c r="J901" t="s">
        <v>2677</v>
      </c>
      <c r="K901" t="s">
        <v>52</v>
      </c>
      <c r="L901">
        <v>19</v>
      </c>
      <c r="M901">
        <v>3</v>
      </c>
      <c r="N901">
        <v>30</v>
      </c>
      <c r="O901" t="s">
        <v>2388</v>
      </c>
      <c r="P901" t="s">
        <v>75</v>
      </c>
      <c r="Q901" t="s">
        <v>31</v>
      </c>
      <c r="R901" t="s">
        <v>62</v>
      </c>
      <c r="S901" t="s">
        <v>30</v>
      </c>
      <c r="T901">
        <v>3</v>
      </c>
      <c r="U901">
        <v>239.49</v>
      </c>
      <c r="V901">
        <v>395.88</v>
      </c>
      <c r="W901">
        <v>2</v>
      </c>
      <c r="X901" t="s">
        <v>45</v>
      </c>
      <c r="Y901">
        <v>2025</v>
      </c>
    </row>
    <row r="902" spans="1:25" x14ac:dyDescent="0.3">
      <c r="A902" t="s">
        <v>2389</v>
      </c>
      <c r="B902" s="1">
        <v>45828</v>
      </c>
      <c r="C902" t="s">
        <v>2390</v>
      </c>
      <c r="D902" t="s">
        <v>2889</v>
      </c>
      <c r="E902" s="1">
        <v>45829</v>
      </c>
      <c r="F902" t="s">
        <v>29</v>
      </c>
      <c r="G902" t="s">
        <v>27</v>
      </c>
      <c r="H902" t="s">
        <v>28</v>
      </c>
      <c r="I902" t="s">
        <v>2634</v>
      </c>
      <c r="J902" t="s">
        <v>2644</v>
      </c>
      <c r="K902" t="s">
        <v>25</v>
      </c>
      <c r="L902">
        <v>18</v>
      </c>
      <c r="M902">
        <v>3</v>
      </c>
      <c r="N902">
        <v>5</v>
      </c>
      <c r="O902" t="s">
        <v>2202</v>
      </c>
      <c r="P902" t="s">
        <v>33</v>
      </c>
      <c r="Q902" t="s">
        <v>58</v>
      </c>
      <c r="R902" t="s">
        <v>62</v>
      </c>
      <c r="S902" t="s">
        <v>30</v>
      </c>
      <c r="T902">
        <v>4</v>
      </c>
      <c r="U902">
        <v>376.63</v>
      </c>
      <c r="V902">
        <v>756.52</v>
      </c>
      <c r="W902">
        <v>1</v>
      </c>
      <c r="X902" t="s">
        <v>49</v>
      </c>
      <c r="Y902">
        <v>2025</v>
      </c>
    </row>
    <row r="903" spans="1:25" x14ac:dyDescent="0.3">
      <c r="A903" t="s">
        <v>2391</v>
      </c>
      <c r="B903" s="1">
        <v>45557</v>
      </c>
      <c r="C903" t="s">
        <v>2392</v>
      </c>
      <c r="D903" t="s">
        <v>2888</v>
      </c>
      <c r="E903" s="1">
        <v>45563</v>
      </c>
      <c r="F903" t="s">
        <v>68</v>
      </c>
      <c r="G903" t="s">
        <v>66</v>
      </c>
      <c r="H903" t="s">
        <v>67</v>
      </c>
      <c r="I903" t="s">
        <v>2622</v>
      </c>
      <c r="J903" t="s">
        <v>2622</v>
      </c>
      <c r="K903" t="s">
        <v>52</v>
      </c>
      <c r="L903">
        <v>18</v>
      </c>
      <c r="M903">
        <v>1</v>
      </c>
      <c r="N903">
        <v>20</v>
      </c>
      <c r="O903" t="s">
        <v>1070</v>
      </c>
      <c r="P903" t="s">
        <v>44</v>
      </c>
      <c r="Q903" t="s">
        <v>117</v>
      </c>
      <c r="R903" t="s">
        <v>62</v>
      </c>
      <c r="S903" t="s">
        <v>69</v>
      </c>
      <c r="T903">
        <v>5</v>
      </c>
      <c r="U903">
        <v>755.98</v>
      </c>
      <c r="V903">
        <v>441.87</v>
      </c>
      <c r="W903">
        <v>6</v>
      </c>
      <c r="X903" t="s">
        <v>45</v>
      </c>
      <c r="Y903">
        <v>2024</v>
      </c>
    </row>
    <row r="904" spans="1:25" x14ac:dyDescent="0.3">
      <c r="A904" t="s">
        <v>2393</v>
      </c>
      <c r="B904" s="1">
        <v>45778</v>
      </c>
      <c r="C904" t="s">
        <v>2394</v>
      </c>
      <c r="D904" t="s">
        <v>2887</v>
      </c>
      <c r="E904" s="1">
        <v>45784</v>
      </c>
      <c r="F904" t="s">
        <v>56</v>
      </c>
      <c r="G904" t="s">
        <v>54</v>
      </c>
      <c r="H904" t="s">
        <v>55</v>
      </c>
      <c r="I904" t="s">
        <v>2625</v>
      </c>
      <c r="J904" t="s">
        <v>2667</v>
      </c>
      <c r="K904" t="s">
        <v>25</v>
      </c>
      <c r="L904">
        <v>45</v>
      </c>
      <c r="M904">
        <v>5</v>
      </c>
      <c r="N904">
        <v>30</v>
      </c>
      <c r="O904" t="s">
        <v>473</v>
      </c>
      <c r="P904" t="s">
        <v>75</v>
      </c>
      <c r="Q904" t="s">
        <v>70</v>
      </c>
      <c r="R904" t="s">
        <v>71</v>
      </c>
      <c r="S904" t="s">
        <v>57</v>
      </c>
      <c r="T904">
        <v>4</v>
      </c>
      <c r="U904">
        <v>181.78</v>
      </c>
      <c r="V904">
        <v>397.47</v>
      </c>
      <c r="W904">
        <v>6</v>
      </c>
      <c r="X904" t="s">
        <v>49</v>
      </c>
      <c r="Y904">
        <v>2025</v>
      </c>
    </row>
    <row r="905" spans="1:25" x14ac:dyDescent="0.3">
      <c r="A905" t="s">
        <v>2395</v>
      </c>
      <c r="B905" s="1">
        <v>45936</v>
      </c>
      <c r="C905" t="s">
        <v>1774</v>
      </c>
      <c r="D905" t="s">
        <v>2886</v>
      </c>
      <c r="E905" s="1">
        <v>45939</v>
      </c>
      <c r="F905" t="s">
        <v>29</v>
      </c>
      <c r="G905" t="s">
        <v>27</v>
      </c>
      <c r="H905" t="s">
        <v>28</v>
      </c>
      <c r="I905" t="s">
        <v>2665</v>
      </c>
      <c r="J905" t="s">
        <v>2666</v>
      </c>
      <c r="K905" t="s">
        <v>25</v>
      </c>
      <c r="L905">
        <v>19</v>
      </c>
      <c r="M905">
        <v>4</v>
      </c>
      <c r="N905">
        <v>20</v>
      </c>
      <c r="O905" t="s">
        <v>774</v>
      </c>
      <c r="P905" t="s">
        <v>44</v>
      </c>
      <c r="Q905" t="s">
        <v>117</v>
      </c>
      <c r="R905" t="s">
        <v>62</v>
      </c>
      <c r="S905" t="s">
        <v>30</v>
      </c>
      <c r="T905">
        <v>5</v>
      </c>
      <c r="U905">
        <v>821.26</v>
      </c>
      <c r="V905">
        <v>1844.65</v>
      </c>
      <c r="W905">
        <v>3</v>
      </c>
      <c r="X905" t="s">
        <v>94</v>
      </c>
      <c r="Y905">
        <v>2025</v>
      </c>
    </row>
    <row r="906" spans="1:25" x14ac:dyDescent="0.3">
      <c r="A906" t="s">
        <v>2396</v>
      </c>
      <c r="B906" s="1">
        <v>46169</v>
      </c>
      <c r="C906" t="s">
        <v>2397</v>
      </c>
      <c r="D906" t="s">
        <v>2885</v>
      </c>
      <c r="E906" s="1">
        <v>46174</v>
      </c>
      <c r="F906" t="s">
        <v>40</v>
      </c>
      <c r="G906" t="s">
        <v>38</v>
      </c>
      <c r="H906" t="s">
        <v>39</v>
      </c>
      <c r="I906" t="s">
        <v>2631</v>
      </c>
      <c r="J906" t="s">
        <v>2694</v>
      </c>
      <c r="K906" t="s">
        <v>25</v>
      </c>
      <c r="L906">
        <v>24</v>
      </c>
      <c r="M906">
        <v>4</v>
      </c>
      <c r="N906">
        <v>20</v>
      </c>
      <c r="O906" t="s">
        <v>490</v>
      </c>
      <c r="P906" t="s">
        <v>33</v>
      </c>
      <c r="Q906" t="s">
        <v>58</v>
      </c>
      <c r="R906" t="s">
        <v>62</v>
      </c>
      <c r="S906" t="s">
        <v>41</v>
      </c>
      <c r="T906">
        <v>3</v>
      </c>
      <c r="U906">
        <v>944.43</v>
      </c>
      <c r="V906">
        <v>1725.53</v>
      </c>
      <c r="W906">
        <v>5</v>
      </c>
      <c r="X906" t="s">
        <v>49</v>
      </c>
      <c r="Y906">
        <v>2026</v>
      </c>
    </row>
    <row r="907" spans="1:25" x14ac:dyDescent="0.3">
      <c r="A907" t="s">
        <v>2398</v>
      </c>
      <c r="B907" s="1">
        <v>45697</v>
      </c>
      <c r="C907" t="s">
        <v>2399</v>
      </c>
      <c r="D907" t="s">
        <v>2884</v>
      </c>
      <c r="E907" s="1">
        <v>45702</v>
      </c>
      <c r="F907" t="s">
        <v>128</v>
      </c>
      <c r="G907" t="s">
        <v>98</v>
      </c>
      <c r="H907" t="s">
        <v>127</v>
      </c>
      <c r="I907" t="s">
        <v>2635</v>
      </c>
      <c r="J907" t="s">
        <v>2643</v>
      </c>
      <c r="K907" t="s">
        <v>25</v>
      </c>
      <c r="L907">
        <v>27</v>
      </c>
      <c r="M907">
        <v>3</v>
      </c>
      <c r="N907">
        <v>5</v>
      </c>
      <c r="O907" t="s">
        <v>1675</v>
      </c>
      <c r="P907" t="s">
        <v>44</v>
      </c>
      <c r="Q907" t="s">
        <v>58</v>
      </c>
      <c r="R907" t="s">
        <v>43</v>
      </c>
      <c r="S907" t="s">
        <v>129</v>
      </c>
      <c r="T907">
        <v>4</v>
      </c>
      <c r="U907">
        <v>425</v>
      </c>
      <c r="V907">
        <v>788.91</v>
      </c>
      <c r="W907">
        <v>5</v>
      </c>
      <c r="X907" t="s">
        <v>34</v>
      </c>
      <c r="Y907">
        <v>2025</v>
      </c>
    </row>
    <row r="908" spans="1:25" x14ac:dyDescent="0.3">
      <c r="A908" t="s">
        <v>2400</v>
      </c>
      <c r="B908" s="1">
        <v>45755</v>
      </c>
      <c r="C908" t="s">
        <v>2401</v>
      </c>
      <c r="D908" t="s">
        <v>2883</v>
      </c>
      <c r="E908" s="1">
        <v>45757</v>
      </c>
      <c r="F908" t="s">
        <v>115</v>
      </c>
      <c r="G908" t="s">
        <v>66</v>
      </c>
      <c r="H908" t="s">
        <v>114</v>
      </c>
      <c r="I908" t="s">
        <v>2622</v>
      </c>
      <c r="J908" t="s">
        <v>2622</v>
      </c>
      <c r="K908" t="s">
        <v>52</v>
      </c>
      <c r="L908">
        <v>21</v>
      </c>
      <c r="M908">
        <v>1</v>
      </c>
      <c r="N908">
        <v>15</v>
      </c>
      <c r="O908" t="s">
        <v>165</v>
      </c>
      <c r="P908" t="s">
        <v>44</v>
      </c>
      <c r="Q908" t="s">
        <v>58</v>
      </c>
      <c r="R908" t="s">
        <v>62</v>
      </c>
      <c r="S908" t="s">
        <v>116</v>
      </c>
      <c r="T908">
        <v>3</v>
      </c>
      <c r="U908">
        <v>110.47</v>
      </c>
      <c r="V908">
        <v>54.28</v>
      </c>
      <c r="W908">
        <v>2</v>
      </c>
      <c r="X908" t="s">
        <v>49</v>
      </c>
      <c r="Y908">
        <v>2025</v>
      </c>
    </row>
    <row r="909" spans="1:25" x14ac:dyDescent="0.3">
      <c r="A909" t="s">
        <v>2402</v>
      </c>
      <c r="B909" s="1">
        <v>45383</v>
      </c>
      <c r="C909" t="s">
        <v>2403</v>
      </c>
      <c r="D909" t="s">
        <v>2882</v>
      </c>
      <c r="E909" s="1">
        <v>45389</v>
      </c>
      <c r="F909" t="s">
        <v>100</v>
      </c>
      <c r="G909" t="s">
        <v>98</v>
      </c>
      <c r="H909" t="s">
        <v>99</v>
      </c>
      <c r="I909" t="s">
        <v>2634</v>
      </c>
      <c r="J909" t="s">
        <v>2650</v>
      </c>
      <c r="K909" t="s">
        <v>25</v>
      </c>
      <c r="L909">
        <v>23</v>
      </c>
      <c r="M909">
        <v>2</v>
      </c>
      <c r="N909">
        <v>30</v>
      </c>
      <c r="O909" t="s">
        <v>646</v>
      </c>
      <c r="P909" t="s">
        <v>33</v>
      </c>
      <c r="Q909" t="s">
        <v>70</v>
      </c>
      <c r="R909" t="s">
        <v>43</v>
      </c>
      <c r="S909" t="s">
        <v>101</v>
      </c>
      <c r="T909">
        <v>1</v>
      </c>
      <c r="U909">
        <v>442.83</v>
      </c>
      <c r="V909">
        <v>416.21</v>
      </c>
      <c r="W909">
        <v>6</v>
      </c>
      <c r="X909" t="s">
        <v>49</v>
      </c>
      <c r="Y909">
        <v>2024</v>
      </c>
    </row>
    <row r="910" spans="1:25" x14ac:dyDescent="0.3">
      <c r="A910" t="s">
        <v>2404</v>
      </c>
      <c r="B910" s="1">
        <v>45438</v>
      </c>
      <c r="C910" t="s">
        <v>2405</v>
      </c>
      <c r="D910" t="s">
        <v>2881</v>
      </c>
      <c r="E910" s="1">
        <v>45440</v>
      </c>
      <c r="F910" t="s">
        <v>29</v>
      </c>
      <c r="G910" t="s">
        <v>27</v>
      </c>
      <c r="H910" t="s">
        <v>28</v>
      </c>
      <c r="I910" t="s">
        <v>2632</v>
      </c>
      <c r="J910" t="s">
        <v>2646</v>
      </c>
      <c r="K910" t="s">
        <v>25</v>
      </c>
      <c r="L910">
        <v>38</v>
      </c>
      <c r="M910">
        <v>1</v>
      </c>
      <c r="N910">
        <v>5</v>
      </c>
      <c r="O910" t="s">
        <v>2406</v>
      </c>
      <c r="P910" t="s">
        <v>33</v>
      </c>
      <c r="Q910" t="s">
        <v>117</v>
      </c>
      <c r="R910" t="s">
        <v>62</v>
      </c>
      <c r="S910" t="s">
        <v>30</v>
      </c>
      <c r="T910">
        <v>5</v>
      </c>
      <c r="U910">
        <v>333.15</v>
      </c>
      <c r="V910">
        <v>170.72</v>
      </c>
      <c r="W910">
        <v>2</v>
      </c>
      <c r="X910" t="s">
        <v>49</v>
      </c>
      <c r="Y910">
        <v>2024</v>
      </c>
    </row>
    <row r="911" spans="1:25" x14ac:dyDescent="0.3">
      <c r="A911" t="s">
        <v>2407</v>
      </c>
      <c r="B911" s="1">
        <v>45426</v>
      </c>
      <c r="C911" t="s">
        <v>2408</v>
      </c>
      <c r="D911" t="s">
        <v>2880</v>
      </c>
      <c r="E911" s="1">
        <v>45428</v>
      </c>
      <c r="F911" t="s">
        <v>122</v>
      </c>
      <c r="G911" t="s">
        <v>120</v>
      </c>
      <c r="H911" t="s">
        <v>121</v>
      </c>
      <c r="I911" t="s">
        <v>2659</v>
      </c>
      <c r="J911" t="s">
        <v>2681</v>
      </c>
      <c r="K911" t="s">
        <v>25</v>
      </c>
      <c r="L911">
        <v>18</v>
      </c>
      <c r="M911">
        <v>2</v>
      </c>
      <c r="N911">
        <v>25</v>
      </c>
      <c r="O911" t="s">
        <v>144</v>
      </c>
      <c r="P911" t="s">
        <v>33</v>
      </c>
      <c r="Q911" t="s">
        <v>58</v>
      </c>
      <c r="R911" t="s">
        <v>32</v>
      </c>
      <c r="S911" t="s">
        <v>123</v>
      </c>
      <c r="T911">
        <v>4</v>
      </c>
      <c r="U911">
        <v>330.65</v>
      </c>
      <c r="V911">
        <v>298.55</v>
      </c>
      <c r="W911">
        <v>2</v>
      </c>
      <c r="X911" t="s">
        <v>49</v>
      </c>
      <c r="Y911">
        <v>2024</v>
      </c>
    </row>
    <row r="912" spans="1:25" x14ac:dyDescent="0.3">
      <c r="A912" t="s">
        <v>2409</v>
      </c>
      <c r="B912" s="1">
        <v>46145</v>
      </c>
      <c r="C912" t="s">
        <v>2410</v>
      </c>
      <c r="D912" t="s">
        <v>2879</v>
      </c>
      <c r="E912" s="1">
        <v>46149</v>
      </c>
      <c r="F912" t="s">
        <v>56</v>
      </c>
      <c r="G912" t="s">
        <v>54</v>
      </c>
      <c r="H912" t="s">
        <v>55</v>
      </c>
      <c r="I912" t="s">
        <v>2641</v>
      </c>
      <c r="J912" t="s">
        <v>2692</v>
      </c>
      <c r="K912" t="s">
        <v>52</v>
      </c>
      <c r="L912">
        <v>58</v>
      </c>
      <c r="M912">
        <v>1</v>
      </c>
      <c r="N912">
        <v>10</v>
      </c>
      <c r="O912" t="s">
        <v>1692</v>
      </c>
      <c r="P912" t="s">
        <v>44</v>
      </c>
      <c r="Q912" t="s">
        <v>31</v>
      </c>
      <c r="R912" t="s">
        <v>32</v>
      </c>
      <c r="S912" t="s">
        <v>57</v>
      </c>
      <c r="T912">
        <v>3</v>
      </c>
      <c r="U912">
        <v>291.77999999999997</v>
      </c>
      <c r="V912">
        <v>179.16</v>
      </c>
      <c r="W912">
        <v>4</v>
      </c>
      <c r="X912" t="s">
        <v>49</v>
      </c>
      <c r="Y912">
        <v>2026</v>
      </c>
    </row>
    <row r="913" spans="1:25" x14ac:dyDescent="0.3">
      <c r="A913" t="s">
        <v>2411</v>
      </c>
      <c r="B913" s="1">
        <v>45331</v>
      </c>
      <c r="C913" t="s">
        <v>2412</v>
      </c>
      <c r="D913" t="s">
        <v>2878</v>
      </c>
      <c r="E913" s="1">
        <v>45334</v>
      </c>
      <c r="F913" t="s">
        <v>56</v>
      </c>
      <c r="G913" t="s">
        <v>54</v>
      </c>
      <c r="H913" t="s">
        <v>55</v>
      </c>
      <c r="I913" t="s">
        <v>2661</v>
      </c>
      <c r="J913" t="s">
        <v>2671</v>
      </c>
      <c r="K913" t="s">
        <v>25</v>
      </c>
      <c r="L913">
        <v>53</v>
      </c>
      <c r="M913">
        <v>1</v>
      </c>
      <c r="N913">
        <v>20</v>
      </c>
      <c r="O913" t="s">
        <v>2413</v>
      </c>
      <c r="P913" t="s">
        <v>75</v>
      </c>
      <c r="Q913" t="s">
        <v>117</v>
      </c>
      <c r="R913" t="s">
        <v>43</v>
      </c>
      <c r="S913" t="s">
        <v>57</v>
      </c>
      <c r="T913">
        <v>3</v>
      </c>
      <c r="U913">
        <v>374.37</v>
      </c>
      <c r="V913">
        <v>184.68</v>
      </c>
      <c r="W913">
        <v>3</v>
      </c>
      <c r="X913" t="s">
        <v>34</v>
      </c>
      <c r="Y913">
        <v>2024</v>
      </c>
    </row>
    <row r="914" spans="1:25" x14ac:dyDescent="0.3">
      <c r="A914" t="s">
        <v>2414</v>
      </c>
      <c r="B914" s="1">
        <v>45866</v>
      </c>
      <c r="C914" t="s">
        <v>2415</v>
      </c>
      <c r="D914" t="s">
        <v>2877</v>
      </c>
      <c r="E914" s="1">
        <v>45871</v>
      </c>
      <c r="F914" t="s">
        <v>29</v>
      </c>
      <c r="G914" t="s">
        <v>27</v>
      </c>
      <c r="H914" t="s">
        <v>28</v>
      </c>
      <c r="I914" t="s">
        <v>2623</v>
      </c>
      <c r="J914" t="s">
        <v>2696</v>
      </c>
      <c r="K914" t="s">
        <v>25</v>
      </c>
      <c r="L914">
        <v>45</v>
      </c>
      <c r="M914">
        <v>2</v>
      </c>
      <c r="N914">
        <v>20</v>
      </c>
      <c r="O914" t="s">
        <v>2416</v>
      </c>
      <c r="P914" t="s">
        <v>33</v>
      </c>
      <c r="Q914" t="s">
        <v>58</v>
      </c>
      <c r="R914" t="s">
        <v>71</v>
      </c>
      <c r="S914" t="s">
        <v>30</v>
      </c>
      <c r="T914">
        <v>3</v>
      </c>
      <c r="U914">
        <v>967.55</v>
      </c>
      <c r="V914">
        <v>1088.5</v>
      </c>
      <c r="W914">
        <v>5</v>
      </c>
      <c r="X914" t="s">
        <v>45</v>
      </c>
      <c r="Y914">
        <v>2025</v>
      </c>
    </row>
    <row r="915" spans="1:25" x14ac:dyDescent="0.3">
      <c r="A915" t="s">
        <v>2417</v>
      </c>
      <c r="B915" s="1">
        <v>45731</v>
      </c>
      <c r="C915" t="s">
        <v>2418</v>
      </c>
      <c r="D915" t="s">
        <v>2876</v>
      </c>
      <c r="E915" s="1">
        <v>45735</v>
      </c>
      <c r="F915" t="s">
        <v>68</v>
      </c>
      <c r="G915" t="s">
        <v>66</v>
      </c>
      <c r="H915" t="s">
        <v>67</v>
      </c>
      <c r="I915" t="s">
        <v>2632</v>
      </c>
      <c r="J915" t="s">
        <v>2646</v>
      </c>
      <c r="K915" t="s">
        <v>25</v>
      </c>
      <c r="L915">
        <v>55</v>
      </c>
      <c r="M915">
        <v>1</v>
      </c>
      <c r="N915">
        <v>25</v>
      </c>
      <c r="O915" t="s">
        <v>2419</v>
      </c>
      <c r="P915" t="s">
        <v>33</v>
      </c>
      <c r="Q915" t="s">
        <v>58</v>
      </c>
      <c r="R915" t="s">
        <v>62</v>
      </c>
      <c r="S915" t="s">
        <v>69</v>
      </c>
      <c r="T915">
        <v>5</v>
      </c>
      <c r="U915">
        <v>367.91</v>
      </c>
      <c r="V915">
        <v>204.33</v>
      </c>
      <c r="W915">
        <v>4</v>
      </c>
      <c r="X915" t="s">
        <v>34</v>
      </c>
      <c r="Y915">
        <v>2025</v>
      </c>
    </row>
    <row r="916" spans="1:25" x14ac:dyDescent="0.3">
      <c r="A916" t="s">
        <v>2420</v>
      </c>
      <c r="B916" s="1">
        <v>45971</v>
      </c>
      <c r="C916" t="s">
        <v>2421</v>
      </c>
      <c r="D916" t="s">
        <v>2875</v>
      </c>
      <c r="E916" s="1">
        <v>45978</v>
      </c>
      <c r="F916" t="s">
        <v>68</v>
      </c>
      <c r="G916" t="s">
        <v>66</v>
      </c>
      <c r="H916" t="s">
        <v>67</v>
      </c>
      <c r="I916" t="s">
        <v>2629</v>
      </c>
      <c r="J916" t="s">
        <v>2630</v>
      </c>
      <c r="K916" t="s">
        <v>52</v>
      </c>
      <c r="L916">
        <v>61</v>
      </c>
      <c r="M916">
        <v>1</v>
      </c>
      <c r="N916">
        <v>10</v>
      </c>
      <c r="O916" t="s">
        <v>1062</v>
      </c>
      <c r="P916" t="s">
        <v>44</v>
      </c>
      <c r="Q916" t="s">
        <v>58</v>
      </c>
      <c r="R916" t="s">
        <v>32</v>
      </c>
      <c r="S916" t="s">
        <v>69</v>
      </c>
      <c r="T916">
        <v>2</v>
      </c>
      <c r="U916">
        <v>73.37</v>
      </c>
      <c r="V916">
        <v>38.299999999999997</v>
      </c>
      <c r="W916">
        <v>7</v>
      </c>
      <c r="X916" t="s">
        <v>94</v>
      </c>
      <c r="Y916">
        <v>2025</v>
      </c>
    </row>
    <row r="917" spans="1:25" x14ac:dyDescent="0.3">
      <c r="A917" t="s">
        <v>2422</v>
      </c>
      <c r="B917" s="1">
        <v>45679</v>
      </c>
      <c r="C917" t="s">
        <v>2423</v>
      </c>
      <c r="D917" t="s">
        <v>2874</v>
      </c>
      <c r="E917" s="1">
        <v>45680</v>
      </c>
      <c r="F917" t="s">
        <v>128</v>
      </c>
      <c r="G917" t="s">
        <v>98</v>
      </c>
      <c r="H917" t="s">
        <v>127</v>
      </c>
      <c r="I917" t="s">
        <v>2668</v>
      </c>
      <c r="J917" t="s">
        <v>2682</v>
      </c>
      <c r="K917" t="s">
        <v>25</v>
      </c>
      <c r="L917">
        <v>37</v>
      </c>
      <c r="M917">
        <v>4</v>
      </c>
      <c r="N917">
        <v>5</v>
      </c>
      <c r="O917" t="s">
        <v>461</v>
      </c>
      <c r="P917" t="s">
        <v>33</v>
      </c>
      <c r="Q917" t="s">
        <v>31</v>
      </c>
      <c r="R917" t="s">
        <v>32</v>
      </c>
      <c r="S917" t="s">
        <v>129</v>
      </c>
      <c r="T917">
        <v>3</v>
      </c>
      <c r="U917">
        <v>358.62</v>
      </c>
      <c r="V917">
        <v>739.11</v>
      </c>
      <c r="W917">
        <v>1</v>
      </c>
      <c r="X917" t="s">
        <v>34</v>
      </c>
      <c r="Y917">
        <v>2025</v>
      </c>
    </row>
    <row r="918" spans="1:25" x14ac:dyDescent="0.3">
      <c r="A918" t="s">
        <v>2424</v>
      </c>
      <c r="B918" s="1">
        <v>45313</v>
      </c>
      <c r="C918" t="s">
        <v>2425</v>
      </c>
      <c r="D918" t="s">
        <v>2873</v>
      </c>
      <c r="E918" s="1">
        <v>45318</v>
      </c>
      <c r="F918" t="s">
        <v>29</v>
      </c>
      <c r="G918" t="s">
        <v>27</v>
      </c>
      <c r="H918" t="s">
        <v>28</v>
      </c>
      <c r="I918" t="s">
        <v>2631</v>
      </c>
      <c r="J918" t="s">
        <v>2694</v>
      </c>
      <c r="K918" t="s">
        <v>52</v>
      </c>
      <c r="L918">
        <v>34</v>
      </c>
      <c r="M918">
        <v>4</v>
      </c>
      <c r="N918">
        <v>5</v>
      </c>
      <c r="O918" t="s">
        <v>2426</v>
      </c>
      <c r="P918" t="s">
        <v>33</v>
      </c>
      <c r="Q918" t="s">
        <v>117</v>
      </c>
      <c r="R918" t="s">
        <v>32</v>
      </c>
      <c r="S918" t="s">
        <v>30</v>
      </c>
      <c r="T918">
        <v>1</v>
      </c>
      <c r="U918">
        <v>802.89</v>
      </c>
      <c r="V918">
        <v>1746.36</v>
      </c>
      <c r="W918">
        <v>5</v>
      </c>
      <c r="X918" t="s">
        <v>34</v>
      </c>
      <c r="Y918">
        <v>2024</v>
      </c>
    </row>
    <row r="919" spans="1:25" x14ac:dyDescent="0.3">
      <c r="A919" t="s">
        <v>2427</v>
      </c>
      <c r="B919" s="1">
        <v>45424</v>
      </c>
      <c r="C919" t="s">
        <v>2428</v>
      </c>
      <c r="D919" t="s">
        <v>2872</v>
      </c>
      <c r="E919" s="1">
        <v>45425</v>
      </c>
      <c r="F919" t="s">
        <v>56</v>
      </c>
      <c r="G919" t="s">
        <v>54</v>
      </c>
      <c r="H919" t="s">
        <v>55</v>
      </c>
      <c r="I919" t="s">
        <v>2622</v>
      </c>
      <c r="J919" t="s">
        <v>2622</v>
      </c>
      <c r="K919" t="s">
        <v>25</v>
      </c>
      <c r="L919">
        <v>41</v>
      </c>
      <c r="M919">
        <v>5</v>
      </c>
      <c r="N919">
        <v>5</v>
      </c>
      <c r="O919" t="s">
        <v>2117</v>
      </c>
      <c r="P919" t="s">
        <v>33</v>
      </c>
      <c r="Q919" t="s">
        <v>31</v>
      </c>
      <c r="R919" t="s">
        <v>62</v>
      </c>
      <c r="S919" t="s">
        <v>57</v>
      </c>
      <c r="T919">
        <v>5</v>
      </c>
      <c r="U919">
        <v>586.54999999999995</v>
      </c>
      <c r="V919">
        <v>1620.6</v>
      </c>
      <c r="W919">
        <v>1</v>
      </c>
      <c r="X919" t="s">
        <v>49</v>
      </c>
      <c r="Y919">
        <v>2024</v>
      </c>
    </row>
    <row r="920" spans="1:25" x14ac:dyDescent="0.3">
      <c r="A920" t="s">
        <v>2429</v>
      </c>
      <c r="B920" s="1">
        <v>45688</v>
      </c>
      <c r="C920" t="s">
        <v>2430</v>
      </c>
      <c r="D920" t="s">
        <v>2871</v>
      </c>
      <c r="E920" s="1">
        <v>45692</v>
      </c>
      <c r="F920" t="s">
        <v>29</v>
      </c>
      <c r="G920" t="s">
        <v>27</v>
      </c>
      <c r="H920" t="s">
        <v>28</v>
      </c>
      <c r="I920" t="s">
        <v>2631</v>
      </c>
      <c r="J920" t="s">
        <v>2694</v>
      </c>
      <c r="K920" t="s">
        <v>25</v>
      </c>
      <c r="L920">
        <v>57</v>
      </c>
      <c r="M920">
        <v>4</v>
      </c>
      <c r="N920">
        <v>10</v>
      </c>
      <c r="O920" t="s">
        <v>2219</v>
      </c>
      <c r="P920" t="s">
        <v>75</v>
      </c>
      <c r="Q920" t="s">
        <v>58</v>
      </c>
      <c r="R920" t="s">
        <v>43</v>
      </c>
      <c r="S920" t="s">
        <v>30</v>
      </c>
      <c r="T920">
        <v>3</v>
      </c>
      <c r="U920">
        <v>447.01</v>
      </c>
      <c r="V920">
        <v>1252.56</v>
      </c>
      <c r="W920">
        <v>4</v>
      </c>
      <c r="X920" t="s">
        <v>34</v>
      </c>
      <c r="Y920">
        <v>2025</v>
      </c>
    </row>
    <row r="921" spans="1:25" x14ac:dyDescent="0.3">
      <c r="A921" t="s">
        <v>2431</v>
      </c>
      <c r="B921" s="1">
        <v>45308</v>
      </c>
      <c r="C921" t="s">
        <v>776</v>
      </c>
      <c r="D921" t="s">
        <v>2870</v>
      </c>
      <c r="E921" s="1">
        <v>45310</v>
      </c>
      <c r="F921" t="s">
        <v>40</v>
      </c>
      <c r="G921" t="s">
        <v>38</v>
      </c>
      <c r="H921" t="s">
        <v>39</v>
      </c>
      <c r="I921" t="s">
        <v>2654</v>
      </c>
      <c r="J921" t="s">
        <v>2702</v>
      </c>
      <c r="K921" t="s">
        <v>52</v>
      </c>
      <c r="L921">
        <v>20</v>
      </c>
      <c r="M921">
        <v>5</v>
      </c>
      <c r="N921">
        <v>10</v>
      </c>
      <c r="O921" t="s">
        <v>2432</v>
      </c>
      <c r="P921" t="s">
        <v>75</v>
      </c>
      <c r="Q921" t="s">
        <v>42</v>
      </c>
      <c r="R921" t="s">
        <v>43</v>
      </c>
      <c r="S921" t="s">
        <v>41</v>
      </c>
      <c r="T921">
        <v>5</v>
      </c>
      <c r="U921">
        <v>450.15</v>
      </c>
      <c r="V921">
        <v>1647.09</v>
      </c>
      <c r="W921">
        <v>2</v>
      </c>
      <c r="X921" t="s">
        <v>34</v>
      </c>
      <c r="Y921">
        <v>2024</v>
      </c>
    </row>
    <row r="922" spans="1:25" x14ac:dyDescent="0.3">
      <c r="A922" t="s">
        <v>2433</v>
      </c>
      <c r="B922" s="1">
        <v>46029</v>
      </c>
      <c r="C922" t="s">
        <v>2434</v>
      </c>
      <c r="D922" t="s">
        <v>2869</v>
      </c>
      <c r="E922" s="1">
        <v>46031</v>
      </c>
      <c r="F922" t="s">
        <v>56</v>
      </c>
      <c r="G922" t="s">
        <v>54</v>
      </c>
      <c r="H922" t="s">
        <v>55</v>
      </c>
      <c r="I922" t="s">
        <v>2654</v>
      </c>
      <c r="J922" t="s">
        <v>2702</v>
      </c>
      <c r="K922" t="s">
        <v>52</v>
      </c>
      <c r="L922">
        <v>48</v>
      </c>
      <c r="M922">
        <v>5</v>
      </c>
      <c r="N922">
        <v>0</v>
      </c>
      <c r="O922" t="s">
        <v>2435</v>
      </c>
      <c r="P922" t="s">
        <v>75</v>
      </c>
      <c r="Q922" t="s">
        <v>58</v>
      </c>
      <c r="R922" t="s">
        <v>32</v>
      </c>
      <c r="S922" t="s">
        <v>57</v>
      </c>
      <c r="T922">
        <v>4</v>
      </c>
      <c r="U922">
        <v>262.91000000000003</v>
      </c>
      <c r="V922">
        <v>1106.19</v>
      </c>
      <c r="W922">
        <v>2</v>
      </c>
      <c r="X922" t="s">
        <v>34</v>
      </c>
      <c r="Y922">
        <v>2026</v>
      </c>
    </row>
    <row r="923" spans="1:25" x14ac:dyDescent="0.3">
      <c r="A923" t="s">
        <v>2436</v>
      </c>
      <c r="B923" s="1">
        <v>45615</v>
      </c>
      <c r="C923" t="s">
        <v>2437</v>
      </c>
      <c r="D923" t="s">
        <v>2868</v>
      </c>
      <c r="E923" s="1">
        <v>45618</v>
      </c>
      <c r="F923" t="s">
        <v>122</v>
      </c>
      <c r="G923" t="s">
        <v>120</v>
      </c>
      <c r="H923" t="s">
        <v>121</v>
      </c>
      <c r="I923" t="s">
        <v>2622</v>
      </c>
      <c r="J923" t="s">
        <v>2705</v>
      </c>
      <c r="K923" t="s">
        <v>25</v>
      </c>
      <c r="L923">
        <v>43</v>
      </c>
      <c r="M923">
        <v>3</v>
      </c>
      <c r="N923">
        <v>15</v>
      </c>
      <c r="O923" t="s">
        <v>2438</v>
      </c>
      <c r="P923" t="s">
        <v>44</v>
      </c>
      <c r="Q923" t="s">
        <v>58</v>
      </c>
      <c r="R923" t="s">
        <v>32</v>
      </c>
      <c r="S923" t="s">
        <v>123</v>
      </c>
      <c r="T923">
        <v>5</v>
      </c>
      <c r="U923">
        <v>394.92</v>
      </c>
      <c r="V923">
        <v>672.66</v>
      </c>
      <c r="W923">
        <v>3</v>
      </c>
      <c r="X923" t="s">
        <v>94</v>
      </c>
      <c r="Y923">
        <v>2024</v>
      </c>
    </row>
    <row r="924" spans="1:25" x14ac:dyDescent="0.3">
      <c r="A924" t="s">
        <v>2439</v>
      </c>
      <c r="B924" s="1">
        <v>46138</v>
      </c>
      <c r="C924" t="s">
        <v>2440</v>
      </c>
      <c r="D924" t="s">
        <v>2729</v>
      </c>
      <c r="E924" s="1">
        <v>46141</v>
      </c>
      <c r="F924" t="s">
        <v>122</v>
      </c>
      <c r="G924" t="s">
        <v>120</v>
      </c>
      <c r="H924" t="s">
        <v>121</v>
      </c>
      <c r="I924" t="s">
        <v>2631</v>
      </c>
      <c r="J924" t="s">
        <v>2694</v>
      </c>
      <c r="K924" t="s">
        <v>52</v>
      </c>
      <c r="L924">
        <v>21</v>
      </c>
      <c r="M924">
        <v>2</v>
      </c>
      <c r="N924">
        <v>25</v>
      </c>
      <c r="O924" t="s">
        <v>1978</v>
      </c>
      <c r="P924" t="s">
        <v>75</v>
      </c>
      <c r="Q924" t="s">
        <v>31</v>
      </c>
      <c r="R924" t="s">
        <v>43</v>
      </c>
      <c r="S924" t="s">
        <v>123</v>
      </c>
      <c r="T924">
        <v>5</v>
      </c>
      <c r="U924">
        <v>724.07</v>
      </c>
      <c r="V924">
        <v>716.26</v>
      </c>
      <c r="W924">
        <v>3</v>
      </c>
      <c r="X924" t="s">
        <v>49</v>
      </c>
      <c r="Y924">
        <v>2026</v>
      </c>
    </row>
    <row r="925" spans="1:25" x14ac:dyDescent="0.3">
      <c r="A925" t="s">
        <v>2441</v>
      </c>
      <c r="B925" s="1">
        <v>45873</v>
      </c>
      <c r="C925" t="s">
        <v>2442</v>
      </c>
      <c r="D925" t="s">
        <v>2728</v>
      </c>
      <c r="E925" s="1">
        <v>45879</v>
      </c>
      <c r="F925" t="s">
        <v>128</v>
      </c>
      <c r="G925" t="s">
        <v>98</v>
      </c>
      <c r="H925" t="s">
        <v>127</v>
      </c>
      <c r="I925" t="s">
        <v>2661</v>
      </c>
      <c r="J925" t="s">
        <v>2662</v>
      </c>
      <c r="K925" t="s">
        <v>25</v>
      </c>
      <c r="L925">
        <v>42</v>
      </c>
      <c r="M925">
        <v>4</v>
      </c>
      <c r="N925">
        <v>5</v>
      </c>
      <c r="O925" t="s">
        <v>1666</v>
      </c>
      <c r="P925" t="s">
        <v>33</v>
      </c>
      <c r="Q925" t="s">
        <v>117</v>
      </c>
      <c r="R925" t="s">
        <v>71</v>
      </c>
      <c r="S925" t="s">
        <v>129</v>
      </c>
      <c r="T925">
        <v>4</v>
      </c>
      <c r="U925">
        <v>940.18</v>
      </c>
      <c r="V925">
        <v>2707.63</v>
      </c>
      <c r="W925">
        <v>6</v>
      </c>
      <c r="X925" t="s">
        <v>45</v>
      </c>
      <c r="Y925">
        <v>2025</v>
      </c>
    </row>
    <row r="926" spans="1:25" x14ac:dyDescent="0.3">
      <c r="A926" t="s">
        <v>2443</v>
      </c>
      <c r="B926" s="1">
        <v>45991</v>
      </c>
      <c r="C926" t="s">
        <v>2444</v>
      </c>
      <c r="D926" t="s">
        <v>2727</v>
      </c>
      <c r="E926" s="1">
        <v>45995</v>
      </c>
      <c r="F926" t="s">
        <v>68</v>
      </c>
      <c r="G926" t="s">
        <v>66</v>
      </c>
      <c r="H926" t="s">
        <v>67</v>
      </c>
      <c r="I926" t="s">
        <v>2625</v>
      </c>
      <c r="J926" t="s">
        <v>2626</v>
      </c>
      <c r="K926" t="s">
        <v>52</v>
      </c>
      <c r="L926">
        <v>27</v>
      </c>
      <c r="M926">
        <v>3</v>
      </c>
      <c r="N926">
        <v>15</v>
      </c>
      <c r="O926" t="s">
        <v>2445</v>
      </c>
      <c r="P926" t="s">
        <v>44</v>
      </c>
      <c r="Q926" t="s">
        <v>42</v>
      </c>
      <c r="R926" t="s">
        <v>32</v>
      </c>
      <c r="S926" t="s">
        <v>69</v>
      </c>
      <c r="T926">
        <v>3</v>
      </c>
      <c r="U926">
        <v>937.03</v>
      </c>
      <c r="V926">
        <v>1768.64</v>
      </c>
      <c r="W926">
        <v>4</v>
      </c>
      <c r="X926" t="s">
        <v>94</v>
      </c>
      <c r="Y926">
        <v>2025</v>
      </c>
    </row>
    <row r="927" spans="1:25" x14ac:dyDescent="0.3">
      <c r="A927" t="s">
        <v>2446</v>
      </c>
      <c r="B927" s="1">
        <v>45846</v>
      </c>
      <c r="C927" t="s">
        <v>2447</v>
      </c>
      <c r="D927" t="s">
        <v>2726</v>
      </c>
      <c r="E927" s="1">
        <v>45850</v>
      </c>
      <c r="F927" t="s">
        <v>100</v>
      </c>
      <c r="G927" t="s">
        <v>98</v>
      </c>
      <c r="H927" t="s">
        <v>99</v>
      </c>
      <c r="I927" t="s">
        <v>2665</v>
      </c>
      <c r="J927" t="s">
        <v>2666</v>
      </c>
      <c r="K927" t="s">
        <v>52</v>
      </c>
      <c r="L927">
        <v>28</v>
      </c>
      <c r="M927">
        <v>2</v>
      </c>
      <c r="N927">
        <v>10</v>
      </c>
      <c r="O927" t="s">
        <v>2448</v>
      </c>
      <c r="P927" t="s">
        <v>75</v>
      </c>
      <c r="Q927" t="s">
        <v>31</v>
      </c>
      <c r="R927" t="s">
        <v>71</v>
      </c>
      <c r="S927" t="s">
        <v>101</v>
      </c>
      <c r="T927">
        <v>4</v>
      </c>
      <c r="U927">
        <v>910.98</v>
      </c>
      <c r="V927">
        <v>1184.8499999999999</v>
      </c>
      <c r="W927">
        <v>4</v>
      </c>
      <c r="X927" t="s">
        <v>45</v>
      </c>
      <c r="Y927">
        <v>2025</v>
      </c>
    </row>
    <row r="928" spans="1:25" x14ac:dyDescent="0.3">
      <c r="A928" t="s">
        <v>2449</v>
      </c>
      <c r="B928" s="1">
        <v>45383</v>
      </c>
      <c r="C928" t="s">
        <v>2450</v>
      </c>
      <c r="D928" t="s">
        <v>2867</v>
      </c>
      <c r="E928" s="1">
        <v>45389</v>
      </c>
      <c r="F928" t="s">
        <v>29</v>
      </c>
      <c r="G928" t="s">
        <v>27</v>
      </c>
      <c r="H928" t="s">
        <v>28</v>
      </c>
      <c r="I928" t="s">
        <v>2625</v>
      </c>
      <c r="J928" t="s">
        <v>2703</v>
      </c>
      <c r="K928" t="s">
        <v>52</v>
      </c>
      <c r="L928">
        <v>36</v>
      </c>
      <c r="M928">
        <v>3</v>
      </c>
      <c r="N928">
        <v>5</v>
      </c>
      <c r="O928" t="s">
        <v>2451</v>
      </c>
      <c r="P928" t="s">
        <v>44</v>
      </c>
      <c r="Q928" t="s">
        <v>58</v>
      </c>
      <c r="R928" t="s">
        <v>43</v>
      </c>
      <c r="S928" t="s">
        <v>30</v>
      </c>
      <c r="T928">
        <v>5</v>
      </c>
      <c r="U928">
        <v>252.82</v>
      </c>
      <c r="V928">
        <v>447.42</v>
      </c>
      <c r="W928">
        <v>6</v>
      </c>
      <c r="X928" t="s">
        <v>49</v>
      </c>
      <c r="Y928">
        <v>2024</v>
      </c>
    </row>
    <row r="929" spans="1:25" x14ac:dyDescent="0.3">
      <c r="A929" t="s">
        <v>2452</v>
      </c>
      <c r="B929" s="1">
        <v>45671</v>
      </c>
      <c r="C929" t="s">
        <v>2453</v>
      </c>
      <c r="D929" t="s">
        <v>2866</v>
      </c>
      <c r="E929" s="1">
        <v>45677</v>
      </c>
      <c r="F929" t="s">
        <v>115</v>
      </c>
      <c r="G929" t="s">
        <v>66</v>
      </c>
      <c r="H929" t="s">
        <v>114</v>
      </c>
      <c r="I929" t="s">
        <v>2661</v>
      </c>
      <c r="J929" t="s">
        <v>2671</v>
      </c>
      <c r="K929" t="s">
        <v>25</v>
      </c>
      <c r="L929">
        <v>58</v>
      </c>
      <c r="M929">
        <v>2</v>
      </c>
      <c r="N929">
        <v>30</v>
      </c>
      <c r="O929" t="s">
        <v>2454</v>
      </c>
      <c r="P929" t="s">
        <v>44</v>
      </c>
      <c r="Q929" t="s">
        <v>31</v>
      </c>
      <c r="R929" t="s">
        <v>32</v>
      </c>
      <c r="S929" t="s">
        <v>116</v>
      </c>
      <c r="T929">
        <v>2</v>
      </c>
      <c r="U929">
        <v>356.26</v>
      </c>
      <c r="V929">
        <v>308.16000000000003</v>
      </c>
      <c r="W929">
        <v>6</v>
      </c>
      <c r="X929" t="s">
        <v>34</v>
      </c>
      <c r="Y929">
        <v>2025</v>
      </c>
    </row>
    <row r="930" spans="1:25" x14ac:dyDescent="0.3">
      <c r="A930" t="s">
        <v>2455</v>
      </c>
      <c r="B930" s="1">
        <v>45851</v>
      </c>
      <c r="C930" t="s">
        <v>2456</v>
      </c>
      <c r="D930" t="s">
        <v>2865</v>
      </c>
      <c r="E930" s="1">
        <v>45854</v>
      </c>
      <c r="F930" t="s">
        <v>100</v>
      </c>
      <c r="G930" t="s">
        <v>98</v>
      </c>
      <c r="H930" t="s">
        <v>99</v>
      </c>
      <c r="I930" t="s">
        <v>2629</v>
      </c>
      <c r="J930" t="s">
        <v>2697</v>
      </c>
      <c r="K930" t="s">
        <v>25</v>
      </c>
      <c r="L930">
        <v>58</v>
      </c>
      <c r="M930">
        <v>3</v>
      </c>
      <c r="N930">
        <v>10</v>
      </c>
      <c r="O930" t="s">
        <v>877</v>
      </c>
      <c r="P930" t="s">
        <v>44</v>
      </c>
      <c r="Q930" t="s">
        <v>117</v>
      </c>
      <c r="R930" t="s">
        <v>43</v>
      </c>
      <c r="S930" t="s">
        <v>101</v>
      </c>
      <c r="T930">
        <v>1</v>
      </c>
      <c r="U930">
        <v>418.12</v>
      </c>
      <c r="V930">
        <v>685.76</v>
      </c>
      <c r="W930">
        <v>3</v>
      </c>
      <c r="X930" t="s">
        <v>45</v>
      </c>
      <c r="Y930">
        <v>2025</v>
      </c>
    </row>
    <row r="931" spans="1:25" x14ac:dyDescent="0.3">
      <c r="A931" t="s">
        <v>2457</v>
      </c>
      <c r="B931" s="1">
        <v>45689</v>
      </c>
      <c r="C931" t="s">
        <v>2458</v>
      </c>
      <c r="D931" t="s">
        <v>2864</v>
      </c>
      <c r="E931" s="1">
        <v>45696</v>
      </c>
      <c r="F931" t="s">
        <v>122</v>
      </c>
      <c r="G931" t="s">
        <v>120</v>
      </c>
      <c r="H931" t="s">
        <v>121</v>
      </c>
      <c r="I931" t="s">
        <v>2672</v>
      </c>
      <c r="J931" t="s">
        <v>2690</v>
      </c>
      <c r="K931" t="s">
        <v>25</v>
      </c>
      <c r="L931">
        <v>32</v>
      </c>
      <c r="M931">
        <v>2</v>
      </c>
      <c r="N931">
        <v>0</v>
      </c>
      <c r="O931" t="s">
        <v>1271</v>
      </c>
      <c r="P931" t="s">
        <v>75</v>
      </c>
      <c r="Q931" t="s">
        <v>58</v>
      </c>
      <c r="R931" t="s">
        <v>71</v>
      </c>
      <c r="S931" t="s">
        <v>123</v>
      </c>
      <c r="T931">
        <v>3</v>
      </c>
      <c r="U931">
        <v>554.15</v>
      </c>
      <c r="V931">
        <v>813.15</v>
      </c>
      <c r="W931">
        <v>7</v>
      </c>
      <c r="X931" t="s">
        <v>34</v>
      </c>
      <c r="Y931">
        <v>2025</v>
      </c>
    </row>
    <row r="932" spans="1:25" x14ac:dyDescent="0.3">
      <c r="A932" t="s">
        <v>2459</v>
      </c>
      <c r="B932" s="1">
        <v>45427</v>
      </c>
      <c r="C932" t="s">
        <v>2460</v>
      </c>
      <c r="D932" t="s">
        <v>2863</v>
      </c>
      <c r="E932" s="1">
        <v>45431</v>
      </c>
      <c r="F932" t="s">
        <v>115</v>
      </c>
      <c r="G932" t="s">
        <v>66</v>
      </c>
      <c r="H932" t="s">
        <v>114</v>
      </c>
      <c r="I932" t="s">
        <v>2623</v>
      </c>
      <c r="J932" t="s">
        <v>2624</v>
      </c>
      <c r="K932" t="s">
        <v>52</v>
      </c>
      <c r="L932">
        <v>39</v>
      </c>
      <c r="M932">
        <v>3</v>
      </c>
      <c r="N932">
        <v>25</v>
      </c>
      <c r="O932" t="s">
        <v>506</v>
      </c>
      <c r="P932" t="s">
        <v>75</v>
      </c>
      <c r="Q932" t="s">
        <v>70</v>
      </c>
      <c r="R932" t="s">
        <v>62</v>
      </c>
      <c r="S932" t="s">
        <v>116</v>
      </c>
      <c r="T932">
        <v>1</v>
      </c>
      <c r="U932">
        <v>680.97</v>
      </c>
      <c r="V932">
        <v>1178.71</v>
      </c>
      <c r="W932">
        <v>4</v>
      </c>
      <c r="X932" t="s">
        <v>49</v>
      </c>
      <c r="Y932">
        <v>2024</v>
      </c>
    </row>
    <row r="933" spans="1:25" x14ac:dyDescent="0.3">
      <c r="A933" t="s">
        <v>2461</v>
      </c>
      <c r="B933" s="1">
        <v>45562</v>
      </c>
      <c r="C933" t="s">
        <v>2462</v>
      </c>
      <c r="D933" t="s">
        <v>2862</v>
      </c>
      <c r="E933" s="1">
        <v>45566</v>
      </c>
      <c r="F933" t="s">
        <v>100</v>
      </c>
      <c r="G933" t="s">
        <v>98</v>
      </c>
      <c r="H933" t="s">
        <v>99</v>
      </c>
      <c r="I933" t="s">
        <v>2679</v>
      </c>
      <c r="J933" t="s">
        <v>2685</v>
      </c>
      <c r="K933" t="s">
        <v>25</v>
      </c>
      <c r="L933">
        <v>45</v>
      </c>
      <c r="M933">
        <v>2</v>
      </c>
      <c r="N933">
        <v>15</v>
      </c>
      <c r="O933" t="s">
        <v>677</v>
      </c>
      <c r="P933" t="s">
        <v>33</v>
      </c>
      <c r="Q933" t="s">
        <v>42</v>
      </c>
      <c r="R933" t="s">
        <v>62</v>
      </c>
      <c r="S933" t="s">
        <v>101</v>
      </c>
      <c r="T933">
        <v>1</v>
      </c>
      <c r="U933">
        <v>256.25</v>
      </c>
      <c r="V933">
        <v>224.44</v>
      </c>
      <c r="W933">
        <v>4</v>
      </c>
      <c r="X933" t="s">
        <v>45</v>
      </c>
      <c r="Y933">
        <v>2024</v>
      </c>
    </row>
    <row r="934" spans="1:25" x14ac:dyDescent="0.3">
      <c r="A934" t="s">
        <v>2463</v>
      </c>
      <c r="B934" s="1">
        <v>45971</v>
      </c>
      <c r="C934" t="s">
        <v>2464</v>
      </c>
      <c r="D934" t="s">
        <v>2861</v>
      </c>
      <c r="E934" s="1">
        <v>45978</v>
      </c>
      <c r="F934" t="s">
        <v>29</v>
      </c>
      <c r="G934" t="s">
        <v>27</v>
      </c>
      <c r="H934" t="s">
        <v>28</v>
      </c>
      <c r="I934" t="s">
        <v>2663</v>
      </c>
      <c r="J934" t="s">
        <v>2694</v>
      </c>
      <c r="K934" t="s">
        <v>25</v>
      </c>
      <c r="L934">
        <v>44</v>
      </c>
      <c r="M934">
        <v>1</v>
      </c>
      <c r="N934">
        <v>10</v>
      </c>
      <c r="O934" t="s">
        <v>791</v>
      </c>
      <c r="P934" t="s">
        <v>33</v>
      </c>
      <c r="Q934" t="s">
        <v>70</v>
      </c>
      <c r="R934" t="s">
        <v>43</v>
      </c>
      <c r="S934" t="s">
        <v>30</v>
      </c>
      <c r="T934">
        <v>1</v>
      </c>
      <c r="U934">
        <v>340.44</v>
      </c>
      <c r="V934">
        <v>186.83</v>
      </c>
      <c r="W934">
        <v>7</v>
      </c>
      <c r="X934" t="s">
        <v>94</v>
      </c>
      <c r="Y934">
        <v>2025</v>
      </c>
    </row>
    <row r="935" spans="1:25" x14ac:dyDescent="0.3">
      <c r="A935" t="s">
        <v>2465</v>
      </c>
      <c r="B935" s="1">
        <v>45763</v>
      </c>
      <c r="C935" t="s">
        <v>2466</v>
      </c>
      <c r="D935" t="s">
        <v>2860</v>
      </c>
      <c r="E935" s="1">
        <v>45768</v>
      </c>
      <c r="F935" t="s">
        <v>68</v>
      </c>
      <c r="G935" t="s">
        <v>66</v>
      </c>
      <c r="H935" t="s">
        <v>67</v>
      </c>
      <c r="I935" t="s">
        <v>2625</v>
      </c>
      <c r="J935" t="s">
        <v>2703</v>
      </c>
      <c r="K935" t="s">
        <v>25</v>
      </c>
      <c r="L935">
        <v>58</v>
      </c>
      <c r="M935">
        <v>5</v>
      </c>
      <c r="N935">
        <v>0</v>
      </c>
      <c r="O935" t="s">
        <v>2467</v>
      </c>
      <c r="P935" t="s">
        <v>33</v>
      </c>
      <c r="Q935" t="s">
        <v>42</v>
      </c>
      <c r="R935" t="s">
        <v>62</v>
      </c>
      <c r="S935" t="s">
        <v>69</v>
      </c>
      <c r="T935">
        <v>2</v>
      </c>
      <c r="U935">
        <v>674.64</v>
      </c>
      <c r="V935">
        <v>1988.82</v>
      </c>
      <c r="W935">
        <v>5</v>
      </c>
      <c r="X935" t="s">
        <v>49</v>
      </c>
      <c r="Y935">
        <v>2025</v>
      </c>
    </row>
    <row r="936" spans="1:25" x14ac:dyDescent="0.3">
      <c r="A936" t="s">
        <v>2468</v>
      </c>
      <c r="B936" s="1">
        <v>45982</v>
      </c>
      <c r="C936" t="s">
        <v>2469</v>
      </c>
      <c r="D936" t="s">
        <v>2859</v>
      </c>
      <c r="E936" s="1">
        <v>45986</v>
      </c>
      <c r="F936" t="s">
        <v>40</v>
      </c>
      <c r="G936" t="s">
        <v>38</v>
      </c>
      <c r="H936" t="s">
        <v>39</v>
      </c>
      <c r="I936" t="s">
        <v>2661</v>
      </c>
      <c r="J936" t="s">
        <v>2700</v>
      </c>
      <c r="K936" t="s">
        <v>25</v>
      </c>
      <c r="L936">
        <v>50</v>
      </c>
      <c r="M936">
        <v>4</v>
      </c>
      <c r="N936">
        <v>25</v>
      </c>
      <c r="O936" t="s">
        <v>368</v>
      </c>
      <c r="P936" t="s">
        <v>44</v>
      </c>
      <c r="Q936" t="s">
        <v>31</v>
      </c>
      <c r="R936" t="s">
        <v>71</v>
      </c>
      <c r="S936" t="s">
        <v>41</v>
      </c>
      <c r="T936">
        <v>1</v>
      </c>
      <c r="U936">
        <v>637.44000000000005</v>
      </c>
      <c r="V936">
        <v>1555.32</v>
      </c>
      <c r="W936">
        <v>4</v>
      </c>
      <c r="X936" t="s">
        <v>94</v>
      </c>
      <c r="Y936">
        <v>2025</v>
      </c>
    </row>
    <row r="937" spans="1:25" x14ac:dyDescent="0.3">
      <c r="A937" t="s">
        <v>2470</v>
      </c>
      <c r="B937" s="1">
        <v>45552</v>
      </c>
      <c r="C937" t="s">
        <v>2471</v>
      </c>
      <c r="D937" t="s">
        <v>2858</v>
      </c>
      <c r="E937" s="1">
        <v>45558</v>
      </c>
      <c r="F937" t="s">
        <v>115</v>
      </c>
      <c r="G937" t="s">
        <v>66</v>
      </c>
      <c r="H937" t="s">
        <v>114</v>
      </c>
      <c r="I937" t="s">
        <v>2654</v>
      </c>
      <c r="J937" t="s">
        <v>2655</v>
      </c>
      <c r="K937" t="s">
        <v>25</v>
      </c>
      <c r="L937">
        <v>53</v>
      </c>
      <c r="M937">
        <v>4</v>
      </c>
      <c r="N937">
        <v>5</v>
      </c>
      <c r="O937" t="s">
        <v>2472</v>
      </c>
      <c r="P937" t="s">
        <v>44</v>
      </c>
      <c r="Q937" t="s">
        <v>31</v>
      </c>
      <c r="R937" t="s">
        <v>71</v>
      </c>
      <c r="S937" t="s">
        <v>116</v>
      </c>
      <c r="T937">
        <v>3</v>
      </c>
      <c r="U937">
        <v>800.88</v>
      </c>
      <c r="V937">
        <v>1889.51</v>
      </c>
      <c r="W937">
        <v>6</v>
      </c>
      <c r="X937" t="s">
        <v>45</v>
      </c>
      <c r="Y937">
        <v>2024</v>
      </c>
    </row>
    <row r="938" spans="1:25" x14ac:dyDescent="0.3">
      <c r="A938" t="s">
        <v>2473</v>
      </c>
      <c r="B938" s="1">
        <v>45923</v>
      </c>
      <c r="C938" t="s">
        <v>2474</v>
      </c>
      <c r="D938" t="s">
        <v>2857</v>
      </c>
      <c r="E938" s="1">
        <v>45924</v>
      </c>
      <c r="F938" t="s">
        <v>115</v>
      </c>
      <c r="G938" t="s">
        <v>66</v>
      </c>
      <c r="H938" t="s">
        <v>114</v>
      </c>
      <c r="I938" t="s">
        <v>2641</v>
      </c>
      <c r="J938" t="s">
        <v>2642</v>
      </c>
      <c r="K938" t="s">
        <v>25</v>
      </c>
      <c r="L938">
        <v>24</v>
      </c>
      <c r="M938">
        <v>3</v>
      </c>
      <c r="N938">
        <v>20</v>
      </c>
      <c r="O938" t="s">
        <v>2475</v>
      </c>
      <c r="P938" t="s">
        <v>44</v>
      </c>
      <c r="Q938" t="s">
        <v>42</v>
      </c>
      <c r="R938" t="s">
        <v>43</v>
      </c>
      <c r="S938" t="s">
        <v>116</v>
      </c>
      <c r="T938">
        <v>1</v>
      </c>
      <c r="U938">
        <v>217.31</v>
      </c>
      <c r="V938">
        <v>373.2</v>
      </c>
      <c r="W938">
        <v>1</v>
      </c>
      <c r="X938" t="s">
        <v>45</v>
      </c>
      <c r="Y938">
        <v>2025</v>
      </c>
    </row>
    <row r="939" spans="1:25" x14ac:dyDescent="0.3">
      <c r="A939" t="s">
        <v>2476</v>
      </c>
      <c r="B939" s="1">
        <v>45296</v>
      </c>
      <c r="C939" t="s">
        <v>2477</v>
      </c>
      <c r="D939" t="s">
        <v>2856</v>
      </c>
      <c r="E939" s="1">
        <v>45300</v>
      </c>
      <c r="F939" t="s">
        <v>122</v>
      </c>
      <c r="G939" t="s">
        <v>120</v>
      </c>
      <c r="H939" t="s">
        <v>121</v>
      </c>
      <c r="I939" t="s">
        <v>2625</v>
      </c>
      <c r="J939" t="s">
        <v>2667</v>
      </c>
      <c r="K939" t="s">
        <v>52</v>
      </c>
      <c r="L939">
        <v>45</v>
      </c>
      <c r="M939">
        <v>2</v>
      </c>
      <c r="N939">
        <v>30</v>
      </c>
      <c r="O939" t="s">
        <v>677</v>
      </c>
      <c r="P939" t="s">
        <v>75</v>
      </c>
      <c r="Q939" t="s">
        <v>58</v>
      </c>
      <c r="R939" t="s">
        <v>32</v>
      </c>
      <c r="S939" t="s">
        <v>123</v>
      </c>
      <c r="T939">
        <v>5</v>
      </c>
      <c r="U939">
        <v>242.03</v>
      </c>
      <c r="V939">
        <v>213.33</v>
      </c>
      <c r="W939">
        <v>4</v>
      </c>
      <c r="X939" t="s">
        <v>34</v>
      </c>
      <c r="Y939">
        <v>2024</v>
      </c>
    </row>
    <row r="940" spans="1:25" x14ac:dyDescent="0.3">
      <c r="A940" t="s">
        <v>2478</v>
      </c>
      <c r="B940" s="1">
        <v>45933</v>
      </c>
      <c r="C940" t="s">
        <v>2479</v>
      </c>
      <c r="D940" t="s">
        <v>2855</v>
      </c>
      <c r="E940" s="1">
        <v>45939</v>
      </c>
      <c r="F940" t="s">
        <v>140</v>
      </c>
      <c r="G940" t="s">
        <v>38</v>
      </c>
      <c r="H940" t="s">
        <v>139</v>
      </c>
      <c r="I940" t="s">
        <v>2631</v>
      </c>
      <c r="J940" t="s">
        <v>2694</v>
      </c>
      <c r="K940" t="s">
        <v>52</v>
      </c>
      <c r="L940">
        <v>38</v>
      </c>
      <c r="M940">
        <v>5</v>
      </c>
      <c r="N940">
        <v>10</v>
      </c>
      <c r="O940" t="s">
        <v>2480</v>
      </c>
      <c r="P940" t="s">
        <v>44</v>
      </c>
      <c r="Q940" t="s">
        <v>31</v>
      </c>
      <c r="R940" t="s">
        <v>71</v>
      </c>
      <c r="S940" t="s">
        <v>141</v>
      </c>
      <c r="T940">
        <v>4</v>
      </c>
      <c r="U940">
        <v>335.53</v>
      </c>
      <c r="V940">
        <v>1155.73</v>
      </c>
      <c r="W940">
        <v>6</v>
      </c>
      <c r="X940" t="s">
        <v>94</v>
      </c>
      <c r="Y940">
        <v>2025</v>
      </c>
    </row>
    <row r="941" spans="1:25" x14ac:dyDescent="0.3">
      <c r="A941" t="s">
        <v>2481</v>
      </c>
      <c r="B941" s="1">
        <v>45733</v>
      </c>
      <c r="C941" t="s">
        <v>2482</v>
      </c>
      <c r="D941" t="s">
        <v>2854</v>
      </c>
      <c r="E941" s="1">
        <v>45740</v>
      </c>
      <c r="F941" t="s">
        <v>40</v>
      </c>
      <c r="G941" t="s">
        <v>38</v>
      </c>
      <c r="H941" t="s">
        <v>39</v>
      </c>
      <c r="I941" t="s">
        <v>2633</v>
      </c>
      <c r="J941" t="s">
        <v>2695</v>
      </c>
      <c r="K941" t="s">
        <v>25</v>
      </c>
      <c r="L941">
        <v>40</v>
      </c>
      <c r="M941">
        <v>5</v>
      </c>
      <c r="N941">
        <v>5</v>
      </c>
      <c r="O941" t="s">
        <v>975</v>
      </c>
      <c r="P941" t="s">
        <v>33</v>
      </c>
      <c r="Q941" t="s">
        <v>70</v>
      </c>
      <c r="R941" t="s">
        <v>32</v>
      </c>
      <c r="S941" t="s">
        <v>41</v>
      </c>
      <c r="T941">
        <v>1</v>
      </c>
      <c r="U941">
        <v>713.22</v>
      </c>
      <c r="V941">
        <v>1970.88</v>
      </c>
      <c r="W941">
        <v>7</v>
      </c>
      <c r="X941" t="s">
        <v>34</v>
      </c>
      <c r="Y941">
        <v>2025</v>
      </c>
    </row>
    <row r="942" spans="1:25" x14ac:dyDescent="0.3">
      <c r="A942" t="s">
        <v>2483</v>
      </c>
      <c r="B942" s="1">
        <v>45495</v>
      </c>
      <c r="C942" t="s">
        <v>2484</v>
      </c>
      <c r="D942" t="s">
        <v>2853</v>
      </c>
      <c r="E942" s="1">
        <v>45501</v>
      </c>
      <c r="F942" t="s">
        <v>29</v>
      </c>
      <c r="G942" t="s">
        <v>27</v>
      </c>
      <c r="H942" t="s">
        <v>28</v>
      </c>
      <c r="I942" t="s">
        <v>2639</v>
      </c>
      <c r="J942" t="s">
        <v>2687</v>
      </c>
      <c r="K942" t="s">
        <v>52</v>
      </c>
      <c r="L942">
        <v>31</v>
      </c>
      <c r="M942">
        <v>4</v>
      </c>
      <c r="N942">
        <v>0</v>
      </c>
      <c r="O942" t="s">
        <v>2485</v>
      </c>
      <c r="P942" t="s">
        <v>33</v>
      </c>
      <c r="Q942" t="s">
        <v>58</v>
      </c>
      <c r="R942" t="s">
        <v>32</v>
      </c>
      <c r="S942" t="s">
        <v>30</v>
      </c>
      <c r="T942">
        <v>3</v>
      </c>
      <c r="U942">
        <v>146.41999999999999</v>
      </c>
      <c r="V942">
        <v>357.52</v>
      </c>
      <c r="W942">
        <v>6</v>
      </c>
      <c r="X942" t="s">
        <v>45</v>
      </c>
      <c r="Y942">
        <v>2024</v>
      </c>
    </row>
    <row r="943" spans="1:25" x14ac:dyDescent="0.3">
      <c r="A943" t="s">
        <v>2486</v>
      </c>
      <c r="B943" s="1">
        <v>45569</v>
      </c>
      <c r="C943" t="s">
        <v>2487</v>
      </c>
      <c r="D943" t="s">
        <v>2852</v>
      </c>
      <c r="E943" s="1">
        <v>45571</v>
      </c>
      <c r="F943" t="s">
        <v>122</v>
      </c>
      <c r="G943" t="s">
        <v>120</v>
      </c>
      <c r="H943" t="s">
        <v>121</v>
      </c>
      <c r="I943" t="s">
        <v>2654</v>
      </c>
      <c r="J943" t="s">
        <v>2684</v>
      </c>
      <c r="K943" t="s">
        <v>52</v>
      </c>
      <c r="L943">
        <v>61</v>
      </c>
      <c r="M943">
        <v>4</v>
      </c>
      <c r="N943">
        <v>5</v>
      </c>
      <c r="O943" t="s">
        <v>1560</v>
      </c>
      <c r="P943" t="s">
        <v>33</v>
      </c>
      <c r="Q943" t="s">
        <v>117</v>
      </c>
      <c r="R943" t="s">
        <v>32</v>
      </c>
      <c r="S943" t="s">
        <v>123</v>
      </c>
      <c r="T943">
        <v>5</v>
      </c>
      <c r="U943">
        <v>215.84</v>
      </c>
      <c r="V943">
        <v>513.41</v>
      </c>
      <c r="W943">
        <v>2</v>
      </c>
      <c r="X943" t="s">
        <v>94</v>
      </c>
      <c r="Y943">
        <v>2024</v>
      </c>
    </row>
    <row r="944" spans="1:25" x14ac:dyDescent="0.3">
      <c r="A944" t="s">
        <v>2488</v>
      </c>
      <c r="B944" s="1">
        <v>45514</v>
      </c>
      <c r="C944" t="s">
        <v>2489</v>
      </c>
      <c r="D944" t="s">
        <v>2851</v>
      </c>
      <c r="E944" s="1">
        <v>45518</v>
      </c>
      <c r="F944" t="s">
        <v>68</v>
      </c>
      <c r="G944" t="s">
        <v>66</v>
      </c>
      <c r="H944" t="s">
        <v>67</v>
      </c>
      <c r="I944" t="s">
        <v>2625</v>
      </c>
      <c r="J944" t="s">
        <v>2651</v>
      </c>
      <c r="K944" t="s">
        <v>25</v>
      </c>
      <c r="L944">
        <v>48</v>
      </c>
      <c r="M944">
        <v>4</v>
      </c>
      <c r="N944">
        <v>10</v>
      </c>
      <c r="O944" t="s">
        <v>1253</v>
      </c>
      <c r="P944" t="s">
        <v>44</v>
      </c>
      <c r="Q944" t="s">
        <v>58</v>
      </c>
      <c r="R944" t="s">
        <v>62</v>
      </c>
      <c r="S944" t="s">
        <v>69</v>
      </c>
      <c r="T944">
        <v>4</v>
      </c>
      <c r="U944">
        <v>516.5</v>
      </c>
      <c r="V944">
        <v>1313.65</v>
      </c>
      <c r="W944">
        <v>4</v>
      </c>
      <c r="X944" t="s">
        <v>45</v>
      </c>
      <c r="Y944">
        <v>2024</v>
      </c>
    </row>
    <row r="945" spans="1:25" x14ac:dyDescent="0.3">
      <c r="A945" t="s">
        <v>2490</v>
      </c>
      <c r="B945" s="1">
        <v>45538</v>
      </c>
      <c r="C945" t="s">
        <v>2491</v>
      </c>
      <c r="D945" t="s">
        <v>2850</v>
      </c>
      <c r="E945" s="1">
        <v>45542</v>
      </c>
      <c r="F945" t="s">
        <v>140</v>
      </c>
      <c r="G945" t="s">
        <v>38</v>
      </c>
      <c r="H945" t="s">
        <v>139</v>
      </c>
      <c r="I945" t="s">
        <v>2623</v>
      </c>
      <c r="J945" t="s">
        <v>2691</v>
      </c>
      <c r="K945" t="s">
        <v>25</v>
      </c>
      <c r="L945">
        <v>30</v>
      </c>
      <c r="M945">
        <v>5</v>
      </c>
      <c r="N945">
        <v>30</v>
      </c>
      <c r="O945" t="s">
        <v>87</v>
      </c>
      <c r="P945" t="s">
        <v>44</v>
      </c>
      <c r="Q945" t="s">
        <v>31</v>
      </c>
      <c r="R945" t="s">
        <v>32</v>
      </c>
      <c r="S945" t="s">
        <v>141</v>
      </c>
      <c r="T945">
        <v>1</v>
      </c>
      <c r="U945">
        <v>790.89</v>
      </c>
      <c r="V945">
        <v>1990.33</v>
      </c>
      <c r="W945">
        <v>4</v>
      </c>
      <c r="X945" t="s">
        <v>45</v>
      </c>
      <c r="Y945">
        <v>2024</v>
      </c>
    </row>
    <row r="946" spans="1:25" x14ac:dyDescent="0.3">
      <c r="A946" t="s">
        <v>2492</v>
      </c>
      <c r="B946" s="1">
        <v>45856</v>
      </c>
      <c r="C946" t="s">
        <v>2493</v>
      </c>
      <c r="D946" t="s">
        <v>2849</v>
      </c>
      <c r="E946" s="1">
        <v>45863</v>
      </c>
      <c r="F946" t="s">
        <v>40</v>
      </c>
      <c r="G946" t="s">
        <v>38</v>
      </c>
      <c r="H946" t="s">
        <v>39</v>
      </c>
      <c r="I946" t="s">
        <v>2629</v>
      </c>
      <c r="J946" t="s">
        <v>2697</v>
      </c>
      <c r="K946" t="s">
        <v>52</v>
      </c>
      <c r="L946">
        <v>62</v>
      </c>
      <c r="M946">
        <v>2</v>
      </c>
      <c r="N946">
        <v>30</v>
      </c>
      <c r="O946" t="s">
        <v>2494</v>
      </c>
      <c r="P946" t="s">
        <v>75</v>
      </c>
      <c r="Q946" t="s">
        <v>58</v>
      </c>
      <c r="R946" t="s">
        <v>43</v>
      </c>
      <c r="S946" t="s">
        <v>41</v>
      </c>
      <c r="T946">
        <v>5</v>
      </c>
      <c r="U946">
        <v>676.04</v>
      </c>
      <c r="V946">
        <v>590.66</v>
      </c>
      <c r="W946">
        <v>7</v>
      </c>
      <c r="X946" t="s">
        <v>45</v>
      </c>
      <c r="Y946">
        <v>2025</v>
      </c>
    </row>
    <row r="947" spans="1:25" x14ac:dyDescent="0.3">
      <c r="A947" t="s">
        <v>2495</v>
      </c>
      <c r="B947" s="1">
        <v>45916</v>
      </c>
      <c r="C947" t="s">
        <v>2496</v>
      </c>
      <c r="D947" t="s">
        <v>2848</v>
      </c>
      <c r="E947" s="1">
        <v>45917</v>
      </c>
      <c r="F947" t="s">
        <v>56</v>
      </c>
      <c r="G947" t="s">
        <v>54</v>
      </c>
      <c r="H947" t="s">
        <v>55</v>
      </c>
      <c r="I947" t="s">
        <v>2661</v>
      </c>
      <c r="J947" t="s">
        <v>2671</v>
      </c>
      <c r="K947" t="s">
        <v>25</v>
      </c>
      <c r="L947">
        <v>27</v>
      </c>
      <c r="M947">
        <v>2</v>
      </c>
      <c r="N947">
        <v>0</v>
      </c>
      <c r="O947" t="s">
        <v>2497</v>
      </c>
      <c r="P947" t="s">
        <v>75</v>
      </c>
      <c r="Q947" t="s">
        <v>31</v>
      </c>
      <c r="R947" t="s">
        <v>62</v>
      </c>
      <c r="S947" t="s">
        <v>57</v>
      </c>
      <c r="T947">
        <v>3</v>
      </c>
      <c r="U947">
        <v>697.42</v>
      </c>
      <c r="V947">
        <v>829.01</v>
      </c>
      <c r="W947">
        <v>1</v>
      </c>
      <c r="X947" t="s">
        <v>45</v>
      </c>
      <c r="Y947">
        <v>2025</v>
      </c>
    </row>
    <row r="948" spans="1:25" x14ac:dyDescent="0.3">
      <c r="A948" t="s">
        <v>2498</v>
      </c>
      <c r="B948" s="1">
        <v>45794</v>
      </c>
      <c r="C948" t="s">
        <v>2499</v>
      </c>
      <c r="D948" t="s">
        <v>2847</v>
      </c>
      <c r="E948" s="1">
        <v>45801</v>
      </c>
      <c r="F948" t="s">
        <v>122</v>
      </c>
      <c r="G948" t="s">
        <v>120</v>
      </c>
      <c r="H948" t="s">
        <v>121</v>
      </c>
      <c r="I948" t="s">
        <v>2637</v>
      </c>
      <c r="J948" t="s">
        <v>99</v>
      </c>
      <c r="K948" t="s">
        <v>25</v>
      </c>
      <c r="L948">
        <v>59</v>
      </c>
      <c r="M948">
        <v>1</v>
      </c>
      <c r="N948">
        <v>10</v>
      </c>
      <c r="O948" t="s">
        <v>1933</v>
      </c>
      <c r="P948" t="s">
        <v>33</v>
      </c>
      <c r="Q948" t="s">
        <v>42</v>
      </c>
      <c r="R948" t="s">
        <v>43</v>
      </c>
      <c r="S948" t="s">
        <v>123</v>
      </c>
      <c r="T948">
        <v>3</v>
      </c>
      <c r="U948">
        <v>745.67</v>
      </c>
      <c r="V948">
        <v>442.38</v>
      </c>
      <c r="W948">
        <v>7</v>
      </c>
      <c r="X948" t="s">
        <v>49</v>
      </c>
      <c r="Y948">
        <v>2025</v>
      </c>
    </row>
    <row r="949" spans="1:25" x14ac:dyDescent="0.3">
      <c r="A949" t="s">
        <v>2500</v>
      </c>
      <c r="B949" s="1">
        <v>45889</v>
      </c>
      <c r="C949" t="s">
        <v>2501</v>
      </c>
      <c r="D949" t="s">
        <v>2846</v>
      </c>
      <c r="E949" s="1">
        <v>45896</v>
      </c>
      <c r="F949" t="s">
        <v>100</v>
      </c>
      <c r="G949" t="s">
        <v>98</v>
      </c>
      <c r="H949" t="s">
        <v>99</v>
      </c>
      <c r="I949" t="s">
        <v>2668</v>
      </c>
      <c r="J949" t="s">
        <v>2669</v>
      </c>
      <c r="K949" t="s">
        <v>25</v>
      </c>
      <c r="L949">
        <v>46</v>
      </c>
      <c r="M949">
        <v>4</v>
      </c>
      <c r="N949">
        <v>20</v>
      </c>
      <c r="O949" t="s">
        <v>2502</v>
      </c>
      <c r="P949" t="s">
        <v>75</v>
      </c>
      <c r="Q949" t="s">
        <v>70</v>
      </c>
      <c r="R949" t="s">
        <v>62</v>
      </c>
      <c r="S949" t="s">
        <v>101</v>
      </c>
      <c r="T949">
        <v>1</v>
      </c>
      <c r="U949">
        <v>265.48</v>
      </c>
      <c r="V949">
        <v>429.89</v>
      </c>
      <c r="W949">
        <v>7</v>
      </c>
      <c r="X949" t="s">
        <v>45</v>
      </c>
      <c r="Y949">
        <v>2025</v>
      </c>
    </row>
    <row r="950" spans="1:25" x14ac:dyDescent="0.3">
      <c r="A950" t="s">
        <v>2503</v>
      </c>
      <c r="B950" s="1">
        <v>45595</v>
      </c>
      <c r="C950" t="s">
        <v>2504</v>
      </c>
      <c r="D950" t="s">
        <v>2845</v>
      </c>
      <c r="E950" s="1">
        <v>45597</v>
      </c>
      <c r="F950" t="s">
        <v>115</v>
      </c>
      <c r="G950" t="s">
        <v>66</v>
      </c>
      <c r="H950" t="s">
        <v>114</v>
      </c>
      <c r="I950" t="s">
        <v>2665</v>
      </c>
      <c r="J950" t="s">
        <v>2666</v>
      </c>
      <c r="K950" t="s">
        <v>25</v>
      </c>
      <c r="L950">
        <v>26</v>
      </c>
      <c r="M950">
        <v>1</v>
      </c>
      <c r="N950">
        <v>10</v>
      </c>
      <c r="O950" t="s">
        <v>78</v>
      </c>
      <c r="P950" t="s">
        <v>33</v>
      </c>
      <c r="Q950" t="s">
        <v>70</v>
      </c>
      <c r="R950" t="s">
        <v>43</v>
      </c>
      <c r="S950" t="s">
        <v>116</v>
      </c>
      <c r="T950">
        <v>5</v>
      </c>
      <c r="U950">
        <v>559.69000000000005</v>
      </c>
      <c r="V950">
        <v>279.51</v>
      </c>
      <c r="W950">
        <v>2</v>
      </c>
      <c r="X950" t="s">
        <v>94</v>
      </c>
      <c r="Y950">
        <v>2024</v>
      </c>
    </row>
    <row r="951" spans="1:25" x14ac:dyDescent="0.3">
      <c r="A951" t="s">
        <v>2505</v>
      </c>
      <c r="B951" s="1">
        <v>45871</v>
      </c>
      <c r="C951" t="s">
        <v>2506</v>
      </c>
      <c r="D951" t="s">
        <v>2844</v>
      </c>
      <c r="E951" s="1">
        <v>45873</v>
      </c>
      <c r="F951" t="s">
        <v>29</v>
      </c>
      <c r="G951" t="s">
        <v>27</v>
      </c>
      <c r="H951" t="s">
        <v>28</v>
      </c>
      <c r="I951" t="s">
        <v>2623</v>
      </c>
      <c r="J951" t="s">
        <v>2624</v>
      </c>
      <c r="K951" t="s">
        <v>25</v>
      </c>
      <c r="L951">
        <v>35</v>
      </c>
      <c r="M951">
        <v>1</v>
      </c>
      <c r="N951">
        <v>10</v>
      </c>
      <c r="O951" t="s">
        <v>2507</v>
      </c>
      <c r="P951" t="s">
        <v>44</v>
      </c>
      <c r="Q951" t="s">
        <v>70</v>
      </c>
      <c r="R951" t="s">
        <v>43</v>
      </c>
      <c r="S951" t="s">
        <v>30</v>
      </c>
      <c r="T951">
        <v>4</v>
      </c>
      <c r="U951">
        <v>260.85000000000002</v>
      </c>
      <c r="V951">
        <v>184.68</v>
      </c>
      <c r="W951">
        <v>2</v>
      </c>
      <c r="X951" t="s">
        <v>45</v>
      </c>
      <c r="Y951">
        <v>2025</v>
      </c>
    </row>
    <row r="952" spans="1:25" x14ac:dyDescent="0.3">
      <c r="A952" t="s">
        <v>2508</v>
      </c>
      <c r="B952" s="1">
        <v>45764</v>
      </c>
      <c r="C952" t="s">
        <v>2509</v>
      </c>
      <c r="D952" t="s">
        <v>2843</v>
      </c>
      <c r="E952" s="1">
        <v>45770</v>
      </c>
      <c r="F952" t="s">
        <v>29</v>
      </c>
      <c r="G952" t="s">
        <v>27</v>
      </c>
      <c r="H952" t="s">
        <v>28</v>
      </c>
      <c r="I952" t="s">
        <v>2631</v>
      </c>
      <c r="J952" t="s">
        <v>2711</v>
      </c>
      <c r="K952" t="s">
        <v>52</v>
      </c>
      <c r="L952">
        <v>33</v>
      </c>
      <c r="M952">
        <v>5</v>
      </c>
      <c r="N952">
        <v>5</v>
      </c>
      <c r="O952" t="s">
        <v>1728</v>
      </c>
      <c r="P952" t="s">
        <v>44</v>
      </c>
      <c r="Q952" t="s">
        <v>42</v>
      </c>
      <c r="R952" t="s">
        <v>43</v>
      </c>
      <c r="S952" t="s">
        <v>30</v>
      </c>
      <c r="T952">
        <v>5</v>
      </c>
      <c r="U952">
        <v>471.62</v>
      </c>
      <c r="V952">
        <v>1499.6</v>
      </c>
      <c r="W952">
        <v>6</v>
      </c>
      <c r="X952" t="s">
        <v>49</v>
      </c>
      <c r="Y952">
        <v>2025</v>
      </c>
    </row>
    <row r="953" spans="1:25" x14ac:dyDescent="0.3">
      <c r="A953" t="s">
        <v>2510</v>
      </c>
      <c r="B953" s="1">
        <v>45865</v>
      </c>
      <c r="C953" t="s">
        <v>2511</v>
      </c>
      <c r="D953" t="s">
        <v>2842</v>
      </c>
      <c r="E953" s="1">
        <v>45871</v>
      </c>
      <c r="F953" t="s">
        <v>100</v>
      </c>
      <c r="G953" t="s">
        <v>98</v>
      </c>
      <c r="H953" t="s">
        <v>99</v>
      </c>
      <c r="I953" t="s">
        <v>2665</v>
      </c>
      <c r="J953" t="s">
        <v>2719</v>
      </c>
      <c r="K953" t="s">
        <v>25</v>
      </c>
      <c r="L953">
        <v>63</v>
      </c>
      <c r="M953">
        <v>1</v>
      </c>
      <c r="N953">
        <v>5</v>
      </c>
      <c r="O953" t="s">
        <v>2031</v>
      </c>
      <c r="P953" t="s">
        <v>75</v>
      </c>
      <c r="Q953" t="s">
        <v>70</v>
      </c>
      <c r="R953" t="s">
        <v>32</v>
      </c>
      <c r="S953" t="s">
        <v>101</v>
      </c>
      <c r="T953">
        <v>4</v>
      </c>
      <c r="U953">
        <v>910.33</v>
      </c>
      <c r="V953">
        <v>695.63</v>
      </c>
      <c r="W953">
        <v>6</v>
      </c>
      <c r="X953" t="s">
        <v>45</v>
      </c>
      <c r="Y953">
        <v>2025</v>
      </c>
    </row>
    <row r="954" spans="1:25" x14ac:dyDescent="0.3">
      <c r="A954" t="s">
        <v>2512</v>
      </c>
      <c r="B954" s="1">
        <v>45982</v>
      </c>
      <c r="C954" t="s">
        <v>2513</v>
      </c>
      <c r="D954" t="s">
        <v>2841</v>
      </c>
      <c r="E954" s="1">
        <v>45989</v>
      </c>
      <c r="F954" t="s">
        <v>100</v>
      </c>
      <c r="G954" t="s">
        <v>98</v>
      </c>
      <c r="H954" t="s">
        <v>99</v>
      </c>
      <c r="I954" t="s">
        <v>2633</v>
      </c>
      <c r="J954" t="s">
        <v>2695</v>
      </c>
      <c r="K954" t="s">
        <v>52</v>
      </c>
      <c r="L954">
        <v>18</v>
      </c>
      <c r="M954">
        <v>1</v>
      </c>
      <c r="N954">
        <v>10</v>
      </c>
      <c r="O954" t="s">
        <v>2303</v>
      </c>
      <c r="P954" t="s">
        <v>75</v>
      </c>
      <c r="Q954" t="s">
        <v>58</v>
      </c>
      <c r="R954" t="s">
        <v>43</v>
      </c>
      <c r="S954" t="s">
        <v>101</v>
      </c>
      <c r="T954">
        <v>3</v>
      </c>
      <c r="U954">
        <v>270.11</v>
      </c>
      <c r="V954">
        <v>196.63</v>
      </c>
      <c r="W954">
        <v>7</v>
      </c>
      <c r="X954" t="s">
        <v>94</v>
      </c>
      <c r="Y954">
        <v>2025</v>
      </c>
    </row>
    <row r="955" spans="1:25" x14ac:dyDescent="0.3">
      <c r="A955" t="s">
        <v>2514</v>
      </c>
      <c r="B955" s="1">
        <v>46142</v>
      </c>
      <c r="C955" t="s">
        <v>1890</v>
      </c>
      <c r="D955" t="s">
        <v>2840</v>
      </c>
      <c r="E955" s="1">
        <v>46148</v>
      </c>
      <c r="F955" t="s">
        <v>100</v>
      </c>
      <c r="G955" t="s">
        <v>98</v>
      </c>
      <c r="H955" t="s">
        <v>99</v>
      </c>
      <c r="I955" t="s">
        <v>2623</v>
      </c>
      <c r="J955" t="s">
        <v>2691</v>
      </c>
      <c r="K955" t="s">
        <v>52</v>
      </c>
      <c r="L955">
        <v>62</v>
      </c>
      <c r="M955">
        <v>1</v>
      </c>
      <c r="N955">
        <v>30</v>
      </c>
      <c r="O955" t="s">
        <v>2515</v>
      </c>
      <c r="P955" t="s">
        <v>75</v>
      </c>
      <c r="Q955" t="s">
        <v>70</v>
      </c>
      <c r="R955" t="s">
        <v>71</v>
      </c>
      <c r="S955" t="s">
        <v>101</v>
      </c>
      <c r="T955">
        <v>4</v>
      </c>
      <c r="U955">
        <v>104.66</v>
      </c>
      <c r="V955">
        <v>44.09</v>
      </c>
      <c r="W955">
        <v>6</v>
      </c>
      <c r="X955" t="s">
        <v>49</v>
      </c>
      <c r="Y955">
        <v>2026</v>
      </c>
    </row>
    <row r="956" spans="1:25" x14ac:dyDescent="0.3">
      <c r="A956" t="s">
        <v>2516</v>
      </c>
      <c r="B956" s="1">
        <v>45500</v>
      </c>
      <c r="C956" t="s">
        <v>2517</v>
      </c>
      <c r="D956" t="s">
        <v>2839</v>
      </c>
      <c r="E956" s="1">
        <v>45507</v>
      </c>
      <c r="F956" t="s">
        <v>115</v>
      </c>
      <c r="G956" t="s">
        <v>66</v>
      </c>
      <c r="H956" t="s">
        <v>114</v>
      </c>
      <c r="I956" t="s">
        <v>2623</v>
      </c>
      <c r="J956" t="s">
        <v>2701</v>
      </c>
      <c r="K956" t="s">
        <v>25</v>
      </c>
      <c r="L956">
        <v>39</v>
      </c>
      <c r="M956">
        <v>2</v>
      </c>
      <c r="N956">
        <v>5</v>
      </c>
      <c r="O956" t="s">
        <v>37</v>
      </c>
      <c r="P956" t="s">
        <v>75</v>
      </c>
      <c r="Q956" t="s">
        <v>70</v>
      </c>
      <c r="R956" t="s">
        <v>32</v>
      </c>
      <c r="S956" t="s">
        <v>116</v>
      </c>
      <c r="T956">
        <v>3</v>
      </c>
      <c r="U956">
        <v>685.15</v>
      </c>
      <c r="V956">
        <v>788.52</v>
      </c>
      <c r="W956">
        <v>7</v>
      </c>
      <c r="X956" t="s">
        <v>45</v>
      </c>
      <c r="Y956">
        <v>2024</v>
      </c>
    </row>
    <row r="957" spans="1:25" x14ac:dyDescent="0.3">
      <c r="A957" t="s">
        <v>2518</v>
      </c>
      <c r="B957" s="1">
        <v>45785</v>
      </c>
      <c r="C957" t="s">
        <v>2519</v>
      </c>
      <c r="D957" t="s">
        <v>2838</v>
      </c>
      <c r="E957" s="1">
        <v>45787</v>
      </c>
      <c r="F957" t="s">
        <v>122</v>
      </c>
      <c r="G957" t="s">
        <v>120</v>
      </c>
      <c r="H957" t="s">
        <v>121</v>
      </c>
      <c r="I957" t="s">
        <v>2631</v>
      </c>
      <c r="J957" t="s">
        <v>2694</v>
      </c>
      <c r="K957" t="s">
        <v>25</v>
      </c>
      <c r="L957">
        <v>38</v>
      </c>
      <c r="M957">
        <v>4</v>
      </c>
      <c r="N957">
        <v>30</v>
      </c>
      <c r="O957" t="s">
        <v>2520</v>
      </c>
      <c r="P957" t="s">
        <v>33</v>
      </c>
      <c r="Q957" t="s">
        <v>31</v>
      </c>
      <c r="R957" t="s">
        <v>62</v>
      </c>
      <c r="S957" t="s">
        <v>123</v>
      </c>
      <c r="T957">
        <v>1</v>
      </c>
      <c r="U957">
        <v>659.52</v>
      </c>
      <c r="V957">
        <v>1091.3399999999999</v>
      </c>
      <c r="W957">
        <v>2</v>
      </c>
      <c r="X957" t="s">
        <v>49</v>
      </c>
      <c r="Y957">
        <v>2025</v>
      </c>
    </row>
    <row r="958" spans="1:25" x14ac:dyDescent="0.3">
      <c r="A958" t="s">
        <v>2521</v>
      </c>
      <c r="B958" s="1">
        <v>45697</v>
      </c>
      <c r="C958" t="s">
        <v>2522</v>
      </c>
      <c r="D958" t="s">
        <v>2837</v>
      </c>
      <c r="E958" s="1">
        <v>45702</v>
      </c>
      <c r="F958" t="s">
        <v>29</v>
      </c>
      <c r="G958" t="s">
        <v>27</v>
      </c>
      <c r="H958" t="s">
        <v>28</v>
      </c>
      <c r="I958" t="s">
        <v>2663</v>
      </c>
      <c r="J958" t="s">
        <v>2670</v>
      </c>
      <c r="K958" t="s">
        <v>25</v>
      </c>
      <c r="L958">
        <v>52</v>
      </c>
      <c r="M958">
        <v>4</v>
      </c>
      <c r="N958">
        <v>25</v>
      </c>
      <c r="O958" t="s">
        <v>953</v>
      </c>
      <c r="P958" t="s">
        <v>44</v>
      </c>
      <c r="Q958" t="s">
        <v>70</v>
      </c>
      <c r="R958" t="s">
        <v>71</v>
      </c>
      <c r="S958" t="s">
        <v>30</v>
      </c>
      <c r="T958">
        <v>3</v>
      </c>
      <c r="U958">
        <v>984.14</v>
      </c>
      <c r="V958">
        <v>2382.88</v>
      </c>
      <c r="W958">
        <v>5</v>
      </c>
      <c r="X958" t="s">
        <v>34</v>
      </c>
      <c r="Y958">
        <v>2025</v>
      </c>
    </row>
    <row r="959" spans="1:25" x14ac:dyDescent="0.3">
      <c r="A959" t="s">
        <v>2523</v>
      </c>
      <c r="B959" s="1">
        <v>45642</v>
      </c>
      <c r="C959" t="s">
        <v>2524</v>
      </c>
      <c r="D959" t="s">
        <v>2836</v>
      </c>
      <c r="E959" s="1">
        <v>45645</v>
      </c>
      <c r="F959" t="s">
        <v>56</v>
      </c>
      <c r="G959" t="s">
        <v>54</v>
      </c>
      <c r="H959" t="s">
        <v>55</v>
      </c>
      <c r="I959" t="s">
        <v>2641</v>
      </c>
      <c r="J959" t="s">
        <v>2713</v>
      </c>
      <c r="K959" t="s">
        <v>25</v>
      </c>
      <c r="L959">
        <v>36</v>
      </c>
      <c r="M959">
        <v>5</v>
      </c>
      <c r="N959">
        <v>20</v>
      </c>
      <c r="O959" t="s">
        <v>1952</v>
      </c>
      <c r="P959" t="s">
        <v>33</v>
      </c>
      <c r="Q959" t="s">
        <v>70</v>
      </c>
      <c r="R959" t="s">
        <v>62</v>
      </c>
      <c r="S959" t="s">
        <v>57</v>
      </c>
      <c r="T959">
        <v>5</v>
      </c>
      <c r="U959">
        <v>234.99</v>
      </c>
      <c r="V959">
        <v>600.51</v>
      </c>
      <c r="W959">
        <v>3</v>
      </c>
      <c r="X959" t="s">
        <v>94</v>
      </c>
      <c r="Y959">
        <v>2024</v>
      </c>
    </row>
    <row r="960" spans="1:25" x14ac:dyDescent="0.3">
      <c r="A960" t="s">
        <v>2525</v>
      </c>
      <c r="B960" s="1">
        <v>45771</v>
      </c>
      <c r="C960" t="s">
        <v>2526</v>
      </c>
      <c r="D960" t="s">
        <v>2835</v>
      </c>
      <c r="E960" s="1">
        <v>45773</v>
      </c>
      <c r="F960" t="s">
        <v>122</v>
      </c>
      <c r="G960" t="s">
        <v>120</v>
      </c>
      <c r="H960" t="s">
        <v>121</v>
      </c>
      <c r="I960" t="s">
        <v>2629</v>
      </c>
      <c r="J960" t="s">
        <v>2689</v>
      </c>
      <c r="K960" t="s">
        <v>52</v>
      </c>
      <c r="L960">
        <v>47</v>
      </c>
      <c r="M960">
        <v>3</v>
      </c>
      <c r="N960">
        <v>25</v>
      </c>
      <c r="O960" t="s">
        <v>2527</v>
      </c>
      <c r="P960" t="s">
        <v>33</v>
      </c>
      <c r="Q960" t="s">
        <v>42</v>
      </c>
      <c r="R960" t="s">
        <v>71</v>
      </c>
      <c r="S960" t="s">
        <v>123</v>
      </c>
      <c r="T960">
        <v>1</v>
      </c>
      <c r="U960">
        <v>416.91</v>
      </c>
      <c r="V960">
        <v>512.08000000000004</v>
      </c>
      <c r="W960">
        <v>2</v>
      </c>
      <c r="X960" t="s">
        <v>49</v>
      </c>
      <c r="Y960">
        <v>2025</v>
      </c>
    </row>
    <row r="961" spans="1:25" x14ac:dyDescent="0.3">
      <c r="A961" t="s">
        <v>2528</v>
      </c>
      <c r="B961" s="1">
        <v>46188</v>
      </c>
      <c r="C961" t="s">
        <v>2529</v>
      </c>
      <c r="D961" t="s">
        <v>2834</v>
      </c>
      <c r="E961" s="1">
        <v>46194</v>
      </c>
      <c r="F961" t="s">
        <v>122</v>
      </c>
      <c r="G961" t="s">
        <v>120</v>
      </c>
      <c r="H961" t="s">
        <v>121</v>
      </c>
      <c r="I961" t="s">
        <v>2641</v>
      </c>
      <c r="J961" t="s">
        <v>2642</v>
      </c>
      <c r="K961" t="s">
        <v>25</v>
      </c>
      <c r="L961">
        <v>57</v>
      </c>
      <c r="M961">
        <v>2</v>
      </c>
      <c r="N961">
        <v>25</v>
      </c>
      <c r="O961" t="s">
        <v>1560</v>
      </c>
      <c r="P961" t="s">
        <v>75</v>
      </c>
      <c r="Q961" t="s">
        <v>58</v>
      </c>
      <c r="R961" t="s">
        <v>43</v>
      </c>
      <c r="S961" t="s">
        <v>123</v>
      </c>
      <c r="T961">
        <v>5</v>
      </c>
      <c r="U961">
        <v>275.22000000000003</v>
      </c>
      <c r="V961">
        <v>210.18</v>
      </c>
      <c r="W961">
        <v>6</v>
      </c>
      <c r="X961" t="s">
        <v>49</v>
      </c>
      <c r="Y961">
        <v>2026</v>
      </c>
    </row>
    <row r="962" spans="1:25" x14ac:dyDescent="0.3">
      <c r="A962" t="s">
        <v>2530</v>
      </c>
      <c r="B962" s="1">
        <v>45364</v>
      </c>
      <c r="C962" t="s">
        <v>2531</v>
      </c>
      <c r="D962" t="s">
        <v>2833</v>
      </c>
      <c r="E962" s="1">
        <v>45368</v>
      </c>
      <c r="F962" t="s">
        <v>56</v>
      </c>
      <c r="G962" t="s">
        <v>54</v>
      </c>
      <c r="H962" t="s">
        <v>55</v>
      </c>
      <c r="I962" t="s">
        <v>2625</v>
      </c>
      <c r="J962" t="s">
        <v>2651</v>
      </c>
      <c r="K962" t="s">
        <v>25</v>
      </c>
      <c r="L962">
        <v>27</v>
      </c>
      <c r="M962">
        <v>1</v>
      </c>
      <c r="N962">
        <v>20</v>
      </c>
      <c r="O962" t="s">
        <v>2532</v>
      </c>
      <c r="P962" t="s">
        <v>75</v>
      </c>
      <c r="Q962" t="s">
        <v>70</v>
      </c>
      <c r="R962" t="s">
        <v>62</v>
      </c>
      <c r="S962" t="s">
        <v>57</v>
      </c>
      <c r="T962">
        <v>4</v>
      </c>
      <c r="U962">
        <v>504.6</v>
      </c>
      <c r="V962">
        <v>290.61</v>
      </c>
      <c r="W962">
        <v>4</v>
      </c>
      <c r="X962" t="s">
        <v>34</v>
      </c>
      <c r="Y962">
        <v>2024</v>
      </c>
    </row>
    <row r="963" spans="1:25" x14ac:dyDescent="0.3">
      <c r="A963" t="s">
        <v>2533</v>
      </c>
      <c r="B963" s="1">
        <v>46112</v>
      </c>
      <c r="C963" t="s">
        <v>2534</v>
      </c>
      <c r="D963" t="s">
        <v>2832</v>
      </c>
      <c r="E963" s="1">
        <v>46114</v>
      </c>
      <c r="F963" t="s">
        <v>100</v>
      </c>
      <c r="G963" t="s">
        <v>98</v>
      </c>
      <c r="H963" t="s">
        <v>99</v>
      </c>
      <c r="I963" t="s">
        <v>2665</v>
      </c>
      <c r="J963" t="s">
        <v>2693</v>
      </c>
      <c r="K963" t="s">
        <v>25</v>
      </c>
      <c r="L963">
        <v>64</v>
      </c>
      <c r="M963">
        <v>5</v>
      </c>
      <c r="N963">
        <v>15</v>
      </c>
      <c r="O963" t="s">
        <v>978</v>
      </c>
      <c r="P963" t="s">
        <v>33</v>
      </c>
      <c r="Q963" t="s">
        <v>117</v>
      </c>
      <c r="R963" t="s">
        <v>62</v>
      </c>
      <c r="S963" t="s">
        <v>101</v>
      </c>
      <c r="T963">
        <v>5</v>
      </c>
      <c r="U963">
        <v>55.13</v>
      </c>
      <c r="V963">
        <v>183.29</v>
      </c>
      <c r="W963">
        <v>2</v>
      </c>
      <c r="X963" t="s">
        <v>34</v>
      </c>
      <c r="Y963">
        <v>2026</v>
      </c>
    </row>
    <row r="964" spans="1:25" x14ac:dyDescent="0.3">
      <c r="A964" t="s">
        <v>2535</v>
      </c>
      <c r="B964" s="1">
        <v>45959</v>
      </c>
      <c r="C964" t="s">
        <v>2536</v>
      </c>
      <c r="D964" t="s">
        <v>2831</v>
      </c>
      <c r="E964" s="1">
        <v>45966</v>
      </c>
      <c r="F964" t="s">
        <v>140</v>
      </c>
      <c r="G964" t="s">
        <v>38</v>
      </c>
      <c r="H964" t="s">
        <v>139</v>
      </c>
      <c r="I964" t="s">
        <v>2665</v>
      </c>
      <c r="J964" t="s">
        <v>2666</v>
      </c>
      <c r="K964" t="s">
        <v>52</v>
      </c>
      <c r="L964">
        <v>32</v>
      </c>
      <c r="M964">
        <v>2</v>
      </c>
      <c r="N964">
        <v>30</v>
      </c>
      <c r="O964" t="s">
        <v>2537</v>
      </c>
      <c r="P964" t="s">
        <v>33</v>
      </c>
      <c r="Q964" t="s">
        <v>70</v>
      </c>
      <c r="R964" t="s">
        <v>71</v>
      </c>
      <c r="S964" t="s">
        <v>141</v>
      </c>
      <c r="T964">
        <v>4</v>
      </c>
      <c r="U964">
        <v>620.28</v>
      </c>
      <c r="V964">
        <v>449.52</v>
      </c>
      <c r="W964">
        <v>7</v>
      </c>
      <c r="X964" t="s">
        <v>94</v>
      </c>
      <c r="Y964">
        <v>2025</v>
      </c>
    </row>
    <row r="965" spans="1:25" x14ac:dyDescent="0.3">
      <c r="A965" t="s">
        <v>2538</v>
      </c>
      <c r="B965" s="1">
        <v>45845</v>
      </c>
      <c r="C965" t="s">
        <v>2539</v>
      </c>
      <c r="D965" t="s">
        <v>2830</v>
      </c>
      <c r="E965" s="1">
        <v>45846</v>
      </c>
      <c r="F965" t="s">
        <v>122</v>
      </c>
      <c r="G965" t="s">
        <v>120</v>
      </c>
      <c r="H965" t="s">
        <v>121</v>
      </c>
      <c r="I965" t="s">
        <v>2631</v>
      </c>
      <c r="J965" t="s">
        <v>2711</v>
      </c>
      <c r="K965" t="s">
        <v>52</v>
      </c>
      <c r="L965">
        <v>39</v>
      </c>
      <c r="M965">
        <v>4</v>
      </c>
      <c r="N965">
        <v>30</v>
      </c>
      <c r="O965" t="s">
        <v>2540</v>
      </c>
      <c r="P965" t="s">
        <v>75</v>
      </c>
      <c r="Q965" t="s">
        <v>58</v>
      </c>
      <c r="R965" t="s">
        <v>62</v>
      </c>
      <c r="S965" t="s">
        <v>123</v>
      </c>
      <c r="T965">
        <v>3</v>
      </c>
      <c r="U965">
        <v>602.02</v>
      </c>
      <c r="V965">
        <v>1280.58</v>
      </c>
      <c r="W965">
        <v>1</v>
      </c>
      <c r="X965" t="s">
        <v>45</v>
      </c>
      <c r="Y965">
        <v>2025</v>
      </c>
    </row>
    <row r="966" spans="1:25" x14ac:dyDescent="0.3">
      <c r="A966" t="s">
        <v>2541</v>
      </c>
      <c r="B966" s="1">
        <v>46115</v>
      </c>
      <c r="C966" t="s">
        <v>2542</v>
      </c>
      <c r="D966" t="s">
        <v>2829</v>
      </c>
      <c r="E966" s="1">
        <v>46121</v>
      </c>
      <c r="F966" t="s">
        <v>140</v>
      </c>
      <c r="G966" t="s">
        <v>38</v>
      </c>
      <c r="H966" t="s">
        <v>139</v>
      </c>
      <c r="I966" t="s">
        <v>2675</v>
      </c>
      <c r="J966" t="s">
        <v>2676</v>
      </c>
      <c r="K966" t="s">
        <v>52</v>
      </c>
      <c r="L966">
        <v>44</v>
      </c>
      <c r="M966">
        <v>3</v>
      </c>
      <c r="N966">
        <v>15</v>
      </c>
      <c r="O966" t="s">
        <v>1114</v>
      </c>
      <c r="P966" t="s">
        <v>44</v>
      </c>
      <c r="Q966" t="s">
        <v>42</v>
      </c>
      <c r="R966" t="s">
        <v>62</v>
      </c>
      <c r="S966" t="s">
        <v>141</v>
      </c>
      <c r="T966">
        <v>4</v>
      </c>
      <c r="U966">
        <v>919.07</v>
      </c>
      <c r="V966">
        <v>1806.77</v>
      </c>
      <c r="W966">
        <v>6</v>
      </c>
      <c r="X966" t="s">
        <v>49</v>
      </c>
      <c r="Y966">
        <v>2026</v>
      </c>
    </row>
    <row r="967" spans="1:25" x14ac:dyDescent="0.3">
      <c r="A967" t="s">
        <v>2543</v>
      </c>
      <c r="B967" s="1">
        <v>45649</v>
      </c>
      <c r="C967" t="s">
        <v>2544</v>
      </c>
      <c r="D967" t="s">
        <v>2828</v>
      </c>
      <c r="E967" s="1">
        <v>45656</v>
      </c>
      <c r="F967" t="s">
        <v>56</v>
      </c>
      <c r="G967" t="s">
        <v>54</v>
      </c>
      <c r="H967" t="s">
        <v>55</v>
      </c>
      <c r="I967" t="s">
        <v>2622</v>
      </c>
      <c r="J967" t="s">
        <v>2704</v>
      </c>
      <c r="K967" t="s">
        <v>25</v>
      </c>
      <c r="L967">
        <v>63</v>
      </c>
      <c r="M967">
        <v>1</v>
      </c>
      <c r="N967">
        <v>0</v>
      </c>
      <c r="O967" t="s">
        <v>2545</v>
      </c>
      <c r="P967" t="s">
        <v>44</v>
      </c>
      <c r="Q967" t="s">
        <v>42</v>
      </c>
      <c r="R967" t="s">
        <v>71</v>
      </c>
      <c r="S967" t="s">
        <v>57</v>
      </c>
      <c r="T967">
        <v>3</v>
      </c>
      <c r="U967">
        <v>109.08</v>
      </c>
      <c r="V967">
        <v>78.849999999999994</v>
      </c>
      <c r="W967">
        <v>7</v>
      </c>
      <c r="X967" t="s">
        <v>94</v>
      </c>
      <c r="Y967">
        <v>2024</v>
      </c>
    </row>
    <row r="968" spans="1:25" x14ac:dyDescent="0.3">
      <c r="A968" t="s">
        <v>2546</v>
      </c>
      <c r="B968" s="1">
        <v>45595</v>
      </c>
      <c r="C968" t="s">
        <v>2547</v>
      </c>
      <c r="D968" t="s">
        <v>2827</v>
      </c>
      <c r="E968" s="1">
        <v>45599</v>
      </c>
      <c r="F968" t="s">
        <v>122</v>
      </c>
      <c r="G968" t="s">
        <v>120</v>
      </c>
      <c r="H968" t="s">
        <v>121</v>
      </c>
      <c r="I968" t="s">
        <v>2661</v>
      </c>
      <c r="J968" t="s">
        <v>2671</v>
      </c>
      <c r="K968" t="s">
        <v>52</v>
      </c>
      <c r="L968">
        <v>58</v>
      </c>
      <c r="M968">
        <v>3</v>
      </c>
      <c r="N968">
        <v>10</v>
      </c>
      <c r="O968" t="s">
        <v>1857</v>
      </c>
      <c r="P968" t="s">
        <v>44</v>
      </c>
      <c r="Q968" t="s">
        <v>58</v>
      </c>
      <c r="R968" t="s">
        <v>62</v>
      </c>
      <c r="S968" t="s">
        <v>123</v>
      </c>
      <c r="T968">
        <v>1</v>
      </c>
      <c r="U968">
        <v>378.02</v>
      </c>
      <c r="V968">
        <v>695.47</v>
      </c>
      <c r="W968">
        <v>4</v>
      </c>
      <c r="X968" t="s">
        <v>94</v>
      </c>
      <c r="Y968">
        <v>2024</v>
      </c>
    </row>
    <row r="969" spans="1:25" x14ac:dyDescent="0.3">
      <c r="A969" t="s">
        <v>2548</v>
      </c>
      <c r="B969" s="1">
        <v>45383</v>
      </c>
      <c r="C969" t="s">
        <v>2549</v>
      </c>
      <c r="D969" t="s">
        <v>2826</v>
      </c>
      <c r="E969" s="1">
        <v>45388</v>
      </c>
      <c r="F969" t="s">
        <v>128</v>
      </c>
      <c r="G969" t="s">
        <v>98</v>
      </c>
      <c r="H969" t="s">
        <v>127</v>
      </c>
      <c r="I969" t="s">
        <v>2629</v>
      </c>
      <c r="J969" t="s">
        <v>2630</v>
      </c>
      <c r="K969" t="s">
        <v>25</v>
      </c>
      <c r="L969">
        <v>31</v>
      </c>
      <c r="M969">
        <v>2</v>
      </c>
      <c r="N969">
        <v>20</v>
      </c>
      <c r="O969" t="s">
        <v>183</v>
      </c>
      <c r="P969" t="s">
        <v>33</v>
      </c>
      <c r="Q969" t="s">
        <v>58</v>
      </c>
      <c r="R969" t="s">
        <v>32</v>
      </c>
      <c r="S969" t="s">
        <v>129</v>
      </c>
      <c r="T969">
        <v>4</v>
      </c>
      <c r="U969">
        <v>483.93</v>
      </c>
      <c r="V969">
        <v>419.99</v>
      </c>
      <c r="W969">
        <v>5</v>
      </c>
      <c r="X969" t="s">
        <v>49</v>
      </c>
      <c r="Y969">
        <v>2024</v>
      </c>
    </row>
    <row r="970" spans="1:25" x14ac:dyDescent="0.3">
      <c r="A970" t="s">
        <v>2550</v>
      </c>
      <c r="B970" s="1">
        <v>45772</v>
      </c>
      <c r="C970" t="s">
        <v>2551</v>
      </c>
      <c r="D970" t="s">
        <v>2825</v>
      </c>
      <c r="E970" s="1">
        <v>45775</v>
      </c>
      <c r="F970" t="s">
        <v>56</v>
      </c>
      <c r="G970" t="s">
        <v>54</v>
      </c>
      <c r="H970" t="s">
        <v>55</v>
      </c>
      <c r="I970" t="s">
        <v>2622</v>
      </c>
      <c r="J970" t="s">
        <v>2686</v>
      </c>
      <c r="K970" t="s">
        <v>25</v>
      </c>
      <c r="L970">
        <v>47</v>
      </c>
      <c r="M970">
        <v>2</v>
      </c>
      <c r="N970">
        <v>0</v>
      </c>
      <c r="O970" t="s">
        <v>211</v>
      </c>
      <c r="P970" t="s">
        <v>44</v>
      </c>
      <c r="Q970" t="s">
        <v>58</v>
      </c>
      <c r="R970" t="s">
        <v>62</v>
      </c>
      <c r="S970" t="s">
        <v>57</v>
      </c>
      <c r="T970">
        <v>2</v>
      </c>
      <c r="U970">
        <v>798.82</v>
      </c>
      <c r="V970">
        <v>944.73</v>
      </c>
      <c r="W970">
        <v>3</v>
      </c>
      <c r="X970" t="s">
        <v>49</v>
      </c>
      <c r="Y970">
        <v>2025</v>
      </c>
    </row>
    <row r="971" spans="1:25" x14ac:dyDescent="0.3">
      <c r="A971" t="s">
        <v>2552</v>
      </c>
      <c r="B971" s="1">
        <v>45936</v>
      </c>
      <c r="C971" t="s">
        <v>24</v>
      </c>
      <c r="D971" t="s">
        <v>2824</v>
      </c>
      <c r="E971" s="1">
        <v>45943</v>
      </c>
      <c r="F971" t="s">
        <v>115</v>
      </c>
      <c r="G971" t="s">
        <v>66</v>
      </c>
      <c r="H971" t="s">
        <v>114</v>
      </c>
      <c r="I971" t="s">
        <v>2623</v>
      </c>
      <c r="J971" t="s">
        <v>2691</v>
      </c>
      <c r="K971" t="s">
        <v>25</v>
      </c>
      <c r="L971">
        <v>61</v>
      </c>
      <c r="M971">
        <v>5</v>
      </c>
      <c r="N971">
        <v>20</v>
      </c>
      <c r="O971" t="s">
        <v>1703</v>
      </c>
      <c r="P971" t="s">
        <v>33</v>
      </c>
      <c r="Q971" t="s">
        <v>31</v>
      </c>
      <c r="R971" t="s">
        <v>32</v>
      </c>
      <c r="S971" t="s">
        <v>116</v>
      </c>
      <c r="T971">
        <v>3</v>
      </c>
      <c r="U971">
        <v>958.58</v>
      </c>
      <c r="V971">
        <v>3229.77</v>
      </c>
      <c r="W971">
        <v>7</v>
      </c>
      <c r="X971" t="s">
        <v>94</v>
      </c>
      <c r="Y971">
        <v>2025</v>
      </c>
    </row>
    <row r="972" spans="1:25" x14ac:dyDescent="0.3">
      <c r="A972" t="s">
        <v>2553</v>
      </c>
      <c r="B972" s="1">
        <v>45956</v>
      </c>
      <c r="C972" t="s">
        <v>2554</v>
      </c>
      <c r="D972" t="s">
        <v>2823</v>
      </c>
      <c r="E972" s="1">
        <v>45959</v>
      </c>
      <c r="F972" t="s">
        <v>122</v>
      </c>
      <c r="G972" t="s">
        <v>120</v>
      </c>
      <c r="H972" t="s">
        <v>121</v>
      </c>
      <c r="I972" t="s">
        <v>2635</v>
      </c>
      <c r="J972" t="s">
        <v>2720</v>
      </c>
      <c r="K972" t="s">
        <v>52</v>
      </c>
      <c r="L972">
        <v>63</v>
      </c>
      <c r="M972">
        <v>4</v>
      </c>
      <c r="N972">
        <v>30</v>
      </c>
      <c r="O972" t="s">
        <v>983</v>
      </c>
      <c r="P972" t="s">
        <v>33</v>
      </c>
      <c r="Q972" t="s">
        <v>58</v>
      </c>
      <c r="R972" t="s">
        <v>62</v>
      </c>
      <c r="S972" t="s">
        <v>123</v>
      </c>
      <c r="T972">
        <v>1</v>
      </c>
      <c r="U972">
        <v>529.69000000000005</v>
      </c>
      <c r="V972">
        <v>927.93</v>
      </c>
      <c r="W972">
        <v>3</v>
      </c>
      <c r="X972" t="s">
        <v>94</v>
      </c>
      <c r="Y972">
        <v>2025</v>
      </c>
    </row>
    <row r="973" spans="1:25" x14ac:dyDescent="0.3">
      <c r="A973" t="s">
        <v>2555</v>
      </c>
      <c r="B973" s="1">
        <v>45853</v>
      </c>
      <c r="C973" t="s">
        <v>2556</v>
      </c>
      <c r="D973" t="s">
        <v>2725</v>
      </c>
      <c r="E973" s="1">
        <v>45855</v>
      </c>
      <c r="F973" t="s">
        <v>56</v>
      </c>
      <c r="G973" t="s">
        <v>54</v>
      </c>
      <c r="H973" t="s">
        <v>55</v>
      </c>
      <c r="I973" t="s">
        <v>2623</v>
      </c>
      <c r="J973" t="s">
        <v>2624</v>
      </c>
      <c r="K973" t="s">
        <v>25</v>
      </c>
      <c r="L973">
        <v>22</v>
      </c>
      <c r="M973">
        <v>3</v>
      </c>
      <c r="N973">
        <v>10</v>
      </c>
      <c r="O973" t="s">
        <v>207</v>
      </c>
      <c r="P973" t="s">
        <v>75</v>
      </c>
      <c r="Q973" t="s">
        <v>31</v>
      </c>
      <c r="R973" t="s">
        <v>32</v>
      </c>
      <c r="S973" t="s">
        <v>57</v>
      </c>
      <c r="T973">
        <v>1</v>
      </c>
      <c r="U973">
        <v>485.62</v>
      </c>
      <c r="V973">
        <v>1108.8800000000001</v>
      </c>
      <c r="W973">
        <v>2</v>
      </c>
      <c r="X973" t="s">
        <v>45</v>
      </c>
      <c r="Y973">
        <v>2025</v>
      </c>
    </row>
    <row r="974" spans="1:25" x14ac:dyDescent="0.3">
      <c r="A974" t="s">
        <v>2557</v>
      </c>
      <c r="B974" s="1">
        <v>45308</v>
      </c>
      <c r="C974" t="s">
        <v>1914</v>
      </c>
      <c r="D974" t="s">
        <v>2724</v>
      </c>
      <c r="E974" s="1">
        <v>45313</v>
      </c>
      <c r="F974" t="s">
        <v>29</v>
      </c>
      <c r="G974" t="s">
        <v>27</v>
      </c>
      <c r="H974" t="s">
        <v>28</v>
      </c>
      <c r="I974" t="s">
        <v>2668</v>
      </c>
      <c r="J974" t="s">
        <v>2708</v>
      </c>
      <c r="K974" t="s">
        <v>25</v>
      </c>
      <c r="L974">
        <v>33</v>
      </c>
      <c r="M974">
        <v>1</v>
      </c>
      <c r="N974">
        <v>25</v>
      </c>
      <c r="O974" t="s">
        <v>247</v>
      </c>
      <c r="P974" t="s">
        <v>33</v>
      </c>
      <c r="Q974" t="s">
        <v>58</v>
      </c>
      <c r="R974" t="s">
        <v>62</v>
      </c>
      <c r="S974" t="s">
        <v>30</v>
      </c>
      <c r="T974">
        <v>3</v>
      </c>
      <c r="U974">
        <v>978.57</v>
      </c>
      <c r="V974">
        <v>621.89</v>
      </c>
      <c r="W974">
        <v>5</v>
      </c>
      <c r="X974" t="s">
        <v>34</v>
      </c>
      <c r="Y974">
        <v>2024</v>
      </c>
    </row>
    <row r="975" spans="1:25" x14ac:dyDescent="0.3">
      <c r="A975" t="s">
        <v>2558</v>
      </c>
      <c r="B975" s="1">
        <v>45356</v>
      </c>
      <c r="C975" t="s">
        <v>2559</v>
      </c>
      <c r="D975" t="s">
        <v>2723</v>
      </c>
      <c r="E975" s="1">
        <v>45358</v>
      </c>
      <c r="F975" t="s">
        <v>29</v>
      </c>
      <c r="G975" t="s">
        <v>27</v>
      </c>
      <c r="H975" t="s">
        <v>28</v>
      </c>
      <c r="I975" t="s">
        <v>2679</v>
      </c>
      <c r="J975" t="s">
        <v>2680</v>
      </c>
      <c r="K975" t="s">
        <v>25</v>
      </c>
      <c r="L975">
        <v>24</v>
      </c>
      <c r="M975">
        <v>5</v>
      </c>
      <c r="N975">
        <v>10</v>
      </c>
      <c r="O975" t="s">
        <v>526</v>
      </c>
      <c r="P975" t="s">
        <v>44</v>
      </c>
      <c r="Q975" t="s">
        <v>117</v>
      </c>
      <c r="R975" t="s">
        <v>43</v>
      </c>
      <c r="S975" t="s">
        <v>30</v>
      </c>
      <c r="T975">
        <v>3</v>
      </c>
      <c r="U975">
        <v>896.05</v>
      </c>
      <c r="V975">
        <v>2235.54</v>
      </c>
      <c r="W975">
        <v>2</v>
      </c>
      <c r="X975" t="s">
        <v>34</v>
      </c>
      <c r="Y975">
        <v>2024</v>
      </c>
    </row>
    <row r="976" spans="1:25" x14ac:dyDescent="0.3">
      <c r="A976" t="s">
        <v>2560</v>
      </c>
      <c r="B976" s="1">
        <v>45486</v>
      </c>
      <c r="C976" t="s">
        <v>2561</v>
      </c>
      <c r="D976" t="s">
        <v>2722</v>
      </c>
      <c r="E976" s="1">
        <v>45493</v>
      </c>
      <c r="F976" t="s">
        <v>29</v>
      </c>
      <c r="G976" t="s">
        <v>27</v>
      </c>
      <c r="H976" t="s">
        <v>28</v>
      </c>
      <c r="I976" t="s">
        <v>2633</v>
      </c>
      <c r="J976" t="s">
        <v>2678</v>
      </c>
      <c r="K976" t="s">
        <v>52</v>
      </c>
      <c r="L976">
        <v>20</v>
      </c>
      <c r="M976">
        <v>5</v>
      </c>
      <c r="N976">
        <v>5</v>
      </c>
      <c r="O976" t="s">
        <v>2281</v>
      </c>
      <c r="P976" t="s">
        <v>33</v>
      </c>
      <c r="Q976" t="s">
        <v>31</v>
      </c>
      <c r="R976" t="s">
        <v>32</v>
      </c>
      <c r="S976" t="s">
        <v>30</v>
      </c>
      <c r="T976">
        <v>3</v>
      </c>
      <c r="U976">
        <v>212.99</v>
      </c>
      <c r="V976">
        <v>708.84</v>
      </c>
      <c r="W976">
        <v>7</v>
      </c>
      <c r="X976" t="s">
        <v>45</v>
      </c>
      <c r="Y976">
        <v>2024</v>
      </c>
    </row>
    <row r="977" spans="1:25" x14ac:dyDescent="0.3">
      <c r="A977" t="s">
        <v>2562</v>
      </c>
      <c r="B977" s="1">
        <v>46180</v>
      </c>
      <c r="C977" t="s">
        <v>2563</v>
      </c>
      <c r="D977" t="s">
        <v>2822</v>
      </c>
      <c r="E977" s="1">
        <v>46185</v>
      </c>
      <c r="F977" t="s">
        <v>122</v>
      </c>
      <c r="G977" t="s">
        <v>120</v>
      </c>
      <c r="H977" t="s">
        <v>121</v>
      </c>
      <c r="I977" t="s">
        <v>2675</v>
      </c>
      <c r="J977" t="s">
        <v>2699</v>
      </c>
      <c r="K977" t="s">
        <v>25</v>
      </c>
      <c r="L977">
        <v>42</v>
      </c>
      <c r="M977">
        <v>3</v>
      </c>
      <c r="N977">
        <v>5</v>
      </c>
      <c r="O977" t="s">
        <v>1114</v>
      </c>
      <c r="P977" t="s">
        <v>75</v>
      </c>
      <c r="Q977" t="s">
        <v>58</v>
      </c>
      <c r="R977" t="s">
        <v>71</v>
      </c>
      <c r="S977" t="s">
        <v>123</v>
      </c>
      <c r="T977">
        <v>3</v>
      </c>
      <c r="U977">
        <v>758.48</v>
      </c>
      <c r="V977">
        <v>1485.26</v>
      </c>
      <c r="W977">
        <v>5</v>
      </c>
      <c r="X977" t="s">
        <v>49</v>
      </c>
      <c r="Y977">
        <v>2026</v>
      </c>
    </row>
    <row r="978" spans="1:25" x14ac:dyDescent="0.3">
      <c r="A978" t="s">
        <v>2564</v>
      </c>
      <c r="B978" s="1">
        <v>45723</v>
      </c>
      <c r="C978" t="s">
        <v>2565</v>
      </c>
      <c r="D978" t="s">
        <v>2821</v>
      </c>
      <c r="E978" s="1">
        <v>45725</v>
      </c>
      <c r="F978" t="s">
        <v>68</v>
      </c>
      <c r="G978" t="s">
        <v>66</v>
      </c>
      <c r="H978" t="s">
        <v>67</v>
      </c>
      <c r="I978" t="s">
        <v>2629</v>
      </c>
      <c r="J978" t="s">
        <v>2697</v>
      </c>
      <c r="K978" t="s">
        <v>52</v>
      </c>
      <c r="L978">
        <v>52</v>
      </c>
      <c r="M978">
        <v>1</v>
      </c>
      <c r="N978">
        <v>25</v>
      </c>
      <c r="O978" t="s">
        <v>1522</v>
      </c>
      <c r="P978" t="s">
        <v>75</v>
      </c>
      <c r="Q978" t="s">
        <v>42</v>
      </c>
      <c r="R978" t="s">
        <v>71</v>
      </c>
      <c r="S978" t="s">
        <v>69</v>
      </c>
      <c r="T978">
        <v>1</v>
      </c>
      <c r="U978">
        <v>196.55</v>
      </c>
      <c r="V978">
        <v>119.13</v>
      </c>
      <c r="W978">
        <v>2</v>
      </c>
      <c r="X978" t="s">
        <v>34</v>
      </c>
      <c r="Y978">
        <v>2025</v>
      </c>
    </row>
    <row r="979" spans="1:25" x14ac:dyDescent="0.3">
      <c r="A979" t="s">
        <v>2566</v>
      </c>
      <c r="B979" s="1">
        <v>45518</v>
      </c>
      <c r="C979" t="s">
        <v>2567</v>
      </c>
      <c r="D979" t="s">
        <v>2820</v>
      </c>
      <c r="E979" s="1">
        <v>45522</v>
      </c>
      <c r="F979" t="s">
        <v>100</v>
      </c>
      <c r="G979" t="s">
        <v>98</v>
      </c>
      <c r="H979" t="s">
        <v>99</v>
      </c>
      <c r="I979" t="s">
        <v>2629</v>
      </c>
      <c r="J979" t="s">
        <v>2630</v>
      </c>
      <c r="K979" t="s">
        <v>25</v>
      </c>
      <c r="L979">
        <v>20</v>
      </c>
      <c r="M979">
        <v>3</v>
      </c>
      <c r="N979">
        <v>25</v>
      </c>
      <c r="O979" t="s">
        <v>1837</v>
      </c>
      <c r="P979" t="s">
        <v>44</v>
      </c>
      <c r="Q979" t="s">
        <v>42</v>
      </c>
      <c r="R979" t="s">
        <v>71</v>
      </c>
      <c r="S979" t="s">
        <v>101</v>
      </c>
      <c r="T979">
        <v>4</v>
      </c>
      <c r="U979">
        <v>79.69</v>
      </c>
      <c r="V979">
        <v>117.84</v>
      </c>
      <c r="W979">
        <v>4</v>
      </c>
      <c r="X979" t="s">
        <v>45</v>
      </c>
      <c r="Y979">
        <v>2024</v>
      </c>
    </row>
    <row r="980" spans="1:25" x14ac:dyDescent="0.3">
      <c r="A980" t="s">
        <v>2568</v>
      </c>
      <c r="B980" s="1">
        <v>45469</v>
      </c>
      <c r="C980" t="s">
        <v>2569</v>
      </c>
      <c r="D980" t="s">
        <v>2819</v>
      </c>
      <c r="E980" s="1">
        <v>45472</v>
      </c>
      <c r="F980" t="s">
        <v>56</v>
      </c>
      <c r="G980" t="s">
        <v>54</v>
      </c>
      <c r="H980" t="s">
        <v>55</v>
      </c>
      <c r="I980" t="s">
        <v>2656</v>
      </c>
      <c r="J980" t="s">
        <v>2683</v>
      </c>
      <c r="K980" t="s">
        <v>25</v>
      </c>
      <c r="L980">
        <v>32</v>
      </c>
      <c r="M980">
        <v>5</v>
      </c>
      <c r="N980">
        <v>10</v>
      </c>
      <c r="O980" t="s">
        <v>1070</v>
      </c>
      <c r="P980" t="s">
        <v>44</v>
      </c>
      <c r="Q980" t="s">
        <v>31</v>
      </c>
      <c r="R980" t="s">
        <v>62</v>
      </c>
      <c r="S980" t="s">
        <v>57</v>
      </c>
      <c r="T980">
        <v>3</v>
      </c>
      <c r="U980">
        <v>403.9</v>
      </c>
      <c r="V980">
        <v>1021.45</v>
      </c>
      <c r="W980">
        <v>3</v>
      </c>
      <c r="X980" t="s">
        <v>49</v>
      </c>
      <c r="Y980">
        <v>2024</v>
      </c>
    </row>
    <row r="981" spans="1:25" x14ac:dyDescent="0.3">
      <c r="A981" t="s">
        <v>2570</v>
      </c>
      <c r="B981" s="1">
        <v>45823</v>
      </c>
      <c r="C981" t="s">
        <v>2571</v>
      </c>
      <c r="D981" t="s">
        <v>2818</v>
      </c>
      <c r="E981" s="1">
        <v>45827</v>
      </c>
      <c r="F981" t="s">
        <v>29</v>
      </c>
      <c r="G981" t="s">
        <v>27</v>
      </c>
      <c r="H981" t="s">
        <v>28</v>
      </c>
      <c r="I981" t="s">
        <v>2656</v>
      </c>
      <c r="J981" t="s">
        <v>2657</v>
      </c>
      <c r="K981" t="s">
        <v>52</v>
      </c>
      <c r="L981">
        <v>32</v>
      </c>
      <c r="M981">
        <v>4</v>
      </c>
      <c r="N981">
        <v>5</v>
      </c>
      <c r="O981" t="s">
        <v>2572</v>
      </c>
      <c r="P981" t="s">
        <v>44</v>
      </c>
      <c r="Q981" t="s">
        <v>31</v>
      </c>
      <c r="R981" t="s">
        <v>32</v>
      </c>
      <c r="S981" t="s">
        <v>30</v>
      </c>
      <c r="T981">
        <v>1</v>
      </c>
      <c r="U981">
        <v>546.95000000000005</v>
      </c>
      <c r="V981">
        <v>1243.27</v>
      </c>
      <c r="W981">
        <v>4</v>
      </c>
      <c r="X981" t="s">
        <v>49</v>
      </c>
      <c r="Y981">
        <v>2025</v>
      </c>
    </row>
    <row r="982" spans="1:25" x14ac:dyDescent="0.3">
      <c r="A982" t="s">
        <v>2573</v>
      </c>
      <c r="B982" s="1">
        <v>45834</v>
      </c>
      <c r="C982" t="s">
        <v>2574</v>
      </c>
      <c r="D982" t="s">
        <v>2817</v>
      </c>
      <c r="E982" s="1">
        <v>45835</v>
      </c>
      <c r="F982" t="s">
        <v>122</v>
      </c>
      <c r="G982" t="s">
        <v>120</v>
      </c>
      <c r="H982" t="s">
        <v>121</v>
      </c>
      <c r="I982" t="s">
        <v>2625</v>
      </c>
      <c r="J982" t="s">
        <v>2626</v>
      </c>
      <c r="K982" t="s">
        <v>52</v>
      </c>
      <c r="L982">
        <v>61</v>
      </c>
      <c r="M982">
        <v>5</v>
      </c>
      <c r="N982">
        <v>5</v>
      </c>
      <c r="O982" t="s">
        <v>78</v>
      </c>
      <c r="P982" t="s">
        <v>33</v>
      </c>
      <c r="Q982" t="s">
        <v>31</v>
      </c>
      <c r="R982" t="s">
        <v>71</v>
      </c>
      <c r="S982" t="s">
        <v>123</v>
      </c>
      <c r="T982">
        <v>5</v>
      </c>
      <c r="U982">
        <v>390.5</v>
      </c>
      <c r="V982">
        <v>943.12</v>
      </c>
      <c r="W982">
        <v>1</v>
      </c>
      <c r="X982" t="s">
        <v>49</v>
      </c>
      <c r="Y982">
        <v>2025</v>
      </c>
    </row>
    <row r="983" spans="1:25" x14ac:dyDescent="0.3">
      <c r="A983" t="s">
        <v>2575</v>
      </c>
      <c r="B983" s="1">
        <v>45821</v>
      </c>
      <c r="C983" t="s">
        <v>2576</v>
      </c>
      <c r="D983" t="s">
        <v>2816</v>
      </c>
      <c r="E983" s="1">
        <v>45828</v>
      </c>
      <c r="F983" t="s">
        <v>29</v>
      </c>
      <c r="G983" t="s">
        <v>27</v>
      </c>
      <c r="H983" t="s">
        <v>28</v>
      </c>
      <c r="I983" t="s">
        <v>2622</v>
      </c>
      <c r="J983" t="s">
        <v>2704</v>
      </c>
      <c r="K983" t="s">
        <v>52</v>
      </c>
      <c r="L983">
        <v>51</v>
      </c>
      <c r="M983">
        <v>2</v>
      </c>
      <c r="N983">
        <v>30</v>
      </c>
      <c r="O983" t="s">
        <v>2577</v>
      </c>
      <c r="P983" t="s">
        <v>33</v>
      </c>
      <c r="Q983" t="s">
        <v>58</v>
      </c>
      <c r="R983" t="s">
        <v>62</v>
      </c>
      <c r="S983" t="s">
        <v>30</v>
      </c>
      <c r="T983">
        <v>4</v>
      </c>
      <c r="U983">
        <v>727.5</v>
      </c>
      <c r="V983">
        <v>578.54999999999995</v>
      </c>
      <c r="W983">
        <v>7</v>
      </c>
      <c r="X983" t="s">
        <v>49</v>
      </c>
      <c r="Y983">
        <v>2025</v>
      </c>
    </row>
    <row r="984" spans="1:25" x14ac:dyDescent="0.3">
      <c r="A984" t="s">
        <v>2578</v>
      </c>
      <c r="B984" s="1">
        <v>45594</v>
      </c>
      <c r="C984" t="s">
        <v>1476</v>
      </c>
      <c r="D984" t="s">
        <v>2815</v>
      </c>
      <c r="E984" s="1">
        <v>45595</v>
      </c>
      <c r="F984" t="s">
        <v>56</v>
      </c>
      <c r="G984" t="s">
        <v>54</v>
      </c>
      <c r="H984" t="s">
        <v>55</v>
      </c>
      <c r="I984" t="s">
        <v>2663</v>
      </c>
      <c r="J984" t="s">
        <v>2694</v>
      </c>
      <c r="K984" t="s">
        <v>52</v>
      </c>
      <c r="L984">
        <v>40</v>
      </c>
      <c r="M984">
        <v>3</v>
      </c>
      <c r="N984">
        <v>0</v>
      </c>
      <c r="O984" t="s">
        <v>2579</v>
      </c>
      <c r="P984" t="s">
        <v>75</v>
      </c>
      <c r="Q984" t="s">
        <v>31</v>
      </c>
      <c r="R984" t="s">
        <v>43</v>
      </c>
      <c r="S984" t="s">
        <v>57</v>
      </c>
      <c r="T984">
        <v>4</v>
      </c>
      <c r="U984">
        <v>853.64</v>
      </c>
      <c r="V984">
        <v>1561.47</v>
      </c>
      <c r="W984">
        <v>1</v>
      </c>
      <c r="X984" t="s">
        <v>94</v>
      </c>
      <c r="Y984">
        <v>2024</v>
      </c>
    </row>
    <row r="985" spans="1:25" x14ac:dyDescent="0.3">
      <c r="A985" t="s">
        <v>2580</v>
      </c>
      <c r="B985" s="1">
        <v>45443</v>
      </c>
      <c r="C985" t="s">
        <v>2581</v>
      </c>
      <c r="D985" t="s">
        <v>2814</v>
      </c>
      <c r="E985" s="1">
        <v>45450</v>
      </c>
      <c r="F985" t="s">
        <v>68</v>
      </c>
      <c r="G985" t="s">
        <v>66</v>
      </c>
      <c r="H985" t="s">
        <v>67</v>
      </c>
      <c r="I985" t="s">
        <v>2629</v>
      </c>
      <c r="J985" t="s">
        <v>2709</v>
      </c>
      <c r="K985" t="s">
        <v>52</v>
      </c>
      <c r="L985">
        <v>55</v>
      </c>
      <c r="M985">
        <v>3</v>
      </c>
      <c r="N985">
        <v>0</v>
      </c>
      <c r="O985" t="s">
        <v>2582</v>
      </c>
      <c r="P985" t="s">
        <v>75</v>
      </c>
      <c r="Q985" t="s">
        <v>70</v>
      </c>
      <c r="R985" t="s">
        <v>71</v>
      </c>
      <c r="S985" t="s">
        <v>69</v>
      </c>
      <c r="T985">
        <v>5</v>
      </c>
      <c r="U985">
        <v>81.34</v>
      </c>
      <c r="V985">
        <v>201.33</v>
      </c>
      <c r="W985">
        <v>7</v>
      </c>
      <c r="X985" t="s">
        <v>49</v>
      </c>
      <c r="Y985">
        <v>2024</v>
      </c>
    </row>
    <row r="986" spans="1:25" x14ac:dyDescent="0.3">
      <c r="A986" t="s">
        <v>2583</v>
      </c>
      <c r="B986" s="1">
        <v>45419</v>
      </c>
      <c r="C986" t="s">
        <v>2584</v>
      </c>
      <c r="D986" t="s">
        <v>2813</v>
      </c>
      <c r="E986" s="1">
        <v>45425</v>
      </c>
      <c r="F986" t="s">
        <v>56</v>
      </c>
      <c r="G986" t="s">
        <v>54</v>
      </c>
      <c r="H986" t="s">
        <v>55</v>
      </c>
      <c r="I986" t="s">
        <v>2679</v>
      </c>
      <c r="J986" t="s">
        <v>2680</v>
      </c>
      <c r="K986" t="s">
        <v>25</v>
      </c>
      <c r="L986">
        <v>38</v>
      </c>
      <c r="M986">
        <v>1</v>
      </c>
      <c r="N986">
        <v>20</v>
      </c>
      <c r="O986" t="s">
        <v>302</v>
      </c>
      <c r="P986" t="s">
        <v>33</v>
      </c>
      <c r="Q986" t="s">
        <v>117</v>
      </c>
      <c r="R986" t="s">
        <v>71</v>
      </c>
      <c r="S986" t="s">
        <v>57</v>
      </c>
      <c r="T986">
        <v>4</v>
      </c>
      <c r="U986">
        <v>470.84</v>
      </c>
      <c r="V986">
        <v>248.13</v>
      </c>
      <c r="W986">
        <v>6</v>
      </c>
      <c r="X986" t="s">
        <v>49</v>
      </c>
      <c r="Y986">
        <v>2024</v>
      </c>
    </row>
    <row r="987" spans="1:25" x14ac:dyDescent="0.3">
      <c r="A987" t="s">
        <v>2585</v>
      </c>
      <c r="B987" s="1">
        <v>45731</v>
      </c>
      <c r="C987" t="s">
        <v>2586</v>
      </c>
      <c r="D987" t="s">
        <v>2812</v>
      </c>
      <c r="E987" s="1">
        <v>45732</v>
      </c>
      <c r="F987" t="s">
        <v>140</v>
      </c>
      <c r="G987" t="s">
        <v>38</v>
      </c>
      <c r="H987" t="s">
        <v>139</v>
      </c>
      <c r="I987" t="s">
        <v>2668</v>
      </c>
      <c r="J987" t="s">
        <v>2708</v>
      </c>
      <c r="K987" t="s">
        <v>52</v>
      </c>
      <c r="L987">
        <v>38</v>
      </c>
      <c r="M987">
        <v>2</v>
      </c>
      <c r="N987">
        <v>10</v>
      </c>
      <c r="O987" t="s">
        <v>2587</v>
      </c>
      <c r="P987" t="s">
        <v>33</v>
      </c>
      <c r="Q987" t="s">
        <v>117</v>
      </c>
      <c r="R987" t="s">
        <v>62</v>
      </c>
      <c r="S987" t="s">
        <v>141</v>
      </c>
      <c r="T987">
        <v>3</v>
      </c>
      <c r="U987">
        <v>489.97</v>
      </c>
      <c r="V987">
        <v>540.54999999999995</v>
      </c>
      <c r="W987">
        <v>1</v>
      </c>
      <c r="X987" t="s">
        <v>34</v>
      </c>
      <c r="Y987">
        <v>2025</v>
      </c>
    </row>
    <row r="988" spans="1:25" x14ac:dyDescent="0.3">
      <c r="A988" t="s">
        <v>2588</v>
      </c>
      <c r="B988" s="1">
        <v>45924</v>
      </c>
      <c r="C988" t="s">
        <v>2589</v>
      </c>
      <c r="D988" t="s">
        <v>2811</v>
      </c>
      <c r="E988" s="1">
        <v>45929</v>
      </c>
      <c r="F988" t="s">
        <v>100</v>
      </c>
      <c r="G988" t="s">
        <v>98</v>
      </c>
      <c r="H988" t="s">
        <v>99</v>
      </c>
      <c r="I988" t="s">
        <v>2629</v>
      </c>
      <c r="J988" t="s">
        <v>2709</v>
      </c>
      <c r="K988" t="s">
        <v>52</v>
      </c>
      <c r="L988">
        <v>57</v>
      </c>
      <c r="M988">
        <v>2</v>
      </c>
      <c r="N988">
        <v>25</v>
      </c>
      <c r="O988" t="s">
        <v>479</v>
      </c>
      <c r="P988" t="s">
        <v>33</v>
      </c>
      <c r="Q988" t="s">
        <v>31</v>
      </c>
      <c r="R988" t="s">
        <v>32</v>
      </c>
      <c r="S988" t="s">
        <v>101</v>
      </c>
      <c r="T988">
        <v>5</v>
      </c>
      <c r="U988">
        <v>64.44</v>
      </c>
      <c r="V988">
        <v>54.81</v>
      </c>
      <c r="W988">
        <v>5</v>
      </c>
      <c r="X988" t="s">
        <v>45</v>
      </c>
      <c r="Y988">
        <v>2025</v>
      </c>
    </row>
    <row r="989" spans="1:25" x14ac:dyDescent="0.3">
      <c r="A989" t="s">
        <v>2590</v>
      </c>
      <c r="B989" s="1">
        <v>46068</v>
      </c>
      <c r="C989" t="s">
        <v>2591</v>
      </c>
      <c r="D989" t="s">
        <v>2810</v>
      </c>
      <c r="E989" s="1">
        <v>46069</v>
      </c>
      <c r="F989" t="s">
        <v>29</v>
      </c>
      <c r="G989" t="s">
        <v>27</v>
      </c>
      <c r="H989" t="s">
        <v>28</v>
      </c>
      <c r="I989" t="s">
        <v>2627</v>
      </c>
      <c r="J989" t="s">
        <v>2628</v>
      </c>
      <c r="K989" t="s">
        <v>52</v>
      </c>
      <c r="L989">
        <v>51</v>
      </c>
      <c r="M989">
        <v>1</v>
      </c>
      <c r="N989">
        <v>20</v>
      </c>
      <c r="O989" t="s">
        <v>2592</v>
      </c>
      <c r="P989" t="s">
        <v>44</v>
      </c>
      <c r="Q989" t="s">
        <v>117</v>
      </c>
      <c r="R989" t="s">
        <v>32</v>
      </c>
      <c r="S989" t="s">
        <v>30</v>
      </c>
      <c r="T989">
        <v>5</v>
      </c>
      <c r="U989">
        <v>513.03</v>
      </c>
      <c r="V989">
        <v>275.32</v>
      </c>
      <c r="W989">
        <v>1</v>
      </c>
      <c r="X989" t="s">
        <v>34</v>
      </c>
      <c r="Y989">
        <v>2026</v>
      </c>
    </row>
    <row r="990" spans="1:25" x14ac:dyDescent="0.3">
      <c r="A990" t="s">
        <v>2593</v>
      </c>
      <c r="B990" s="1">
        <v>45471</v>
      </c>
      <c r="C990" t="s">
        <v>2599</v>
      </c>
      <c r="D990" t="s">
        <v>2809</v>
      </c>
      <c r="E990" s="1">
        <v>45477</v>
      </c>
      <c r="F990" t="s">
        <v>40</v>
      </c>
      <c r="G990" t="s">
        <v>38</v>
      </c>
      <c r="H990" t="s">
        <v>39</v>
      </c>
      <c r="I990" t="s">
        <v>2656</v>
      </c>
      <c r="J990" t="s">
        <v>2683</v>
      </c>
      <c r="K990" t="s">
        <v>25</v>
      </c>
      <c r="L990">
        <v>34</v>
      </c>
      <c r="M990">
        <v>5</v>
      </c>
      <c r="N990">
        <v>5</v>
      </c>
      <c r="O990" t="s">
        <v>1739</v>
      </c>
      <c r="P990" t="s">
        <v>44</v>
      </c>
      <c r="Q990" t="s">
        <v>42</v>
      </c>
      <c r="R990" t="s">
        <v>71</v>
      </c>
      <c r="S990" t="s">
        <v>41</v>
      </c>
      <c r="T990">
        <v>2</v>
      </c>
      <c r="U990">
        <v>248.92</v>
      </c>
      <c r="V990">
        <v>919.11</v>
      </c>
      <c r="W990">
        <v>6</v>
      </c>
      <c r="X990" t="s">
        <v>49</v>
      </c>
      <c r="Y990">
        <v>2024</v>
      </c>
    </row>
    <row r="991" spans="1:25" x14ac:dyDescent="0.3">
      <c r="A991" t="s">
        <v>2594</v>
      </c>
      <c r="B991" s="1">
        <v>45664</v>
      </c>
      <c r="C991" t="s">
        <v>2601</v>
      </c>
      <c r="D991" t="s">
        <v>2808</v>
      </c>
      <c r="E991" s="1">
        <v>45667</v>
      </c>
      <c r="F991" t="s">
        <v>29</v>
      </c>
      <c r="G991" t="s">
        <v>27</v>
      </c>
      <c r="H991" t="s">
        <v>28</v>
      </c>
      <c r="I991" t="s">
        <v>2633</v>
      </c>
      <c r="J991" t="s">
        <v>2678</v>
      </c>
      <c r="K991" t="s">
        <v>25</v>
      </c>
      <c r="L991">
        <v>49</v>
      </c>
      <c r="M991">
        <v>1</v>
      </c>
      <c r="N991">
        <v>0</v>
      </c>
      <c r="O991" t="s">
        <v>1998</v>
      </c>
      <c r="P991" t="s">
        <v>75</v>
      </c>
      <c r="Q991" t="s">
        <v>58</v>
      </c>
      <c r="R991" t="s">
        <v>71</v>
      </c>
      <c r="S991" t="s">
        <v>30</v>
      </c>
      <c r="T991">
        <v>1</v>
      </c>
      <c r="U991">
        <v>740.15</v>
      </c>
      <c r="V991">
        <v>467.7</v>
      </c>
      <c r="W991">
        <v>3</v>
      </c>
      <c r="X991" t="s">
        <v>34</v>
      </c>
      <c r="Y991">
        <v>2025</v>
      </c>
    </row>
    <row r="992" spans="1:25" x14ac:dyDescent="0.3">
      <c r="A992" t="s">
        <v>2595</v>
      </c>
      <c r="B992" s="1">
        <v>45999</v>
      </c>
      <c r="C992" t="s">
        <v>2603</v>
      </c>
      <c r="D992" t="s">
        <v>2807</v>
      </c>
      <c r="E992" s="1">
        <v>46002</v>
      </c>
      <c r="F992" t="s">
        <v>56</v>
      </c>
      <c r="G992" t="s">
        <v>54</v>
      </c>
      <c r="H992" t="s">
        <v>55</v>
      </c>
      <c r="I992" t="s">
        <v>2661</v>
      </c>
      <c r="J992" t="s">
        <v>2700</v>
      </c>
      <c r="K992" t="s">
        <v>25</v>
      </c>
      <c r="L992">
        <v>38</v>
      </c>
      <c r="M992">
        <v>4</v>
      </c>
      <c r="N992">
        <v>10</v>
      </c>
      <c r="O992" t="s">
        <v>2604</v>
      </c>
      <c r="P992" t="s">
        <v>33</v>
      </c>
      <c r="Q992" t="s">
        <v>58</v>
      </c>
      <c r="R992" t="s">
        <v>32</v>
      </c>
      <c r="S992" t="s">
        <v>57</v>
      </c>
      <c r="T992">
        <v>3</v>
      </c>
      <c r="U992">
        <v>359.41</v>
      </c>
      <c r="V992">
        <v>744.26</v>
      </c>
      <c r="W992">
        <v>3</v>
      </c>
      <c r="X992" t="s">
        <v>94</v>
      </c>
      <c r="Y992">
        <v>2025</v>
      </c>
    </row>
    <row r="993" spans="1:25" x14ac:dyDescent="0.3">
      <c r="A993" t="s">
        <v>2596</v>
      </c>
      <c r="B993" s="1">
        <v>45530</v>
      </c>
      <c r="C993" t="s">
        <v>2058</v>
      </c>
      <c r="D993" t="s">
        <v>2806</v>
      </c>
      <c r="E993" s="1">
        <v>45532</v>
      </c>
      <c r="F993" t="s">
        <v>115</v>
      </c>
      <c r="G993" t="s">
        <v>66</v>
      </c>
      <c r="H993" t="s">
        <v>114</v>
      </c>
      <c r="I993" t="s">
        <v>2623</v>
      </c>
      <c r="J993" t="s">
        <v>2701</v>
      </c>
      <c r="K993" t="s">
        <v>52</v>
      </c>
      <c r="L993">
        <v>43</v>
      </c>
      <c r="M993">
        <v>5</v>
      </c>
      <c r="N993">
        <v>25</v>
      </c>
      <c r="O993" t="s">
        <v>2606</v>
      </c>
      <c r="P993" t="s">
        <v>44</v>
      </c>
      <c r="Q993" t="s">
        <v>31</v>
      </c>
      <c r="R993" t="s">
        <v>71</v>
      </c>
      <c r="S993" t="s">
        <v>116</v>
      </c>
      <c r="T993">
        <v>3</v>
      </c>
      <c r="U993">
        <v>621.39</v>
      </c>
      <c r="V993">
        <v>1905.06</v>
      </c>
      <c r="W993">
        <v>2</v>
      </c>
      <c r="X993" t="s">
        <v>45</v>
      </c>
      <c r="Y993">
        <v>2024</v>
      </c>
    </row>
    <row r="994" spans="1:25" x14ac:dyDescent="0.3">
      <c r="A994" t="s">
        <v>2597</v>
      </c>
      <c r="B994" s="1">
        <v>45914</v>
      </c>
      <c r="C994" t="s">
        <v>1481</v>
      </c>
      <c r="D994" t="s">
        <v>2805</v>
      </c>
      <c r="E994" s="1">
        <v>45916</v>
      </c>
      <c r="F994" t="s">
        <v>100</v>
      </c>
      <c r="G994" t="s">
        <v>98</v>
      </c>
      <c r="H994" t="s">
        <v>99</v>
      </c>
      <c r="I994" t="s">
        <v>2637</v>
      </c>
      <c r="J994" t="s">
        <v>2649</v>
      </c>
      <c r="K994" t="s">
        <v>25</v>
      </c>
      <c r="L994">
        <v>37</v>
      </c>
      <c r="M994">
        <v>1</v>
      </c>
      <c r="N994">
        <v>15</v>
      </c>
      <c r="O994" t="s">
        <v>2454</v>
      </c>
      <c r="P994" t="s">
        <v>75</v>
      </c>
      <c r="Q994" t="s">
        <v>31</v>
      </c>
      <c r="R994" t="s">
        <v>32</v>
      </c>
      <c r="S994" t="s">
        <v>101</v>
      </c>
      <c r="T994">
        <v>5</v>
      </c>
      <c r="U994">
        <v>727.4</v>
      </c>
      <c r="V994">
        <v>369.45</v>
      </c>
      <c r="W994">
        <v>2</v>
      </c>
      <c r="X994" t="s">
        <v>45</v>
      </c>
      <c r="Y994">
        <v>2025</v>
      </c>
    </row>
    <row r="995" spans="1:25" x14ac:dyDescent="0.3">
      <c r="A995" t="s">
        <v>2598</v>
      </c>
      <c r="B995" s="1">
        <v>45991</v>
      </c>
      <c r="C995" t="s">
        <v>2609</v>
      </c>
      <c r="D995" t="s">
        <v>2804</v>
      </c>
      <c r="E995" s="1">
        <v>45994</v>
      </c>
      <c r="F995" t="s">
        <v>29</v>
      </c>
      <c r="G995" t="s">
        <v>27</v>
      </c>
      <c r="H995" t="s">
        <v>28</v>
      </c>
      <c r="I995" t="s">
        <v>2629</v>
      </c>
      <c r="J995" t="s">
        <v>2709</v>
      </c>
      <c r="K995" t="s">
        <v>25</v>
      </c>
      <c r="L995">
        <v>40</v>
      </c>
      <c r="M995">
        <v>3</v>
      </c>
      <c r="N995">
        <v>30</v>
      </c>
      <c r="O995" t="s">
        <v>640</v>
      </c>
      <c r="P995" t="s">
        <v>44</v>
      </c>
      <c r="Q995" t="s">
        <v>70</v>
      </c>
      <c r="R995" t="s">
        <v>62</v>
      </c>
      <c r="S995" t="s">
        <v>30</v>
      </c>
      <c r="T995">
        <v>5</v>
      </c>
      <c r="U995">
        <v>173.93</v>
      </c>
      <c r="V995">
        <v>281.77999999999997</v>
      </c>
      <c r="W995">
        <v>3</v>
      </c>
      <c r="X995" t="s">
        <v>94</v>
      </c>
      <c r="Y995">
        <v>2025</v>
      </c>
    </row>
    <row r="996" spans="1:25" x14ac:dyDescent="0.3">
      <c r="A996" t="s">
        <v>2600</v>
      </c>
      <c r="B996" s="1">
        <v>45345</v>
      </c>
      <c r="C996" t="s">
        <v>2611</v>
      </c>
      <c r="D996" t="s">
        <v>2803</v>
      </c>
      <c r="E996" s="1">
        <v>45350</v>
      </c>
      <c r="F996" t="s">
        <v>122</v>
      </c>
      <c r="G996" t="s">
        <v>120</v>
      </c>
      <c r="H996" t="s">
        <v>121</v>
      </c>
      <c r="I996" t="s">
        <v>2623</v>
      </c>
      <c r="J996" t="s">
        <v>2701</v>
      </c>
      <c r="K996" t="s">
        <v>25</v>
      </c>
      <c r="L996">
        <v>32</v>
      </c>
      <c r="M996">
        <v>5</v>
      </c>
      <c r="N996">
        <v>10</v>
      </c>
      <c r="O996" t="s">
        <v>2612</v>
      </c>
      <c r="P996" t="s">
        <v>75</v>
      </c>
      <c r="Q996" t="s">
        <v>70</v>
      </c>
      <c r="R996" t="s">
        <v>71</v>
      </c>
      <c r="S996" t="s">
        <v>123</v>
      </c>
      <c r="T996">
        <v>5</v>
      </c>
      <c r="U996">
        <v>928.21</v>
      </c>
      <c r="V996">
        <v>2117.91</v>
      </c>
      <c r="W996">
        <v>5</v>
      </c>
      <c r="X996" t="s">
        <v>34</v>
      </c>
      <c r="Y996">
        <v>2024</v>
      </c>
    </row>
    <row r="997" spans="1:25" x14ac:dyDescent="0.3">
      <c r="A997" t="s">
        <v>2602</v>
      </c>
      <c r="B997" s="1">
        <v>45960</v>
      </c>
      <c r="C997" t="s">
        <v>2614</v>
      </c>
      <c r="D997" t="s">
        <v>2802</v>
      </c>
      <c r="E997" s="1">
        <v>45964</v>
      </c>
      <c r="F997" t="s">
        <v>56</v>
      </c>
      <c r="G997" t="s">
        <v>54</v>
      </c>
      <c r="H997" t="s">
        <v>55</v>
      </c>
      <c r="I997" t="s">
        <v>2654</v>
      </c>
      <c r="J997" t="s">
        <v>2655</v>
      </c>
      <c r="K997" t="s">
        <v>52</v>
      </c>
      <c r="L997">
        <v>65</v>
      </c>
      <c r="M997">
        <v>1</v>
      </c>
      <c r="N997">
        <v>15</v>
      </c>
      <c r="O997" t="s">
        <v>1356</v>
      </c>
      <c r="P997" t="s">
        <v>33</v>
      </c>
      <c r="Q997" t="s">
        <v>42</v>
      </c>
      <c r="R997" t="s">
        <v>62</v>
      </c>
      <c r="S997" t="s">
        <v>57</v>
      </c>
      <c r="T997">
        <v>4</v>
      </c>
      <c r="U997">
        <v>982.12</v>
      </c>
      <c r="V997">
        <v>566.82000000000005</v>
      </c>
      <c r="W997">
        <v>4</v>
      </c>
      <c r="X997" t="s">
        <v>94</v>
      </c>
      <c r="Y997">
        <v>2025</v>
      </c>
    </row>
    <row r="998" spans="1:25" x14ac:dyDescent="0.3">
      <c r="A998" t="s">
        <v>2605</v>
      </c>
      <c r="B998" s="1">
        <v>45991</v>
      </c>
      <c r="C998" t="s">
        <v>2444</v>
      </c>
      <c r="D998" t="s">
        <v>2727</v>
      </c>
      <c r="E998" s="1">
        <v>45995</v>
      </c>
      <c r="F998" t="s">
        <v>68</v>
      </c>
      <c r="G998" t="s">
        <v>66</v>
      </c>
      <c r="H998" t="s">
        <v>67</v>
      </c>
      <c r="I998" t="s">
        <v>2625</v>
      </c>
      <c r="J998" t="s">
        <v>2626</v>
      </c>
      <c r="K998" t="s">
        <v>52</v>
      </c>
      <c r="L998">
        <v>22</v>
      </c>
      <c r="M998">
        <v>1</v>
      </c>
      <c r="N998">
        <v>5</v>
      </c>
      <c r="O998" t="s">
        <v>1857</v>
      </c>
      <c r="P998" t="s">
        <v>75</v>
      </c>
      <c r="Q998" t="s">
        <v>42</v>
      </c>
      <c r="R998" t="s">
        <v>71</v>
      </c>
      <c r="S998" t="s">
        <v>101</v>
      </c>
      <c r="T998">
        <v>5</v>
      </c>
      <c r="U998">
        <v>394.92</v>
      </c>
      <c r="V998">
        <v>672.66</v>
      </c>
      <c r="W998">
        <v>3</v>
      </c>
      <c r="X998" t="s">
        <v>94</v>
      </c>
    </row>
    <row r="999" spans="1:25" x14ac:dyDescent="0.3">
      <c r="A999" t="s">
        <v>2607</v>
      </c>
      <c r="B999" s="1">
        <v>45846</v>
      </c>
      <c r="C999" t="s">
        <v>2447</v>
      </c>
      <c r="D999" t="s">
        <v>2726</v>
      </c>
      <c r="E999" s="1">
        <v>45850</v>
      </c>
      <c r="F999" t="s">
        <v>100</v>
      </c>
      <c r="G999" t="s">
        <v>98</v>
      </c>
      <c r="H999" t="s">
        <v>99</v>
      </c>
      <c r="I999" t="s">
        <v>2665</v>
      </c>
      <c r="J999" t="s">
        <v>2666</v>
      </c>
      <c r="K999" t="s">
        <v>52</v>
      </c>
      <c r="L999">
        <v>33</v>
      </c>
      <c r="M999">
        <v>3</v>
      </c>
      <c r="N999">
        <v>0</v>
      </c>
      <c r="O999" t="s">
        <v>886</v>
      </c>
      <c r="P999" t="s">
        <v>44</v>
      </c>
      <c r="Q999" t="s">
        <v>42</v>
      </c>
      <c r="R999" t="s">
        <v>43</v>
      </c>
      <c r="S999" t="s">
        <v>141</v>
      </c>
      <c r="T999">
        <v>6</v>
      </c>
      <c r="U999">
        <v>724.07</v>
      </c>
      <c r="V999">
        <v>716.26</v>
      </c>
      <c r="W999">
        <v>3</v>
      </c>
      <c r="X999" t="s">
        <v>49</v>
      </c>
    </row>
    <row r="1000" spans="1:25" x14ac:dyDescent="0.3">
      <c r="A1000" t="s">
        <v>2608</v>
      </c>
      <c r="B1000" s="1">
        <v>45383</v>
      </c>
      <c r="C1000" t="s">
        <v>2450</v>
      </c>
      <c r="D1000" t="s">
        <v>2867</v>
      </c>
      <c r="E1000" s="1">
        <v>45389</v>
      </c>
      <c r="F1000" t="s">
        <v>29</v>
      </c>
      <c r="G1000" t="s">
        <v>27</v>
      </c>
      <c r="H1000" t="s">
        <v>28</v>
      </c>
      <c r="I1000" t="s">
        <v>2625</v>
      </c>
      <c r="J1000" t="s">
        <v>2703</v>
      </c>
      <c r="K1000" t="s">
        <v>52</v>
      </c>
      <c r="L1000">
        <v>24</v>
      </c>
      <c r="M1000">
        <v>5</v>
      </c>
      <c r="N1000">
        <v>10</v>
      </c>
      <c r="O1000" t="s">
        <v>409</v>
      </c>
      <c r="P1000" t="s">
        <v>44</v>
      </c>
      <c r="Q1000" t="s">
        <v>42</v>
      </c>
      <c r="R1000" t="s">
        <v>62</v>
      </c>
      <c r="S1000" t="s">
        <v>123</v>
      </c>
      <c r="T1000">
        <v>7</v>
      </c>
      <c r="U1000">
        <v>940.18</v>
      </c>
      <c r="V1000">
        <v>2707.63</v>
      </c>
      <c r="W1000">
        <v>6</v>
      </c>
      <c r="X1000" t="s">
        <v>45</v>
      </c>
    </row>
    <row r="1001" spans="1:25" x14ac:dyDescent="0.3">
      <c r="A1001" t="s">
        <v>2610</v>
      </c>
      <c r="B1001" s="1">
        <v>45671</v>
      </c>
      <c r="C1001" t="s">
        <v>2453</v>
      </c>
      <c r="D1001" t="s">
        <v>2866</v>
      </c>
      <c r="E1001" s="1">
        <v>45677</v>
      </c>
      <c r="F1001" t="s">
        <v>115</v>
      </c>
      <c r="G1001" t="s">
        <v>66</v>
      </c>
      <c r="H1001" t="s">
        <v>114</v>
      </c>
      <c r="I1001" t="s">
        <v>2661</v>
      </c>
      <c r="J1001" t="s">
        <v>2671</v>
      </c>
      <c r="K1001" t="s">
        <v>25</v>
      </c>
      <c r="L1001">
        <v>20</v>
      </c>
      <c r="M1001">
        <v>4</v>
      </c>
      <c r="N1001">
        <v>25</v>
      </c>
      <c r="O1001" t="s">
        <v>3735</v>
      </c>
      <c r="P1001" t="s">
        <v>44</v>
      </c>
      <c r="Q1001" t="s">
        <v>42</v>
      </c>
      <c r="R1001" t="s">
        <v>62</v>
      </c>
      <c r="S1001" t="s">
        <v>141</v>
      </c>
      <c r="T1001">
        <v>8</v>
      </c>
      <c r="U1001">
        <v>937.03</v>
      </c>
      <c r="V1001">
        <v>1768.64</v>
      </c>
      <c r="W1001">
        <v>4</v>
      </c>
      <c r="X1001" t="s">
        <v>94</v>
      </c>
    </row>
    <row r="1002" spans="1:25" x14ac:dyDescent="0.3">
      <c r="A1002" t="s">
        <v>2613</v>
      </c>
      <c r="B1002" s="1">
        <v>45851</v>
      </c>
      <c r="C1002" t="s">
        <v>2456</v>
      </c>
      <c r="D1002" t="s">
        <v>2865</v>
      </c>
      <c r="E1002" s="1">
        <v>45854</v>
      </c>
      <c r="F1002" t="s">
        <v>100</v>
      </c>
      <c r="G1002" t="s">
        <v>98</v>
      </c>
      <c r="H1002" t="s">
        <v>99</v>
      </c>
      <c r="I1002" t="s">
        <v>2629</v>
      </c>
      <c r="J1002" t="s">
        <v>2697</v>
      </c>
      <c r="K1002" t="s">
        <v>25</v>
      </c>
      <c r="L1002">
        <v>42</v>
      </c>
      <c r="M1002">
        <v>5</v>
      </c>
      <c r="N1002">
        <v>15</v>
      </c>
      <c r="O1002" t="s">
        <v>1339</v>
      </c>
      <c r="P1002" t="s">
        <v>33</v>
      </c>
      <c r="Q1002" t="s">
        <v>42</v>
      </c>
      <c r="R1002" t="s">
        <v>71</v>
      </c>
      <c r="S1002" t="s">
        <v>57</v>
      </c>
      <c r="T1002">
        <v>4</v>
      </c>
      <c r="U1002">
        <v>910.98</v>
      </c>
      <c r="V1002">
        <v>1184.8499999999999</v>
      </c>
      <c r="W1002">
        <v>4</v>
      </c>
      <c r="X1002" t="s">
        <v>45</v>
      </c>
    </row>
    <row r="1003" spans="1:25" x14ac:dyDescent="0.3">
      <c r="A1003" t="s">
        <v>3717</v>
      </c>
      <c r="B1003" s="1">
        <v>45689</v>
      </c>
      <c r="C1003" t="s">
        <v>2458</v>
      </c>
      <c r="D1003" t="s">
        <v>2864</v>
      </c>
      <c r="E1003" s="1">
        <v>45696</v>
      </c>
      <c r="F1003" t="s">
        <v>122</v>
      </c>
      <c r="G1003" t="s">
        <v>120</v>
      </c>
      <c r="H1003" t="s">
        <v>121</v>
      </c>
      <c r="I1003" t="s">
        <v>2672</v>
      </c>
      <c r="J1003" t="s">
        <v>2690</v>
      </c>
      <c r="K1003" t="s">
        <v>25</v>
      </c>
      <c r="L1003">
        <v>52</v>
      </c>
      <c r="M1003">
        <v>2</v>
      </c>
      <c r="N1003">
        <v>30</v>
      </c>
      <c r="O1003" t="s">
        <v>1541</v>
      </c>
      <c r="P1003" t="s">
        <v>33</v>
      </c>
      <c r="Q1003" t="s">
        <v>42</v>
      </c>
      <c r="R1003" t="s">
        <v>62</v>
      </c>
      <c r="S1003" t="s">
        <v>123</v>
      </c>
      <c r="T1003">
        <v>5</v>
      </c>
      <c r="U1003">
        <v>252.82</v>
      </c>
      <c r="V1003">
        <v>447.42</v>
      </c>
      <c r="W1003">
        <v>6</v>
      </c>
      <c r="X1003" t="s">
        <v>49</v>
      </c>
    </row>
    <row r="1004" spans="1:25" x14ac:dyDescent="0.3">
      <c r="A1004" t="s">
        <v>3718</v>
      </c>
      <c r="B1004" s="1">
        <v>45427</v>
      </c>
      <c r="C1004" t="s">
        <v>2460</v>
      </c>
      <c r="D1004" t="s">
        <v>2863</v>
      </c>
      <c r="E1004" s="1">
        <v>45431</v>
      </c>
      <c r="F1004" t="s">
        <v>115</v>
      </c>
      <c r="G1004" t="s">
        <v>66</v>
      </c>
      <c r="H1004" t="s">
        <v>114</v>
      </c>
      <c r="I1004" t="s">
        <v>2623</v>
      </c>
      <c r="J1004" t="s">
        <v>2624</v>
      </c>
      <c r="K1004" t="s">
        <v>52</v>
      </c>
      <c r="L1004">
        <v>20</v>
      </c>
      <c r="M1004">
        <v>3</v>
      </c>
      <c r="N1004">
        <v>5</v>
      </c>
      <c r="O1004" t="s">
        <v>3736</v>
      </c>
      <c r="P1004" t="s">
        <v>75</v>
      </c>
      <c r="Q1004" t="s">
        <v>42</v>
      </c>
      <c r="R1004" t="s">
        <v>62</v>
      </c>
      <c r="S1004" t="s">
        <v>129</v>
      </c>
      <c r="T1004">
        <v>4</v>
      </c>
      <c r="U1004">
        <v>356.26</v>
      </c>
      <c r="V1004">
        <v>308.16000000000003</v>
      </c>
      <c r="W1004">
        <v>6</v>
      </c>
      <c r="X1004" t="s">
        <v>34</v>
      </c>
    </row>
    <row r="1005" spans="1:25" x14ac:dyDescent="0.3">
      <c r="A1005" t="s">
        <v>3719</v>
      </c>
      <c r="B1005" s="1">
        <v>45562</v>
      </c>
      <c r="C1005" t="s">
        <v>2462</v>
      </c>
      <c r="D1005" t="s">
        <v>2862</v>
      </c>
      <c r="E1005" s="1">
        <v>45566</v>
      </c>
      <c r="F1005" t="s">
        <v>100</v>
      </c>
      <c r="G1005" t="s">
        <v>98</v>
      </c>
      <c r="H1005" t="s">
        <v>99</v>
      </c>
      <c r="I1005" t="s">
        <v>2679</v>
      </c>
      <c r="J1005" t="s">
        <v>2685</v>
      </c>
      <c r="K1005" t="s">
        <v>25</v>
      </c>
      <c r="L1005">
        <v>32</v>
      </c>
      <c r="M1005">
        <v>3</v>
      </c>
      <c r="N1005">
        <v>0</v>
      </c>
      <c r="O1005" t="s">
        <v>1848</v>
      </c>
      <c r="P1005" t="s">
        <v>75</v>
      </c>
      <c r="Q1005" t="s">
        <v>42</v>
      </c>
      <c r="R1005" t="s">
        <v>71</v>
      </c>
      <c r="S1005" t="s">
        <v>57</v>
      </c>
      <c r="T1005">
        <v>3</v>
      </c>
      <c r="U1005">
        <v>418.12</v>
      </c>
      <c r="V1005">
        <v>685.76</v>
      </c>
      <c r="W1005">
        <v>3</v>
      </c>
      <c r="X1005" t="s">
        <v>45</v>
      </c>
    </row>
    <row r="1006" spans="1:25" x14ac:dyDescent="0.3">
      <c r="A1006" t="s">
        <v>3720</v>
      </c>
      <c r="B1006" s="1">
        <v>45971</v>
      </c>
      <c r="C1006" t="s">
        <v>2464</v>
      </c>
      <c r="D1006" t="s">
        <v>2861</v>
      </c>
      <c r="E1006" s="1">
        <v>45978</v>
      </c>
      <c r="F1006" t="s">
        <v>29</v>
      </c>
      <c r="G1006" t="s">
        <v>27</v>
      </c>
      <c r="H1006" t="s">
        <v>28</v>
      </c>
      <c r="I1006" t="s">
        <v>2663</v>
      </c>
      <c r="J1006" t="s">
        <v>2694</v>
      </c>
      <c r="K1006" t="s">
        <v>25</v>
      </c>
      <c r="L1006">
        <v>32</v>
      </c>
      <c r="M1006">
        <v>1</v>
      </c>
      <c r="N1006">
        <v>10</v>
      </c>
      <c r="O1006" t="s">
        <v>434</v>
      </c>
      <c r="P1006" t="s">
        <v>33</v>
      </c>
      <c r="Q1006" t="s">
        <v>42</v>
      </c>
      <c r="R1006" t="s">
        <v>62</v>
      </c>
      <c r="S1006" t="s">
        <v>116</v>
      </c>
      <c r="T1006">
        <v>4</v>
      </c>
      <c r="U1006">
        <v>554.15</v>
      </c>
      <c r="V1006">
        <v>813.15</v>
      </c>
      <c r="W1006">
        <v>7</v>
      </c>
      <c r="X1006" t="s">
        <v>34</v>
      </c>
    </row>
    <row r="1007" spans="1:25" x14ac:dyDescent="0.3">
      <c r="A1007" t="s">
        <v>3721</v>
      </c>
      <c r="B1007" s="1">
        <v>45763</v>
      </c>
      <c r="C1007" t="s">
        <v>2466</v>
      </c>
      <c r="D1007" t="s">
        <v>2860</v>
      </c>
      <c r="E1007" s="1">
        <v>45768</v>
      </c>
      <c r="F1007" t="s">
        <v>68</v>
      </c>
      <c r="G1007" t="s">
        <v>66</v>
      </c>
      <c r="H1007" t="s">
        <v>67</v>
      </c>
      <c r="I1007" t="s">
        <v>2625</v>
      </c>
      <c r="J1007" t="s">
        <v>2703</v>
      </c>
      <c r="K1007" t="s">
        <v>25</v>
      </c>
      <c r="L1007">
        <v>61</v>
      </c>
      <c r="M1007">
        <v>2</v>
      </c>
      <c r="N1007">
        <v>25</v>
      </c>
      <c r="O1007" t="s">
        <v>829</v>
      </c>
      <c r="P1007" t="s">
        <v>33</v>
      </c>
      <c r="Q1007" t="s">
        <v>42</v>
      </c>
      <c r="R1007" t="s">
        <v>32</v>
      </c>
      <c r="S1007" t="s">
        <v>123</v>
      </c>
      <c r="T1007">
        <v>3</v>
      </c>
      <c r="U1007">
        <v>680.97</v>
      </c>
      <c r="V1007">
        <v>1178.71</v>
      </c>
      <c r="W1007">
        <v>4</v>
      </c>
      <c r="X1007" t="s">
        <v>49</v>
      </c>
    </row>
    <row r="1008" spans="1:25" x14ac:dyDescent="0.3">
      <c r="A1008" t="s">
        <v>3722</v>
      </c>
      <c r="B1008" s="1">
        <v>45982</v>
      </c>
      <c r="C1008" t="s">
        <v>2469</v>
      </c>
      <c r="D1008" t="s">
        <v>2859</v>
      </c>
      <c r="E1008" s="1">
        <v>45986</v>
      </c>
      <c r="F1008" t="s">
        <v>40</v>
      </c>
      <c r="G1008" t="s">
        <v>38</v>
      </c>
      <c r="H1008" t="s">
        <v>39</v>
      </c>
      <c r="I1008" t="s">
        <v>2661</v>
      </c>
      <c r="J1008" t="s">
        <v>2700</v>
      </c>
      <c r="K1008" t="s">
        <v>25</v>
      </c>
      <c r="L1008">
        <v>51</v>
      </c>
      <c r="M1008">
        <v>2</v>
      </c>
      <c r="N1008">
        <v>15</v>
      </c>
      <c r="O1008" t="s">
        <v>1572</v>
      </c>
      <c r="P1008" t="s">
        <v>33</v>
      </c>
      <c r="Q1008" t="s">
        <v>42</v>
      </c>
      <c r="R1008" t="s">
        <v>71</v>
      </c>
      <c r="S1008" t="s">
        <v>57</v>
      </c>
      <c r="T1008">
        <v>1</v>
      </c>
      <c r="U1008">
        <v>256.25</v>
      </c>
      <c r="V1008">
        <v>224.44</v>
      </c>
      <c r="W1008">
        <v>4</v>
      </c>
      <c r="X1008" t="s">
        <v>45</v>
      </c>
    </row>
    <row r="1009" spans="1:24" x14ac:dyDescent="0.3">
      <c r="A1009" t="s">
        <v>3723</v>
      </c>
      <c r="B1009" s="1">
        <v>45552</v>
      </c>
      <c r="C1009" t="s">
        <v>2471</v>
      </c>
      <c r="D1009" t="s">
        <v>2858</v>
      </c>
      <c r="E1009" s="1">
        <v>45558</v>
      </c>
      <c r="F1009" t="s">
        <v>115</v>
      </c>
      <c r="G1009" t="s">
        <v>66</v>
      </c>
      <c r="H1009" t="s">
        <v>114</v>
      </c>
      <c r="I1009" t="s">
        <v>2654</v>
      </c>
      <c r="J1009" t="s">
        <v>2655</v>
      </c>
      <c r="K1009" t="s">
        <v>25</v>
      </c>
      <c r="L1009">
        <v>40</v>
      </c>
      <c r="M1009">
        <v>1</v>
      </c>
      <c r="N1009">
        <v>30</v>
      </c>
      <c r="O1009" t="s">
        <v>204</v>
      </c>
      <c r="P1009" t="s">
        <v>44</v>
      </c>
      <c r="Q1009" t="s">
        <v>42</v>
      </c>
      <c r="R1009" t="s">
        <v>43</v>
      </c>
      <c r="S1009" t="s">
        <v>30</v>
      </c>
      <c r="T1009">
        <v>4</v>
      </c>
      <c r="U1009">
        <v>340.44</v>
      </c>
      <c r="V1009">
        <v>186.83</v>
      </c>
      <c r="W1009">
        <v>7</v>
      </c>
      <c r="X1009" t="s">
        <v>94</v>
      </c>
    </row>
    <row r="1010" spans="1:24" x14ac:dyDescent="0.3">
      <c r="A1010" t="s">
        <v>3724</v>
      </c>
      <c r="B1010" s="1">
        <v>45923</v>
      </c>
      <c r="C1010" t="s">
        <v>2474</v>
      </c>
      <c r="D1010" t="s">
        <v>2857</v>
      </c>
      <c r="E1010" s="1">
        <v>45924</v>
      </c>
      <c r="F1010" t="s">
        <v>115</v>
      </c>
      <c r="G1010" t="s">
        <v>66</v>
      </c>
      <c r="H1010" t="s">
        <v>114</v>
      </c>
      <c r="I1010" t="s">
        <v>2641</v>
      </c>
      <c r="J1010" t="s">
        <v>2642</v>
      </c>
      <c r="K1010" t="s">
        <v>25</v>
      </c>
      <c r="L1010">
        <v>55</v>
      </c>
      <c r="M1010">
        <v>5</v>
      </c>
      <c r="N1010">
        <v>5</v>
      </c>
      <c r="O1010" t="s">
        <v>183</v>
      </c>
      <c r="P1010" t="s">
        <v>44</v>
      </c>
      <c r="Q1010" t="s">
        <v>42</v>
      </c>
      <c r="R1010" t="s">
        <v>62</v>
      </c>
      <c r="S1010" t="s">
        <v>30</v>
      </c>
      <c r="T1010">
        <v>2</v>
      </c>
      <c r="U1010">
        <v>674.64</v>
      </c>
      <c r="V1010">
        <v>1988.82</v>
      </c>
      <c r="W1010">
        <v>5</v>
      </c>
      <c r="X1010" t="s">
        <v>49</v>
      </c>
    </row>
    <row r="1011" spans="1:24" x14ac:dyDescent="0.3">
      <c r="A1011" t="s">
        <v>3725</v>
      </c>
      <c r="B1011" s="1">
        <v>45296</v>
      </c>
      <c r="C1011" t="s">
        <v>2477</v>
      </c>
      <c r="D1011" t="s">
        <v>2856</v>
      </c>
      <c r="E1011" s="1">
        <v>45300</v>
      </c>
      <c r="F1011" t="s">
        <v>122</v>
      </c>
      <c r="G1011" t="s">
        <v>120</v>
      </c>
      <c r="H1011" t="s">
        <v>121</v>
      </c>
      <c r="I1011" t="s">
        <v>2625</v>
      </c>
      <c r="J1011" t="s">
        <v>2667</v>
      </c>
      <c r="K1011" t="s">
        <v>52</v>
      </c>
      <c r="L1011">
        <v>38</v>
      </c>
      <c r="M1011">
        <v>1</v>
      </c>
      <c r="N1011">
        <v>0</v>
      </c>
      <c r="O1011" t="s">
        <v>255</v>
      </c>
      <c r="P1011" t="s">
        <v>75</v>
      </c>
      <c r="Q1011" t="s">
        <v>42</v>
      </c>
      <c r="R1011" t="s">
        <v>62</v>
      </c>
      <c r="S1011" t="s">
        <v>30</v>
      </c>
      <c r="T1011">
        <v>3</v>
      </c>
      <c r="U1011">
        <v>637.44000000000005</v>
      </c>
      <c r="V1011">
        <v>1555.32</v>
      </c>
      <c r="W1011">
        <v>4</v>
      </c>
      <c r="X1011" t="s">
        <v>94</v>
      </c>
    </row>
    <row r="1012" spans="1:24" x14ac:dyDescent="0.3">
      <c r="A1012" t="s">
        <v>3726</v>
      </c>
      <c r="B1012" s="1">
        <v>45933</v>
      </c>
      <c r="C1012" t="s">
        <v>2479</v>
      </c>
      <c r="D1012" t="s">
        <v>2855</v>
      </c>
      <c r="E1012" s="1">
        <v>45939</v>
      </c>
      <c r="F1012" t="s">
        <v>140</v>
      </c>
      <c r="G1012" t="s">
        <v>38</v>
      </c>
      <c r="H1012" t="s">
        <v>139</v>
      </c>
      <c r="I1012" t="s">
        <v>2631</v>
      </c>
      <c r="J1012" t="s">
        <v>2694</v>
      </c>
      <c r="K1012" t="s">
        <v>52</v>
      </c>
      <c r="L1012">
        <v>38</v>
      </c>
      <c r="M1012">
        <v>4</v>
      </c>
      <c r="N1012">
        <v>10</v>
      </c>
      <c r="O1012" t="s">
        <v>2237</v>
      </c>
      <c r="P1012" t="s">
        <v>33</v>
      </c>
      <c r="Q1012" t="s">
        <v>42</v>
      </c>
      <c r="R1012" t="s">
        <v>71</v>
      </c>
      <c r="S1012" t="s">
        <v>123</v>
      </c>
      <c r="T1012">
        <v>1</v>
      </c>
      <c r="U1012">
        <v>800.88</v>
      </c>
      <c r="V1012">
        <v>1889.51</v>
      </c>
      <c r="W1012">
        <v>6</v>
      </c>
      <c r="X1012" t="s">
        <v>45</v>
      </c>
    </row>
    <row r="1013" spans="1:24" x14ac:dyDescent="0.3">
      <c r="A1013" t="s">
        <v>3727</v>
      </c>
      <c r="B1013" s="1">
        <v>45856</v>
      </c>
      <c r="C1013" t="s">
        <v>2493</v>
      </c>
      <c r="D1013" t="s">
        <v>2849</v>
      </c>
      <c r="E1013" s="1">
        <v>45863</v>
      </c>
      <c r="F1013" t="s">
        <v>40</v>
      </c>
      <c r="G1013" t="s">
        <v>38</v>
      </c>
      <c r="H1013" t="s">
        <v>39</v>
      </c>
      <c r="I1013" t="s">
        <v>2629</v>
      </c>
      <c r="J1013" t="s">
        <v>2697</v>
      </c>
      <c r="K1013" t="s">
        <v>52</v>
      </c>
      <c r="L1013">
        <v>57</v>
      </c>
      <c r="M1013">
        <v>5</v>
      </c>
      <c r="N1013">
        <v>25</v>
      </c>
      <c r="O1013" t="s">
        <v>3737</v>
      </c>
      <c r="P1013" t="s">
        <v>44</v>
      </c>
      <c r="Q1013" t="s">
        <v>42</v>
      </c>
      <c r="R1013" t="s">
        <v>62</v>
      </c>
      <c r="S1013" t="s">
        <v>69</v>
      </c>
      <c r="T1013">
        <v>1</v>
      </c>
      <c r="U1013">
        <v>217.31</v>
      </c>
      <c r="V1013">
        <v>373.2</v>
      </c>
      <c r="W1013">
        <v>1</v>
      </c>
      <c r="X1013" t="s">
        <v>45</v>
      </c>
    </row>
    <row r="1014" spans="1:24" x14ac:dyDescent="0.3">
      <c r="A1014" t="s">
        <v>3728</v>
      </c>
      <c r="B1014" s="1">
        <v>45916</v>
      </c>
      <c r="C1014" t="s">
        <v>2496</v>
      </c>
      <c r="D1014" t="s">
        <v>2848</v>
      </c>
      <c r="E1014" s="1">
        <v>45917</v>
      </c>
      <c r="F1014" t="s">
        <v>56</v>
      </c>
      <c r="G1014" t="s">
        <v>54</v>
      </c>
      <c r="H1014" t="s">
        <v>55</v>
      </c>
      <c r="I1014" t="s">
        <v>2661</v>
      </c>
      <c r="J1014" t="s">
        <v>2671</v>
      </c>
      <c r="K1014" t="s">
        <v>25</v>
      </c>
      <c r="L1014">
        <v>51</v>
      </c>
      <c r="M1014">
        <v>1</v>
      </c>
      <c r="N1014">
        <v>15</v>
      </c>
      <c r="O1014" t="s">
        <v>3738</v>
      </c>
      <c r="P1014" t="s">
        <v>75</v>
      </c>
      <c r="Q1014" t="s">
        <v>42</v>
      </c>
      <c r="R1014" t="s">
        <v>62</v>
      </c>
      <c r="S1014" t="s">
        <v>101</v>
      </c>
      <c r="T1014">
        <v>3</v>
      </c>
      <c r="U1014">
        <v>242.03</v>
      </c>
      <c r="V1014">
        <v>213.33</v>
      </c>
      <c r="W1014">
        <v>4</v>
      </c>
      <c r="X1014" t="s">
        <v>34</v>
      </c>
    </row>
    <row r="1015" spans="1:24" x14ac:dyDescent="0.3">
      <c r="A1015" t="s">
        <v>3729</v>
      </c>
      <c r="B1015" s="1">
        <v>45794</v>
      </c>
      <c r="C1015" t="s">
        <v>2499</v>
      </c>
      <c r="D1015" t="s">
        <v>2847</v>
      </c>
      <c r="E1015" s="1">
        <v>45801</v>
      </c>
      <c r="F1015" t="s">
        <v>122</v>
      </c>
      <c r="G1015" t="s">
        <v>120</v>
      </c>
      <c r="H1015" t="s">
        <v>121</v>
      </c>
      <c r="I1015" t="s">
        <v>2637</v>
      </c>
      <c r="J1015" t="s">
        <v>99</v>
      </c>
      <c r="K1015" t="s">
        <v>25</v>
      </c>
      <c r="L1015">
        <v>34</v>
      </c>
      <c r="M1015">
        <v>3</v>
      </c>
      <c r="N1015">
        <v>30</v>
      </c>
      <c r="O1015" t="s">
        <v>3739</v>
      </c>
      <c r="P1015" t="s">
        <v>44</v>
      </c>
      <c r="Q1015" t="s">
        <v>42</v>
      </c>
      <c r="R1015" t="s">
        <v>71</v>
      </c>
      <c r="S1015" t="s">
        <v>57</v>
      </c>
      <c r="T1015">
        <v>3</v>
      </c>
      <c r="U1015">
        <v>335.53</v>
      </c>
      <c r="V1015">
        <v>1155.73</v>
      </c>
      <c r="W1015">
        <v>6</v>
      </c>
      <c r="X1015" t="s">
        <v>94</v>
      </c>
    </row>
    <row r="1016" spans="1:24" x14ac:dyDescent="0.3">
      <c r="A1016" t="s">
        <v>3730</v>
      </c>
      <c r="B1016" s="1">
        <v>45889</v>
      </c>
      <c r="C1016" t="s">
        <v>2501</v>
      </c>
      <c r="D1016" t="s">
        <v>2846</v>
      </c>
      <c r="E1016" s="1">
        <v>45896</v>
      </c>
      <c r="F1016" t="s">
        <v>100</v>
      </c>
      <c r="G1016" t="s">
        <v>98</v>
      </c>
      <c r="H1016" t="s">
        <v>99</v>
      </c>
      <c r="I1016" t="s">
        <v>2668</v>
      </c>
      <c r="J1016" t="s">
        <v>2669</v>
      </c>
      <c r="K1016" t="s">
        <v>25</v>
      </c>
      <c r="L1016">
        <v>49</v>
      </c>
      <c r="M1016">
        <v>5</v>
      </c>
      <c r="N1016">
        <v>32.5</v>
      </c>
      <c r="O1016" t="s">
        <v>1029</v>
      </c>
      <c r="P1016" t="s">
        <v>75</v>
      </c>
      <c r="Q1016" t="s">
        <v>42</v>
      </c>
      <c r="R1016" t="s">
        <v>62</v>
      </c>
      <c r="S1016" t="s">
        <v>30</v>
      </c>
      <c r="T1016">
        <v>3</v>
      </c>
      <c r="U1016">
        <v>713.22</v>
      </c>
      <c r="V1016">
        <v>1970.88</v>
      </c>
      <c r="W1016">
        <v>7</v>
      </c>
      <c r="X1016" t="s">
        <v>34</v>
      </c>
    </row>
    <row r="1017" spans="1:24" x14ac:dyDescent="0.3">
      <c r="A1017" t="s">
        <v>3731</v>
      </c>
      <c r="B1017" s="1">
        <v>45595</v>
      </c>
      <c r="C1017" t="s">
        <v>2504</v>
      </c>
      <c r="D1017" t="s">
        <v>2845</v>
      </c>
      <c r="E1017" s="1">
        <v>45597</v>
      </c>
      <c r="F1017" t="s">
        <v>115</v>
      </c>
      <c r="G1017" t="s">
        <v>66</v>
      </c>
      <c r="H1017" t="s">
        <v>114</v>
      </c>
      <c r="I1017" t="s">
        <v>2665</v>
      </c>
      <c r="J1017" t="s">
        <v>2666</v>
      </c>
      <c r="K1017" t="s">
        <v>25</v>
      </c>
      <c r="L1017">
        <v>38</v>
      </c>
      <c r="M1017">
        <v>4</v>
      </c>
      <c r="N1017">
        <v>37.5</v>
      </c>
      <c r="O1017" t="s">
        <v>264</v>
      </c>
      <c r="P1017" t="s">
        <v>33</v>
      </c>
      <c r="Q1017" t="s">
        <v>42</v>
      </c>
      <c r="R1017" t="s">
        <v>32</v>
      </c>
      <c r="S1017" t="s">
        <v>30</v>
      </c>
      <c r="T1017">
        <v>3</v>
      </c>
      <c r="U1017">
        <v>146.41999999999999</v>
      </c>
      <c r="V1017">
        <v>357.52</v>
      </c>
      <c r="W1017">
        <v>6</v>
      </c>
      <c r="X1017" t="s">
        <v>45</v>
      </c>
    </row>
    <row r="1018" spans="1:24" x14ac:dyDescent="0.3">
      <c r="A1018" t="s">
        <v>3732</v>
      </c>
      <c r="B1018" s="1">
        <v>45871</v>
      </c>
      <c r="C1018" t="s">
        <v>2506</v>
      </c>
      <c r="D1018" t="s">
        <v>2844</v>
      </c>
      <c r="E1018" s="1">
        <v>45873</v>
      </c>
      <c r="F1018" t="s">
        <v>29</v>
      </c>
      <c r="G1018" t="s">
        <v>27</v>
      </c>
      <c r="H1018" t="s">
        <v>28</v>
      </c>
      <c r="I1018" t="s">
        <v>2623</v>
      </c>
      <c r="J1018" t="s">
        <v>2624</v>
      </c>
      <c r="K1018" t="s">
        <v>25</v>
      </c>
      <c r="L1018">
        <v>43</v>
      </c>
      <c r="M1018">
        <v>4.2</v>
      </c>
      <c r="N1018">
        <v>42.5</v>
      </c>
      <c r="O1018" t="s">
        <v>2592</v>
      </c>
      <c r="P1018" t="s">
        <v>75</v>
      </c>
      <c r="Q1018" t="s">
        <v>42</v>
      </c>
      <c r="R1018" t="s">
        <v>71</v>
      </c>
      <c r="S1018" t="s">
        <v>30</v>
      </c>
      <c r="T1018">
        <v>1</v>
      </c>
      <c r="U1018">
        <v>215.84</v>
      </c>
      <c r="V1018">
        <v>513.41</v>
      </c>
      <c r="W1018">
        <v>2</v>
      </c>
      <c r="X1018" t="s">
        <v>94</v>
      </c>
    </row>
    <row r="1019" spans="1:24" x14ac:dyDescent="0.3">
      <c r="A1019" t="s">
        <v>3733</v>
      </c>
      <c r="B1019" s="1">
        <v>45764</v>
      </c>
      <c r="C1019" t="s">
        <v>2509</v>
      </c>
      <c r="D1019" t="s">
        <v>2843</v>
      </c>
      <c r="E1019" s="1">
        <v>45770</v>
      </c>
      <c r="F1019" t="s">
        <v>29</v>
      </c>
      <c r="G1019" t="s">
        <v>27</v>
      </c>
      <c r="H1019" t="s">
        <v>28</v>
      </c>
      <c r="I1019" t="s">
        <v>2631</v>
      </c>
      <c r="J1019" t="s">
        <v>2711</v>
      </c>
      <c r="K1019" t="s">
        <v>52</v>
      </c>
      <c r="L1019">
        <v>37</v>
      </c>
      <c r="M1019">
        <v>4.4000000000000004</v>
      </c>
      <c r="N1019">
        <v>47.5</v>
      </c>
      <c r="O1019" t="s">
        <v>862</v>
      </c>
      <c r="P1019" t="s">
        <v>44</v>
      </c>
      <c r="Q1019" t="s">
        <v>42</v>
      </c>
      <c r="R1019" t="s">
        <v>71</v>
      </c>
      <c r="S1019" t="s">
        <v>123</v>
      </c>
      <c r="T1019">
        <v>1</v>
      </c>
      <c r="U1019">
        <v>516.5</v>
      </c>
      <c r="V1019">
        <v>1313.65</v>
      </c>
      <c r="W1019">
        <v>4</v>
      </c>
      <c r="X1019" t="s">
        <v>45</v>
      </c>
    </row>
    <row r="1020" spans="1:24" x14ac:dyDescent="0.3">
      <c r="A1020" t="s">
        <v>3734</v>
      </c>
      <c r="B1020" s="1">
        <v>45865</v>
      </c>
      <c r="C1020" t="s">
        <v>2511</v>
      </c>
      <c r="D1020" t="s">
        <v>2842</v>
      </c>
      <c r="E1020" s="1">
        <v>45871</v>
      </c>
      <c r="F1020" t="s">
        <v>100</v>
      </c>
      <c r="G1020" t="s">
        <v>98</v>
      </c>
      <c r="H1020" t="s">
        <v>99</v>
      </c>
      <c r="I1020" t="s">
        <v>2665</v>
      </c>
      <c r="J1020" t="s">
        <v>2719</v>
      </c>
      <c r="K1020" t="s">
        <v>25</v>
      </c>
      <c r="L1020">
        <v>37</v>
      </c>
      <c r="M1020">
        <v>4.5999999999999996</v>
      </c>
      <c r="N1020">
        <v>52.5</v>
      </c>
      <c r="O1020" t="s">
        <v>2351</v>
      </c>
      <c r="P1020" t="s">
        <v>75</v>
      </c>
      <c r="Q1020" t="s">
        <v>42</v>
      </c>
      <c r="R1020" t="s">
        <v>43</v>
      </c>
      <c r="S1020" t="s">
        <v>69</v>
      </c>
      <c r="T1020">
        <v>2</v>
      </c>
      <c r="U1020">
        <v>790.89</v>
      </c>
      <c r="V1020">
        <v>1990.33</v>
      </c>
      <c r="W1020">
        <v>4</v>
      </c>
      <c r="X1020" t="s">
        <v>45</v>
      </c>
    </row>
  </sheetData>
  <mergeCells count="1">
    <mergeCell ref="A1:I1"/>
  </mergeCells>
  <phoneticPr fontId="2" type="noConversion"/>
  <pageMargins left="0.75" right="0.75" top="1" bottom="1" header="0.5" footer="0.5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0A50D-1276-45D9-AEF3-6BEFDC0BB6A5}">
  <dimension ref="A1:Z1020"/>
  <sheetViews>
    <sheetView tabSelected="1" zoomScale="63" zoomScaleNormal="63" workbookViewId="0">
      <selection activeCell="A2" sqref="A2"/>
    </sheetView>
  </sheetViews>
  <sheetFormatPr defaultRowHeight="14.4" x14ac:dyDescent="0.3"/>
  <cols>
    <col min="1" max="1" width="10.44140625" bestFit="1" customWidth="1"/>
    <col min="2" max="2" width="12.88671875" customWidth="1"/>
    <col min="3" max="3" width="13.77734375" customWidth="1"/>
    <col min="4" max="4" width="21.33203125" bestFit="1" customWidth="1"/>
    <col min="5" max="5" width="11.21875" bestFit="1" customWidth="1"/>
    <col min="6" max="6" width="15.5546875" customWidth="1"/>
    <col min="7" max="7" width="10.77734375" bestFit="1" customWidth="1"/>
    <col min="8" max="8" width="14.44140625" customWidth="1"/>
    <col min="9" max="9" width="14.21875" bestFit="1" customWidth="1"/>
    <col min="10" max="10" width="16.33203125" bestFit="1" customWidth="1"/>
    <col min="11" max="11" width="9.5546875" customWidth="1"/>
    <col min="12" max="12" width="6.33203125" customWidth="1"/>
    <col min="13" max="13" width="10.6640625" customWidth="1"/>
    <col min="14" max="14" width="12.33203125" customWidth="1"/>
    <col min="15" max="15" width="12.109375" customWidth="1"/>
    <col min="16" max="16" width="15.88671875" customWidth="1"/>
    <col min="17" max="17" width="16.33203125" customWidth="1"/>
    <col min="18" max="18" width="14.109375" customWidth="1"/>
    <col min="19" max="19" width="10" bestFit="1" customWidth="1"/>
    <col min="20" max="20" width="9.6640625" customWidth="1"/>
    <col min="21" max="21" width="11.44140625" customWidth="1"/>
    <col min="22" max="22" width="8.88671875" customWidth="1"/>
    <col min="23" max="23" width="14.5546875" customWidth="1"/>
  </cols>
  <sheetData>
    <row r="1" spans="1:26" x14ac:dyDescent="0.3">
      <c r="A1" s="6" t="s">
        <v>3741</v>
      </c>
      <c r="B1" s="6"/>
      <c r="C1" s="6"/>
      <c r="D1" s="6"/>
      <c r="E1" s="6"/>
      <c r="F1" s="6"/>
      <c r="G1" s="6"/>
    </row>
    <row r="2" spans="1:26" x14ac:dyDescent="0.3">
      <c r="A2" t="s">
        <v>2616</v>
      </c>
      <c r="B2" t="s">
        <v>0</v>
      </c>
      <c r="C2" t="s">
        <v>2</v>
      </c>
      <c r="D2" t="s">
        <v>3</v>
      </c>
      <c r="E2" t="s">
        <v>1</v>
      </c>
      <c r="F2" t="s">
        <v>11</v>
      </c>
      <c r="G2" t="s">
        <v>9</v>
      </c>
      <c r="H2" t="s">
        <v>10</v>
      </c>
      <c r="I2" t="s">
        <v>7</v>
      </c>
      <c r="J2" t="s">
        <v>6</v>
      </c>
      <c r="K2" t="s">
        <v>4</v>
      </c>
      <c r="L2" t="s">
        <v>5</v>
      </c>
      <c r="M2" t="s">
        <v>13</v>
      </c>
      <c r="N2" t="s">
        <v>15</v>
      </c>
      <c r="O2" t="s">
        <v>8</v>
      </c>
      <c r="P2" t="s">
        <v>19</v>
      </c>
      <c r="Q2" t="s">
        <v>17</v>
      </c>
      <c r="R2" t="s">
        <v>18</v>
      </c>
      <c r="S2" t="s">
        <v>12</v>
      </c>
      <c r="T2" t="s">
        <v>2615</v>
      </c>
      <c r="U2" t="s">
        <v>14</v>
      </c>
      <c r="V2" t="s">
        <v>16</v>
      </c>
      <c r="W2" t="s">
        <v>20</v>
      </c>
      <c r="X2" t="s">
        <v>3742</v>
      </c>
      <c r="Y2" t="s">
        <v>3743</v>
      </c>
      <c r="Z2" t="s">
        <v>3744</v>
      </c>
    </row>
    <row r="3" spans="1:26" x14ac:dyDescent="0.3">
      <c r="A3" t="s">
        <v>23</v>
      </c>
      <c r="B3" s="1">
        <v>45304</v>
      </c>
      <c r="C3" t="s">
        <v>24</v>
      </c>
      <c r="D3" t="s">
        <v>2801</v>
      </c>
      <c r="E3" s="1">
        <v>45305</v>
      </c>
      <c r="F3" t="s">
        <v>2617</v>
      </c>
      <c r="G3" t="s">
        <v>27</v>
      </c>
      <c r="H3" t="s">
        <v>28</v>
      </c>
      <c r="I3" t="s">
        <v>2661</v>
      </c>
      <c r="J3" t="s">
        <v>2700</v>
      </c>
      <c r="K3" t="s">
        <v>25</v>
      </c>
      <c r="L3">
        <v>52</v>
      </c>
      <c r="M3">
        <v>4</v>
      </c>
      <c r="N3">
        <v>0</v>
      </c>
      <c r="O3" t="s">
        <v>26</v>
      </c>
      <c r="P3" t="s">
        <v>33</v>
      </c>
      <c r="Q3" t="s">
        <v>31</v>
      </c>
      <c r="R3" t="s">
        <v>32</v>
      </c>
      <c r="S3" t="s">
        <v>30</v>
      </c>
      <c r="T3">
        <v>3</v>
      </c>
      <c r="U3">
        <v>147.79</v>
      </c>
      <c r="V3">
        <v>401.74</v>
      </c>
      <c r="W3">
        <v>1</v>
      </c>
      <c r="X3" t="str">
        <f>TEXT(cleaneddata[[#This Row],[Order Date]],"mmm")</f>
        <v>Jan</v>
      </c>
      <c r="Y3">
        <f>cleaneddata[[#This Row],[Unit Price]]*cleaneddata[[#This Row],[Quantity]]*(1-cleaneddata[[#This Row],[Discount %]]/100)</f>
        <v>591.16</v>
      </c>
      <c r="Z3">
        <f>cleaneddata[[#This Row],[sales]]-cleaneddata[[#This Row],[Cost]]</f>
        <v>189.41999999999996</v>
      </c>
    </row>
    <row r="4" spans="1:26" x14ac:dyDescent="0.3">
      <c r="A4" t="s">
        <v>35</v>
      </c>
      <c r="B4" s="1">
        <v>45538</v>
      </c>
      <c r="C4" t="s">
        <v>36</v>
      </c>
      <c r="D4" t="s">
        <v>2800</v>
      </c>
      <c r="E4" s="1">
        <v>45540</v>
      </c>
      <c r="F4" t="s">
        <v>40</v>
      </c>
      <c r="G4" t="s">
        <v>38</v>
      </c>
      <c r="H4" t="s">
        <v>39</v>
      </c>
      <c r="I4" t="s">
        <v>2623</v>
      </c>
      <c r="J4" t="s">
        <v>2701</v>
      </c>
      <c r="K4" t="s">
        <v>25</v>
      </c>
      <c r="L4">
        <v>26</v>
      </c>
      <c r="M4">
        <v>4</v>
      </c>
      <c r="N4">
        <v>30</v>
      </c>
      <c r="O4" t="s">
        <v>37</v>
      </c>
      <c r="P4" t="s">
        <v>44</v>
      </c>
      <c r="Q4" t="s">
        <v>42</v>
      </c>
      <c r="R4" t="s">
        <v>43</v>
      </c>
      <c r="S4" t="s">
        <v>41</v>
      </c>
      <c r="T4">
        <v>1</v>
      </c>
      <c r="U4">
        <v>154.13999999999999</v>
      </c>
      <c r="V4">
        <v>309.97000000000003</v>
      </c>
      <c r="W4">
        <v>2</v>
      </c>
      <c r="X4" t="str">
        <f>TEXT(cleaneddata[[#This Row],[Order Date]],"mmm")</f>
        <v>Sep</v>
      </c>
      <c r="Y4">
        <f>cleaneddata[[#This Row],[Unit Price]]*cleaneddata[[#This Row],[Quantity]]*(1-cleaneddata[[#This Row],[Discount %]]/100)</f>
        <v>431.59199999999993</v>
      </c>
      <c r="Z4">
        <f>cleaneddata[[#This Row],[sales]]-cleaneddata[[#This Row],[Cost]]</f>
        <v>121.6219999999999</v>
      </c>
    </row>
    <row r="5" spans="1:26" x14ac:dyDescent="0.3">
      <c r="A5" t="s">
        <v>46</v>
      </c>
      <c r="B5" s="1">
        <v>45462</v>
      </c>
      <c r="C5" t="s">
        <v>47</v>
      </c>
      <c r="D5" t="s">
        <v>3716</v>
      </c>
      <c r="E5" s="1">
        <v>45468</v>
      </c>
      <c r="F5" t="s">
        <v>40</v>
      </c>
      <c r="G5" t="s">
        <v>38</v>
      </c>
      <c r="H5" t="s">
        <v>39</v>
      </c>
      <c r="I5" t="s">
        <v>2634</v>
      </c>
      <c r="J5" t="s">
        <v>2650</v>
      </c>
      <c r="K5" t="s">
        <v>25</v>
      </c>
      <c r="L5">
        <v>53</v>
      </c>
      <c r="M5">
        <v>2</v>
      </c>
      <c r="N5">
        <v>30</v>
      </c>
      <c r="O5" t="s">
        <v>48</v>
      </c>
      <c r="P5" t="s">
        <v>33</v>
      </c>
      <c r="Q5" t="s">
        <v>31</v>
      </c>
      <c r="R5" t="s">
        <v>43</v>
      </c>
      <c r="S5" t="s">
        <v>41</v>
      </c>
      <c r="T5">
        <v>1</v>
      </c>
      <c r="U5">
        <v>994.37</v>
      </c>
      <c r="V5">
        <v>729.45</v>
      </c>
      <c r="W5">
        <v>6</v>
      </c>
      <c r="X5" t="str">
        <f>TEXT(cleaneddata[[#This Row],[Order Date]],"mmm")</f>
        <v>Jun</v>
      </c>
      <c r="Y5">
        <f>cleaneddata[[#This Row],[Unit Price]]*cleaneddata[[#This Row],[Quantity]]*(1-cleaneddata[[#This Row],[Discount %]]/100)</f>
        <v>1392.1179999999999</v>
      </c>
      <c r="Z5">
        <f>cleaneddata[[#This Row],[sales]]-cleaneddata[[#This Row],[Cost]]</f>
        <v>662.66799999999989</v>
      </c>
    </row>
    <row r="6" spans="1:26" x14ac:dyDescent="0.3">
      <c r="A6" t="s">
        <v>50</v>
      </c>
      <c r="B6" s="1">
        <v>46118</v>
      </c>
      <c r="C6" t="s">
        <v>51</v>
      </c>
      <c r="D6" t="s">
        <v>2799</v>
      </c>
      <c r="E6" s="1">
        <v>46120</v>
      </c>
      <c r="F6" t="s">
        <v>56</v>
      </c>
      <c r="G6" t="s">
        <v>54</v>
      </c>
      <c r="H6" t="s">
        <v>55</v>
      </c>
      <c r="I6" t="s">
        <v>2625</v>
      </c>
      <c r="J6" t="s">
        <v>2667</v>
      </c>
      <c r="K6" t="s">
        <v>52</v>
      </c>
      <c r="L6">
        <v>65</v>
      </c>
      <c r="M6">
        <v>2</v>
      </c>
      <c r="N6">
        <v>0</v>
      </c>
      <c r="O6" t="s">
        <v>53</v>
      </c>
      <c r="P6" t="s">
        <v>44</v>
      </c>
      <c r="Q6" t="s">
        <v>58</v>
      </c>
      <c r="R6" t="s">
        <v>32</v>
      </c>
      <c r="S6" t="s">
        <v>57</v>
      </c>
      <c r="T6">
        <v>5</v>
      </c>
      <c r="U6">
        <v>679.98</v>
      </c>
      <c r="V6">
        <v>969.66</v>
      </c>
      <c r="W6">
        <v>2</v>
      </c>
      <c r="X6" t="str">
        <f>TEXT(cleaneddata[[#This Row],[Order Date]],"mmm")</f>
        <v>Apr</v>
      </c>
      <c r="Y6">
        <f>cleaneddata[[#This Row],[Unit Price]]*cleaneddata[[#This Row],[Quantity]]*(1-cleaneddata[[#This Row],[Discount %]]/100)</f>
        <v>1359.96</v>
      </c>
      <c r="Z6">
        <f>cleaneddata[[#This Row],[sales]]-cleaneddata[[#This Row],[Cost]]</f>
        <v>390.30000000000007</v>
      </c>
    </row>
    <row r="7" spans="1:26" x14ac:dyDescent="0.3">
      <c r="A7" t="s">
        <v>59</v>
      </c>
      <c r="B7" s="1">
        <v>45869</v>
      </c>
      <c r="C7" t="s">
        <v>60</v>
      </c>
      <c r="D7" t="s">
        <v>3715</v>
      </c>
      <c r="E7" s="1">
        <v>45871</v>
      </c>
      <c r="F7" t="s">
        <v>2617</v>
      </c>
      <c r="G7" t="s">
        <v>27</v>
      </c>
      <c r="H7" t="s">
        <v>28</v>
      </c>
      <c r="I7" t="s">
        <v>2634</v>
      </c>
      <c r="J7" t="s">
        <v>2644</v>
      </c>
      <c r="K7" t="s">
        <v>25</v>
      </c>
      <c r="L7">
        <v>19</v>
      </c>
      <c r="M7">
        <v>2</v>
      </c>
      <c r="N7">
        <v>20</v>
      </c>
      <c r="O7" t="s">
        <v>61</v>
      </c>
      <c r="P7" t="s">
        <v>33</v>
      </c>
      <c r="Q7" t="s">
        <v>31</v>
      </c>
      <c r="R7" t="s">
        <v>62</v>
      </c>
      <c r="S7" t="s">
        <v>30</v>
      </c>
      <c r="T7">
        <v>4</v>
      </c>
      <c r="U7">
        <v>724.19</v>
      </c>
      <c r="V7">
        <v>837.69</v>
      </c>
      <c r="W7">
        <v>2</v>
      </c>
      <c r="X7" t="str">
        <f>TEXT(cleaneddata[[#This Row],[Order Date]],"mmm")</f>
        <v>Jul</v>
      </c>
      <c r="Y7">
        <f>cleaneddata[[#This Row],[Unit Price]]*cleaneddata[[#This Row],[Quantity]]*(1-cleaneddata[[#This Row],[Discount %]]/100)</f>
        <v>1158.7040000000002</v>
      </c>
      <c r="Z7">
        <f>cleaneddata[[#This Row],[sales]]-cleaneddata[[#This Row],[Cost]]</f>
        <v>321.01400000000012</v>
      </c>
    </row>
    <row r="8" spans="1:26" x14ac:dyDescent="0.3">
      <c r="A8" t="s">
        <v>63</v>
      </c>
      <c r="B8" s="1">
        <v>46073</v>
      </c>
      <c r="C8" t="s">
        <v>64</v>
      </c>
      <c r="D8" t="s">
        <v>3714</v>
      </c>
      <c r="E8" s="1">
        <v>46079</v>
      </c>
      <c r="F8" t="s">
        <v>68</v>
      </c>
      <c r="G8" t="s">
        <v>66</v>
      </c>
      <c r="H8" t="s">
        <v>67</v>
      </c>
      <c r="I8" t="s">
        <v>2632</v>
      </c>
      <c r="J8" t="s">
        <v>2645</v>
      </c>
      <c r="K8" t="s">
        <v>25</v>
      </c>
      <c r="L8">
        <v>51</v>
      </c>
      <c r="M8">
        <v>3</v>
      </c>
      <c r="N8">
        <v>30</v>
      </c>
      <c r="O8" t="s">
        <v>65</v>
      </c>
      <c r="P8" t="s">
        <v>33</v>
      </c>
      <c r="Q8" t="s">
        <v>70</v>
      </c>
      <c r="R8" t="s">
        <v>71</v>
      </c>
      <c r="S8" t="s">
        <v>69</v>
      </c>
      <c r="T8">
        <v>4</v>
      </c>
      <c r="U8">
        <v>910.15</v>
      </c>
      <c r="V8">
        <v>967.22</v>
      </c>
      <c r="W8">
        <v>6</v>
      </c>
      <c r="X8" t="str">
        <f>TEXT(cleaneddata[[#This Row],[Order Date]],"mmm")</f>
        <v>Feb</v>
      </c>
      <c r="Y8">
        <f>cleaneddata[[#This Row],[Unit Price]]*cleaneddata[[#This Row],[Quantity]]*(1-cleaneddata[[#This Row],[Discount %]]/100)</f>
        <v>1911.3149999999998</v>
      </c>
      <c r="Z8">
        <f>cleaneddata[[#This Row],[sales]]-cleaneddata[[#This Row],[Cost]]</f>
        <v>944.0949999999998</v>
      </c>
    </row>
    <row r="9" spans="1:26" x14ac:dyDescent="0.3">
      <c r="A9" t="s">
        <v>72</v>
      </c>
      <c r="B9" s="1">
        <v>45397</v>
      </c>
      <c r="C9" t="s">
        <v>73</v>
      </c>
      <c r="D9" t="s">
        <v>3713</v>
      </c>
      <c r="E9" s="1">
        <v>45403</v>
      </c>
      <c r="F9" t="s">
        <v>2617</v>
      </c>
      <c r="G9" t="s">
        <v>27</v>
      </c>
      <c r="H9" t="s">
        <v>28</v>
      </c>
      <c r="I9" t="s">
        <v>2641</v>
      </c>
      <c r="J9" t="s">
        <v>2692</v>
      </c>
      <c r="K9" t="s">
        <v>25</v>
      </c>
      <c r="L9">
        <v>57</v>
      </c>
      <c r="M9">
        <v>3</v>
      </c>
      <c r="N9">
        <v>10</v>
      </c>
      <c r="O9" t="s">
        <v>74</v>
      </c>
      <c r="P9" t="s">
        <v>75</v>
      </c>
      <c r="Q9" t="s">
        <v>42</v>
      </c>
      <c r="R9" t="s">
        <v>71</v>
      </c>
      <c r="S9" t="s">
        <v>30</v>
      </c>
      <c r="T9">
        <v>5</v>
      </c>
      <c r="U9">
        <v>142.16999999999999</v>
      </c>
      <c r="V9">
        <v>197.5</v>
      </c>
      <c r="W9">
        <v>6</v>
      </c>
      <c r="X9" t="str">
        <f>TEXT(cleaneddata[[#This Row],[Order Date]],"mmm")</f>
        <v>Apr</v>
      </c>
      <c r="Y9">
        <f>cleaneddata[[#This Row],[Unit Price]]*cleaneddata[[#This Row],[Quantity]]*(1-cleaneddata[[#This Row],[Discount %]]/100)</f>
        <v>383.85899999999998</v>
      </c>
      <c r="Z9">
        <f>cleaneddata[[#This Row],[sales]]-cleaneddata[[#This Row],[Cost]]</f>
        <v>186.35899999999998</v>
      </c>
    </row>
    <row r="10" spans="1:26" x14ac:dyDescent="0.3">
      <c r="A10" t="s">
        <v>76</v>
      </c>
      <c r="B10" s="1">
        <v>45694</v>
      </c>
      <c r="C10" t="s">
        <v>77</v>
      </c>
      <c r="D10" t="s">
        <v>2798</v>
      </c>
      <c r="E10" s="1">
        <v>45698</v>
      </c>
      <c r="F10" t="s">
        <v>56</v>
      </c>
      <c r="G10" t="s">
        <v>54</v>
      </c>
      <c r="H10" t="s">
        <v>55</v>
      </c>
      <c r="I10" t="s">
        <v>2654</v>
      </c>
      <c r="J10" t="s">
        <v>2702</v>
      </c>
      <c r="K10" t="s">
        <v>25</v>
      </c>
      <c r="L10">
        <v>58</v>
      </c>
      <c r="M10">
        <v>4</v>
      </c>
      <c r="N10">
        <v>30</v>
      </c>
      <c r="O10" t="s">
        <v>78</v>
      </c>
      <c r="P10" t="s">
        <v>75</v>
      </c>
      <c r="Q10" t="s">
        <v>42</v>
      </c>
      <c r="R10" t="s">
        <v>71</v>
      </c>
      <c r="S10" t="s">
        <v>57</v>
      </c>
      <c r="T10">
        <v>2</v>
      </c>
      <c r="U10">
        <v>641.74</v>
      </c>
      <c r="V10">
        <v>1161.71</v>
      </c>
      <c r="W10">
        <v>4</v>
      </c>
      <c r="X10" t="str">
        <f>TEXT(cleaneddata[[#This Row],[Order Date]],"mmm")</f>
        <v>Feb</v>
      </c>
      <c r="Y10">
        <f>cleaneddata[[#This Row],[Unit Price]]*cleaneddata[[#This Row],[Quantity]]*(1-cleaneddata[[#This Row],[Discount %]]/100)</f>
        <v>1796.8719999999998</v>
      </c>
      <c r="Z10">
        <f>cleaneddata[[#This Row],[sales]]-cleaneddata[[#This Row],[Cost]]</f>
        <v>635.16199999999981</v>
      </c>
    </row>
    <row r="11" spans="1:26" x14ac:dyDescent="0.3">
      <c r="A11" t="s">
        <v>79</v>
      </c>
      <c r="B11" s="1">
        <v>45401</v>
      </c>
      <c r="C11" t="s">
        <v>80</v>
      </c>
      <c r="D11" t="s">
        <v>3712</v>
      </c>
      <c r="E11" s="1">
        <v>45408</v>
      </c>
      <c r="F11" t="s">
        <v>56</v>
      </c>
      <c r="G11" t="s">
        <v>54</v>
      </c>
      <c r="H11" t="s">
        <v>55</v>
      </c>
      <c r="I11" t="s">
        <v>2632</v>
      </c>
      <c r="J11" t="s">
        <v>2646</v>
      </c>
      <c r="K11" t="s">
        <v>52</v>
      </c>
      <c r="L11">
        <v>49</v>
      </c>
      <c r="M11">
        <v>1</v>
      </c>
      <c r="N11">
        <v>20</v>
      </c>
      <c r="O11" t="s">
        <v>81</v>
      </c>
      <c r="P11" t="s">
        <v>33</v>
      </c>
      <c r="Q11" t="s">
        <v>70</v>
      </c>
      <c r="R11" t="s">
        <v>62</v>
      </c>
      <c r="S11" t="s">
        <v>57</v>
      </c>
      <c r="T11">
        <v>4</v>
      </c>
      <c r="U11">
        <v>165.15</v>
      </c>
      <c r="V11">
        <v>104.84</v>
      </c>
      <c r="W11">
        <v>7</v>
      </c>
      <c r="X11" t="str">
        <f>TEXT(cleaneddata[[#This Row],[Order Date]],"mmm")</f>
        <v>Apr</v>
      </c>
      <c r="Y11">
        <f>cleaneddata[[#This Row],[Unit Price]]*cleaneddata[[#This Row],[Quantity]]*(1-cleaneddata[[#This Row],[Discount %]]/100)</f>
        <v>132.12</v>
      </c>
      <c r="Z11">
        <f>cleaneddata[[#This Row],[sales]]-cleaneddata[[#This Row],[Cost]]</f>
        <v>27.28</v>
      </c>
    </row>
    <row r="12" spans="1:26" x14ac:dyDescent="0.3">
      <c r="A12" t="s">
        <v>82</v>
      </c>
      <c r="B12" s="1">
        <v>45724</v>
      </c>
      <c r="C12" t="s">
        <v>83</v>
      </c>
      <c r="D12" t="s">
        <v>3711</v>
      </c>
      <c r="E12" s="1">
        <v>45727</v>
      </c>
      <c r="F12" t="s">
        <v>40</v>
      </c>
      <c r="G12" t="s">
        <v>38</v>
      </c>
      <c r="H12" t="s">
        <v>39</v>
      </c>
      <c r="I12" t="s">
        <v>2625</v>
      </c>
      <c r="J12" t="s">
        <v>2703</v>
      </c>
      <c r="K12" t="s">
        <v>52</v>
      </c>
      <c r="L12">
        <v>43</v>
      </c>
      <c r="M12">
        <v>2</v>
      </c>
      <c r="N12">
        <v>20</v>
      </c>
      <c r="O12" t="s">
        <v>84</v>
      </c>
      <c r="P12" t="s">
        <v>44</v>
      </c>
      <c r="Q12" t="s">
        <v>42</v>
      </c>
      <c r="R12" t="s">
        <v>43</v>
      </c>
      <c r="S12" t="s">
        <v>41</v>
      </c>
      <c r="T12">
        <v>2</v>
      </c>
      <c r="U12">
        <v>567.08000000000004</v>
      </c>
      <c r="V12">
        <v>726.07</v>
      </c>
      <c r="W12">
        <v>3</v>
      </c>
      <c r="X12" t="str">
        <f>TEXT(cleaneddata[[#This Row],[Order Date]],"mmm")</f>
        <v>Mar</v>
      </c>
      <c r="Y12">
        <f>cleaneddata[[#This Row],[Unit Price]]*cleaneddata[[#This Row],[Quantity]]*(1-cleaneddata[[#This Row],[Discount %]]/100)</f>
        <v>907.32800000000009</v>
      </c>
      <c r="Z12">
        <f>cleaneddata[[#This Row],[sales]]-cleaneddata[[#This Row],[Cost]]</f>
        <v>181.25800000000004</v>
      </c>
    </row>
    <row r="13" spans="1:26" x14ac:dyDescent="0.3">
      <c r="A13" t="s">
        <v>85</v>
      </c>
      <c r="B13" s="1">
        <v>45376</v>
      </c>
      <c r="C13" t="s">
        <v>86</v>
      </c>
      <c r="D13" t="s">
        <v>3710</v>
      </c>
      <c r="E13" s="1">
        <v>45383</v>
      </c>
      <c r="F13" t="s">
        <v>2617</v>
      </c>
      <c r="G13" t="s">
        <v>27</v>
      </c>
      <c r="H13" t="s">
        <v>28</v>
      </c>
      <c r="I13" t="s">
        <v>2622</v>
      </c>
      <c r="J13" t="s">
        <v>2704</v>
      </c>
      <c r="K13" t="s">
        <v>52</v>
      </c>
      <c r="L13">
        <v>18</v>
      </c>
      <c r="M13">
        <v>3</v>
      </c>
      <c r="N13">
        <v>15</v>
      </c>
      <c r="O13" t="s">
        <v>87</v>
      </c>
      <c r="P13" t="s">
        <v>33</v>
      </c>
      <c r="Q13" t="s">
        <v>58</v>
      </c>
      <c r="R13" t="s">
        <v>71</v>
      </c>
      <c r="S13" t="s">
        <v>30</v>
      </c>
      <c r="T13">
        <v>4</v>
      </c>
      <c r="U13">
        <v>774.08</v>
      </c>
      <c r="V13">
        <v>1359.3</v>
      </c>
      <c r="W13">
        <v>7</v>
      </c>
      <c r="X13" t="str">
        <f>TEXT(cleaneddata[[#This Row],[Order Date]],"mmm")</f>
        <v>Mar</v>
      </c>
      <c r="Y13">
        <f>cleaneddata[[#This Row],[Unit Price]]*cleaneddata[[#This Row],[Quantity]]*(1-cleaneddata[[#This Row],[Discount %]]/100)</f>
        <v>1973.9040000000002</v>
      </c>
      <c r="Z13">
        <f>cleaneddata[[#This Row],[sales]]-cleaneddata[[#This Row],[Cost]]</f>
        <v>614.60400000000027</v>
      </c>
    </row>
    <row r="14" spans="1:26" x14ac:dyDescent="0.3">
      <c r="A14" t="s">
        <v>88</v>
      </c>
      <c r="B14" s="1">
        <v>45854</v>
      </c>
      <c r="C14" t="s">
        <v>89</v>
      </c>
      <c r="D14" t="s">
        <v>3709</v>
      </c>
      <c r="E14" s="1">
        <v>45855</v>
      </c>
      <c r="F14" t="s">
        <v>68</v>
      </c>
      <c r="G14" t="s">
        <v>66</v>
      </c>
      <c r="H14" t="s">
        <v>67</v>
      </c>
      <c r="I14" t="s">
        <v>2629</v>
      </c>
      <c r="J14" t="s">
        <v>2630</v>
      </c>
      <c r="K14" t="s">
        <v>52</v>
      </c>
      <c r="L14">
        <v>29</v>
      </c>
      <c r="M14">
        <v>4</v>
      </c>
      <c r="N14">
        <v>25</v>
      </c>
      <c r="O14" t="s">
        <v>90</v>
      </c>
      <c r="P14" t="s">
        <v>33</v>
      </c>
      <c r="Q14" t="s">
        <v>31</v>
      </c>
      <c r="R14" t="s">
        <v>32</v>
      </c>
      <c r="S14" t="s">
        <v>69</v>
      </c>
      <c r="T14">
        <v>3</v>
      </c>
      <c r="U14">
        <v>551.89</v>
      </c>
      <c r="V14">
        <v>939.41</v>
      </c>
      <c r="W14">
        <v>1</v>
      </c>
      <c r="X14" t="str">
        <f>TEXT(cleaneddata[[#This Row],[Order Date]],"mmm")</f>
        <v>Jul</v>
      </c>
      <c r="Y14">
        <f>cleaneddata[[#This Row],[Unit Price]]*cleaneddata[[#This Row],[Quantity]]*(1-cleaneddata[[#This Row],[Discount %]]/100)</f>
        <v>1655.67</v>
      </c>
      <c r="Z14">
        <f>cleaneddata[[#This Row],[sales]]-cleaneddata[[#This Row],[Cost]]</f>
        <v>716.2600000000001</v>
      </c>
    </row>
    <row r="15" spans="1:26" x14ac:dyDescent="0.3">
      <c r="A15" t="s">
        <v>91</v>
      </c>
      <c r="B15" s="1">
        <v>45639</v>
      </c>
      <c r="C15" t="s">
        <v>92</v>
      </c>
      <c r="D15" t="s">
        <v>3708</v>
      </c>
      <c r="E15" s="1">
        <v>45644</v>
      </c>
      <c r="F15" t="s">
        <v>40</v>
      </c>
      <c r="G15" t="s">
        <v>38</v>
      </c>
      <c r="H15" t="s">
        <v>39</v>
      </c>
      <c r="I15" t="s">
        <v>2637</v>
      </c>
      <c r="J15" t="s">
        <v>2649</v>
      </c>
      <c r="K15" t="s">
        <v>52</v>
      </c>
      <c r="L15">
        <v>62</v>
      </c>
      <c r="M15">
        <v>5</v>
      </c>
      <c r="N15">
        <v>25</v>
      </c>
      <c r="O15" t="s">
        <v>93</v>
      </c>
      <c r="P15" t="s">
        <v>75</v>
      </c>
      <c r="Q15" t="s">
        <v>70</v>
      </c>
      <c r="R15" t="s">
        <v>62</v>
      </c>
      <c r="S15" t="s">
        <v>41</v>
      </c>
      <c r="T15">
        <v>4</v>
      </c>
      <c r="U15">
        <v>346.75</v>
      </c>
      <c r="V15">
        <v>1102.6400000000001</v>
      </c>
      <c r="W15">
        <v>5</v>
      </c>
      <c r="X15" t="str">
        <f>TEXT(cleaneddata[[#This Row],[Order Date]],"mmm")</f>
        <v>Dec</v>
      </c>
      <c r="Y15">
        <f>cleaneddata[[#This Row],[Unit Price]]*cleaneddata[[#This Row],[Quantity]]*(1-cleaneddata[[#This Row],[Discount %]]/100)</f>
        <v>1300.3125</v>
      </c>
      <c r="Z15">
        <f>cleaneddata[[#This Row],[sales]]-cleaneddata[[#This Row],[Cost]]</f>
        <v>197.6724999999999</v>
      </c>
    </row>
    <row r="16" spans="1:26" x14ac:dyDescent="0.3">
      <c r="A16" t="s">
        <v>95</v>
      </c>
      <c r="B16" s="1">
        <v>45955</v>
      </c>
      <c r="C16" t="s">
        <v>96</v>
      </c>
      <c r="D16" t="s">
        <v>3707</v>
      </c>
      <c r="E16" s="1">
        <v>45956</v>
      </c>
      <c r="F16" t="s">
        <v>100</v>
      </c>
      <c r="G16" t="s">
        <v>98</v>
      </c>
      <c r="H16" t="s">
        <v>99</v>
      </c>
      <c r="I16" t="s">
        <v>2623</v>
      </c>
      <c r="J16" t="s">
        <v>2691</v>
      </c>
      <c r="K16" t="s">
        <v>25</v>
      </c>
      <c r="L16">
        <v>38</v>
      </c>
      <c r="M16">
        <v>3</v>
      </c>
      <c r="N16">
        <v>10</v>
      </c>
      <c r="O16" t="s">
        <v>97</v>
      </c>
      <c r="P16" t="s">
        <v>44</v>
      </c>
      <c r="Q16" t="s">
        <v>31</v>
      </c>
      <c r="R16" t="s">
        <v>32</v>
      </c>
      <c r="S16" t="s">
        <v>101</v>
      </c>
      <c r="T16">
        <v>1</v>
      </c>
      <c r="U16">
        <v>790.15</v>
      </c>
      <c r="V16">
        <v>1446.64</v>
      </c>
      <c r="W16">
        <v>1</v>
      </c>
      <c r="X16" t="str">
        <f>TEXT(cleaneddata[[#This Row],[Order Date]],"mmm")</f>
        <v>Oct</v>
      </c>
      <c r="Y16">
        <f>cleaneddata[[#This Row],[Unit Price]]*cleaneddata[[#This Row],[Quantity]]*(1-cleaneddata[[#This Row],[Discount %]]/100)</f>
        <v>2133.4049999999997</v>
      </c>
      <c r="Z16">
        <f>cleaneddata[[#This Row],[sales]]-cleaneddata[[#This Row],[Cost]]</f>
        <v>686.76499999999965</v>
      </c>
    </row>
    <row r="17" spans="1:26" x14ac:dyDescent="0.3">
      <c r="A17" t="s">
        <v>102</v>
      </c>
      <c r="B17" s="1">
        <v>45657</v>
      </c>
      <c r="C17" t="s">
        <v>103</v>
      </c>
      <c r="D17" t="s">
        <v>3706</v>
      </c>
      <c r="E17" s="1">
        <v>45663</v>
      </c>
      <c r="F17" t="s">
        <v>2617</v>
      </c>
      <c r="G17" t="s">
        <v>27</v>
      </c>
      <c r="H17" t="s">
        <v>28</v>
      </c>
      <c r="I17" t="s">
        <v>2625</v>
      </c>
      <c r="J17" t="s">
        <v>2651</v>
      </c>
      <c r="K17" t="s">
        <v>52</v>
      </c>
      <c r="L17">
        <v>26</v>
      </c>
      <c r="M17">
        <v>3</v>
      </c>
      <c r="N17">
        <v>15</v>
      </c>
      <c r="O17" t="s">
        <v>104</v>
      </c>
      <c r="P17" t="s">
        <v>75</v>
      </c>
      <c r="Q17" t="s">
        <v>58</v>
      </c>
      <c r="R17" t="s">
        <v>43</v>
      </c>
      <c r="S17" t="s">
        <v>30</v>
      </c>
      <c r="T17">
        <v>1</v>
      </c>
      <c r="U17">
        <v>358.48</v>
      </c>
      <c r="V17">
        <v>612.88</v>
      </c>
      <c r="W17">
        <v>6</v>
      </c>
      <c r="X17" t="str">
        <f>TEXT(cleaneddata[[#This Row],[Order Date]],"mmm")</f>
        <v>Dec</v>
      </c>
      <c r="Y17">
        <f>cleaneddata[[#This Row],[Unit Price]]*cleaneddata[[#This Row],[Quantity]]*(1-cleaneddata[[#This Row],[Discount %]]/100)</f>
        <v>914.12400000000002</v>
      </c>
      <c r="Z17">
        <f>cleaneddata[[#This Row],[sales]]-cleaneddata[[#This Row],[Cost]]</f>
        <v>301.24400000000003</v>
      </c>
    </row>
    <row r="18" spans="1:26" x14ac:dyDescent="0.3">
      <c r="A18" t="s">
        <v>105</v>
      </c>
      <c r="B18" s="1">
        <v>45590</v>
      </c>
      <c r="C18" t="s">
        <v>106</v>
      </c>
      <c r="D18" t="s">
        <v>3705</v>
      </c>
      <c r="E18" s="1">
        <v>45596</v>
      </c>
      <c r="F18" t="s">
        <v>56</v>
      </c>
      <c r="G18" t="s">
        <v>54</v>
      </c>
      <c r="H18" t="s">
        <v>55</v>
      </c>
      <c r="I18" t="s">
        <v>2622</v>
      </c>
      <c r="J18" t="s">
        <v>2705</v>
      </c>
      <c r="K18" t="s">
        <v>52</v>
      </c>
      <c r="L18">
        <v>27</v>
      </c>
      <c r="M18">
        <v>2</v>
      </c>
      <c r="N18">
        <v>5</v>
      </c>
      <c r="O18" t="s">
        <v>107</v>
      </c>
      <c r="P18" t="s">
        <v>33</v>
      </c>
      <c r="Q18" t="s">
        <v>42</v>
      </c>
      <c r="R18" t="s">
        <v>71</v>
      </c>
      <c r="S18" t="s">
        <v>57</v>
      </c>
      <c r="T18">
        <v>1</v>
      </c>
      <c r="U18">
        <v>377.36</v>
      </c>
      <c r="V18">
        <v>456.96</v>
      </c>
      <c r="W18">
        <v>6</v>
      </c>
      <c r="X18" t="str">
        <f>TEXT(cleaneddata[[#This Row],[Order Date]],"mmm")</f>
        <v>Oct</v>
      </c>
      <c r="Y18">
        <f>cleaneddata[[#This Row],[Unit Price]]*cleaneddata[[#This Row],[Quantity]]*(1-cleaneddata[[#This Row],[Discount %]]/100)</f>
        <v>716.98400000000004</v>
      </c>
      <c r="Z18">
        <f>cleaneddata[[#This Row],[sales]]-cleaneddata[[#This Row],[Cost]]</f>
        <v>260.02400000000006</v>
      </c>
    </row>
    <row r="19" spans="1:26" x14ac:dyDescent="0.3">
      <c r="A19" t="s">
        <v>108</v>
      </c>
      <c r="B19" s="1">
        <v>46153</v>
      </c>
      <c r="C19" t="s">
        <v>109</v>
      </c>
      <c r="D19" t="s">
        <v>3704</v>
      </c>
      <c r="E19" s="1">
        <v>46155</v>
      </c>
      <c r="F19" t="s">
        <v>40</v>
      </c>
      <c r="G19" t="s">
        <v>38</v>
      </c>
      <c r="H19" t="s">
        <v>39</v>
      </c>
      <c r="I19" t="s">
        <v>2622</v>
      </c>
      <c r="J19" t="s">
        <v>2704</v>
      </c>
      <c r="K19" t="s">
        <v>52</v>
      </c>
      <c r="L19">
        <v>39</v>
      </c>
      <c r="M19">
        <v>2</v>
      </c>
      <c r="N19">
        <v>0</v>
      </c>
      <c r="O19" t="s">
        <v>110</v>
      </c>
      <c r="P19" t="s">
        <v>75</v>
      </c>
      <c r="Q19" t="s">
        <v>42</v>
      </c>
      <c r="R19" t="s">
        <v>43</v>
      </c>
      <c r="S19" t="s">
        <v>41</v>
      </c>
      <c r="T19">
        <v>3</v>
      </c>
      <c r="U19">
        <v>764.21</v>
      </c>
      <c r="V19">
        <v>861.38</v>
      </c>
      <c r="W19">
        <v>2</v>
      </c>
      <c r="X19" t="str">
        <f>TEXT(cleaneddata[[#This Row],[Order Date]],"mmm")</f>
        <v>May</v>
      </c>
      <c r="Y19">
        <f>cleaneddata[[#This Row],[Unit Price]]*cleaneddata[[#This Row],[Quantity]]*(1-cleaneddata[[#This Row],[Discount %]]/100)</f>
        <v>1528.42</v>
      </c>
      <c r="Z19">
        <f>cleaneddata[[#This Row],[sales]]-cleaneddata[[#This Row],[Cost]]</f>
        <v>667.04000000000008</v>
      </c>
    </row>
    <row r="20" spans="1:26" x14ac:dyDescent="0.3">
      <c r="A20" t="s">
        <v>111</v>
      </c>
      <c r="B20" s="1">
        <v>45990</v>
      </c>
      <c r="C20" t="s">
        <v>112</v>
      </c>
      <c r="D20" t="s">
        <v>3703</v>
      </c>
      <c r="E20" s="1">
        <v>45991</v>
      </c>
      <c r="F20" t="s">
        <v>115</v>
      </c>
      <c r="G20" t="s">
        <v>66</v>
      </c>
      <c r="H20" t="s">
        <v>114</v>
      </c>
      <c r="I20" t="s">
        <v>2647</v>
      </c>
      <c r="J20" t="s">
        <v>2658</v>
      </c>
      <c r="K20" t="s">
        <v>52</v>
      </c>
      <c r="L20">
        <v>55</v>
      </c>
      <c r="M20">
        <v>3</v>
      </c>
      <c r="N20">
        <v>15</v>
      </c>
      <c r="O20" t="s">
        <v>113</v>
      </c>
      <c r="P20" t="s">
        <v>33</v>
      </c>
      <c r="Q20" t="s">
        <v>117</v>
      </c>
      <c r="R20" t="s">
        <v>32</v>
      </c>
      <c r="S20" t="s">
        <v>116</v>
      </c>
      <c r="T20">
        <v>1</v>
      </c>
      <c r="U20">
        <v>381.26</v>
      </c>
      <c r="V20">
        <v>652.4</v>
      </c>
      <c r="W20">
        <v>1</v>
      </c>
      <c r="X20" t="str">
        <f>TEXT(cleaneddata[[#This Row],[Order Date]],"mmm")</f>
        <v>Nov</v>
      </c>
      <c r="Y20">
        <f>cleaneddata[[#This Row],[Unit Price]]*cleaneddata[[#This Row],[Quantity]]*(1-cleaneddata[[#This Row],[Discount %]]/100)</f>
        <v>972.21299999999997</v>
      </c>
      <c r="Z20">
        <f>cleaneddata[[#This Row],[sales]]-cleaneddata[[#This Row],[Cost]]</f>
        <v>319.81299999999999</v>
      </c>
    </row>
    <row r="21" spans="1:26" x14ac:dyDescent="0.3">
      <c r="A21" t="s">
        <v>118</v>
      </c>
      <c r="B21" s="1">
        <v>45841</v>
      </c>
      <c r="C21" t="s">
        <v>119</v>
      </c>
      <c r="D21" t="s">
        <v>3702</v>
      </c>
      <c r="E21" s="1">
        <v>45843</v>
      </c>
      <c r="F21" t="s">
        <v>122</v>
      </c>
      <c r="G21" t="s">
        <v>120</v>
      </c>
      <c r="H21" t="s">
        <v>121</v>
      </c>
      <c r="I21" t="s">
        <v>2661</v>
      </c>
      <c r="J21" t="s">
        <v>2662</v>
      </c>
      <c r="K21" t="s">
        <v>52</v>
      </c>
      <c r="L21">
        <v>64</v>
      </c>
      <c r="M21">
        <v>4</v>
      </c>
      <c r="N21">
        <v>10</v>
      </c>
      <c r="O21" t="s">
        <v>48</v>
      </c>
      <c r="P21" t="s">
        <v>75</v>
      </c>
      <c r="Q21" t="s">
        <v>58</v>
      </c>
      <c r="R21" t="s">
        <v>32</v>
      </c>
      <c r="S21" t="s">
        <v>123</v>
      </c>
      <c r="T21">
        <v>2</v>
      </c>
      <c r="U21">
        <v>491.42</v>
      </c>
      <c r="V21">
        <v>1374.6</v>
      </c>
      <c r="W21">
        <v>2</v>
      </c>
      <c r="X21" t="str">
        <f>TEXT(cleaneddata[[#This Row],[Order Date]],"mmm")</f>
        <v>Jul</v>
      </c>
      <c r="Y21">
        <f>cleaneddata[[#This Row],[Unit Price]]*cleaneddata[[#This Row],[Quantity]]*(1-cleaneddata[[#This Row],[Discount %]]/100)</f>
        <v>1769.1120000000001</v>
      </c>
      <c r="Z21">
        <f>cleaneddata[[#This Row],[sales]]-cleaneddata[[#This Row],[Cost]]</f>
        <v>394.51200000000017</v>
      </c>
    </row>
    <row r="22" spans="1:26" x14ac:dyDescent="0.3">
      <c r="A22" t="s">
        <v>124</v>
      </c>
      <c r="B22" s="1">
        <v>45644</v>
      </c>
      <c r="C22" t="s">
        <v>125</v>
      </c>
      <c r="D22" t="s">
        <v>3701</v>
      </c>
      <c r="E22" s="1">
        <v>45647</v>
      </c>
      <c r="F22" t="s">
        <v>128</v>
      </c>
      <c r="G22" t="s">
        <v>98</v>
      </c>
      <c r="H22" t="s">
        <v>127</v>
      </c>
      <c r="I22" t="s">
        <v>2634</v>
      </c>
      <c r="J22" t="s">
        <v>2644</v>
      </c>
      <c r="K22" t="s">
        <v>52</v>
      </c>
      <c r="L22">
        <v>56</v>
      </c>
      <c r="M22">
        <v>5</v>
      </c>
      <c r="N22">
        <v>5</v>
      </c>
      <c r="O22" t="s">
        <v>126</v>
      </c>
      <c r="P22" t="s">
        <v>75</v>
      </c>
      <c r="Q22" t="s">
        <v>70</v>
      </c>
      <c r="R22" t="s">
        <v>71</v>
      </c>
      <c r="S22" t="s">
        <v>129</v>
      </c>
      <c r="T22">
        <v>3</v>
      </c>
      <c r="U22">
        <v>799.49</v>
      </c>
      <c r="V22">
        <v>2670.77</v>
      </c>
      <c r="W22">
        <v>3</v>
      </c>
      <c r="X22" t="str">
        <f>TEXT(cleaneddata[[#This Row],[Order Date]],"mmm")</f>
        <v>Dec</v>
      </c>
      <c r="Y22">
        <f>cleaneddata[[#This Row],[Unit Price]]*cleaneddata[[#This Row],[Quantity]]*(1-cleaneddata[[#This Row],[Discount %]]/100)</f>
        <v>3797.5774999999999</v>
      </c>
      <c r="Z22">
        <f>cleaneddata[[#This Row],[sales]]-cleaneddata[[#This Row],[Cost]]</f>
        <v>1126.8074999999999</v>
      </c>
    </row>
    <row r="23" spans="1:26" x14ac:dyDescent="0.3">
      <c r="A23" t="s">
        <v>130</v>
      </c>
      <c r="B23" s="1">
        <v>45909</v>
      </c>
      <c r="C23" t="s">
        <v>131</v>
      </c>
      <c r="D23" t="s">
        <v>3700</v>
      </c>
      <c r="E23" s="1">
        <v>45915</v>
      </c>
      <c r="F23" t="s">
        <v>100</v>
      </c>
      <c r="G23" t="s">
        <v>98</v>
      </c>
      <c r="H23" t="s">
        <v>99</v>
      </c>
      <c r="I23" t="s">
        <v>2652</v>
      </c>
      <c r="J23" t="s">
        <v>2653</v>
      </c>
      <c r="K23" t="s">
        <v>25</v>
      </c>
      <c r="L23">
        <v>52</v>
      </c>
      <c r="M23">
        <v>3</v>
      </c>
      <c r="N23">
        <v>5</v>
      </c>
      <c r="O23" t="s">
        <v>132</v>
      </c>
      <c r="P23" t="s">
        <v>75</v>
      </c>
      <c r="Q23" t="s">
        <v>31</v>
      </c>
      <c r="R23" t="s">
        <v>71</v>
      </c>
      <c r="S23" t="s">
        <v>101</v>
      </c>
      <c r="T23">
        <v>2</v>
      </c>
      <c r="U23">
        <v>812.35</v>
      </c>
      <c r="V23">
        <v>1879.78</v>
      </c>
      <c r="W23">
        <v>6</v>
      </c>
      <c r="X23" t="str">
        <f>TEXT(cleaneddata[[#This Row],[Order Date]],"mmm")</f>
        <v>Sep</v>
      </c>
      <c r="Y23">
        <f>cleaneddata[[#This Row],[Unit Price]]*cleaneddata[[#This Row],[Quantity]]*(1-cleaneddata[[#This Row],[Discount %]]/100)</f>
        <v>2315.1975000000002</v>
      </c>
      <c r="Z23">
        <f>cleaneddata[[#This Row],[sales]]-cleaneddata[[#This Row],[Cost]]</f>
        <v>435.41750000000025</v>
      </c>
    </row>
    <row r="24" spans="1:26" x14ac:dyDescent="0.3">
      <c r="A24" t="s">
        <v>133</v>
      </c>
      <c r="B24" s="1">
        <v>46089</v>
      </c>
      <c r="C24" t="s">
        <v>134</v>
      </c>
      <c r="D24" t="s">
        <v>3699</v>
      </c>
      <c r="E24" s="1">
        <v>46094</v>
      </c>
      <c r="F24" t="s">
        <v>56</v>
      </c>
      <c r="G24" t="s">
        <v>54</v>
      </c>
      <c r="H24" t="s">
        <v>55</v>
      </c>
      <c r="I24" t="s">
        <v>2622</v>
      </c>
      <c r="J24" t="s">
        <v>2622</v>
      </c>
      <c r="K24" t="s">
        <v>25</v>
      </c>
      <c r="L24">
        <v>27</v>
      </c>
      <c r="M24">
        <v>3</v>
      </c>
      <c r="N24">
        <v>15</v>
      </c>
      <c r="O24" t="s">
        <v>135</v>
      </c>
      <c r="P24" t="s">
        <v>44</v>
      </c>
      <c r="Q24" t="s">
        <v>58</v>
      </c>
      <c r="R24" t="s">
        <v>62</v>
      </c>
      <c r="S24" t="s">
        <v>57</v>
      </c>
      <c r="T24">
        <v>3</v>
      </c>
      <c r="U24">
        <v>186.96</v>
      </c>
      <c r="V24">
        <v>367.8</v>
      </c>
      <c r="W24">
        <v>5</v>
      </c>
      <c r="X24" t="str">
        <f>TEXT(cleaneddata[[#This Row],[Order Date]],"mmm")</f>
        <v>Mar</v>
      </c>
      <c r="Y24">
        <f>cleaneddata[[#This Row],[Unit Price]]*cleaneddata[[#This Row],[Quantity]]*(1-cleaneddata[[#This Row],[Discount %]]/100)</f>
        <v>476.74799999999999</v>
      </c>
      <c r="Z24">
        <f>cleaneddata[[#This Row],[sales]]-cleaneddata[[#This Row],[Cost]]</f>
        <v>108.94799999999998</v>
      </c>
    </row>
    <row r="25" spans="1:26" x14ac:dyDescent="0.3">
      <c r="A25" t="s">
        <v>136</v>
      </c>
      <c r="B25" s="1">
        <v>45711</v>
      </c>
      <c r="C25" t="s">
        <v>137</v>
      </c>
      <c r="D25" t="s">
        <v>3698</v>
      </c>
      <c r="E25" s="1">
        <v>45716</v>
      </c>
      <c r="F25" t="s">
        <v>140</v>
      </c>
      <c r="G25" t="s">
        <v>38</v>
      </c>
      <c r="H25" t="s">
        <v>139</v>
      </c>
      <c r="I25" t="s">
        <v>2641</v>
      </c>
      <c r="J25" t="s">
        <v>2642</v>
      </c>
      <c r="K25" t="s">
        <v>25</v>
      </c>
      <c r="L25">
        <v>36</v>
      </c>
      <c r="M25">
        <v>2</v>
      </c>
      <c r="N25">
        <v>10</v>
      </c>
      <c r="O25" t="s">
        <v>138</v>
      </c>
      <c r="P25" t="s">
        <v>33</v>
      </c>
      <c r="Q25" t="s">
        <v>58</v>
      </c>
      <c r="R25" t="s">
        <v>32</v>
      </c>
      <c r="S25" t="s">
        <v>141</v>
      </c>
      <c r="T25">
        <v>2</v>
      </c>
      <c r="U25">
        <v>520.71</v>
      </c>
      <c r="V25">
        <v>649.54999999999995</v>
      </c>
      <c r="W25">
        <v>5</v>
      </c>
      <c r="X25" t="str">
        <f>TEXT(cleaneddata[[#This Row],[Order Date]],"mmm")</f>
        <v>Feb</v>
      </c>
      <c r="Y25">
        <f>cleaneddata[[#This Row],[Unit Price]]*cleaneddata[[#This Row],[Quantity]]*(1-cleaneddata[[#This Row],[Discount %]]/100)</f>
        <v>937.27800000000013</v>
      </c>
      <c r="Z25">
        <f>cleaneddata[[#This Row],[sales]]-cleaneddata[[#This Row],[Cost]]</f>
        <v>287.72800000000018</v>
      </c>
    </row>
    <row r="26" spans="1:26" x14ac:dyDescent="0.3">
      <c r="A26" t="s">
        <v>142</v>
      </c>
      <c r="B26" s="1">
        <v>45679</v>
      </c>
      <c r="C26" t="s">
        <v>143</v>
      </c>
      <c r="D26" t="s">
        <v>3697</v>
      </c>
      <c r="E26" s="1">
        <v>45684</v>
      </c>
      <c r="F26" t="s">
        <v>100</v>
      </c>
      <c r="G26" t="s">
        <v>98</v>
      </c>
      <c r="H26" t="s">
        <v>99</v>
      </c>
      <c r="I26" t="s">
        <v>2623</v>
      </c>
      <c r="J26" t="s">
        <v>2696</v>
      </c>
      <c r="K26" t="s">
        <v>25</v>
      </c>
      <c r="L26">
        <v>60</v>
      </c>
      <c r="M26">
        <v>3</v>
      </c>
      <c r="N26">
        <v>15</v>
      </c>
      <c r="O26" t="s">
        <v>144</v>
      </c>
      <c r="P26" t="s">
        <v>44</v>
      </c>
      <c r="Q26" t="s">
        <v>42</v>
      </c>
      <c r="R26" t="s">
        <v>32</v>
      </c>
      <c r="S26" t="s">
        <v>101</v>
      </c>
      <c r="T26">
        <v>5</v>
      </c>
      <c r="U26">
        <v>332.83</v>
      </c>
      <c r="V26">
        <v>461.86</v>
      </c>
      <c r="W26">
        <v>5</v>
      </c>
      <c r="X26" t="str">
        <f>TEXT(cleaneddata[[#This Row],[Order Date]],"mmm")</f>
        <v>Jan</v>
      </c>
      <c r="Y26">
        <f>cleaneddata[[#This Row],[Unit Price]]*cleaneddata[[#This Row],[Quantity]]*(1-cleaneddata[[#This Row],[Discount %]]/100)</f>
        <v>848.7165</v>
      </c>
      <c r="Z26">
        <f>cleaneddata[[#This Row],[sales]]-cleaneddata[[#This Row],[Cost]]</f>
        <v>386.85649999999998</v>
      </c>
    </row>
    <row r="27" spans="1:26" x14ac:dyDescent="0.3">
      <c r="A27" t="s">
        <v>145</v>
      </c>
      <c r="B27" s="1">
        <v>45990</v>
      </c>
      <c r="C27" t="s">
        <v>146</v>
      </c>
      <c r="D27" t="s">
        <v>3696</v>
      </c>
      <c r="E27" s="1">
        <v>45995</v>
      </c>
      <c r="F27" t="s">
        <v>2617</v>
      </c>
      <c r="G27" t="s">
        <v>27</v>
      </c>
      <c r="H27" t="s">
        <v>28</v>
      </c>
      <c r="I27" t="s">
        <v>2622</v>
      </c>
      <c r="J27" t="s">
        <v>2686</v>
      </c>
      <c r="K27" t="s">
        <v>25</v>
      </c>
      <c r="L27">
        <v>57</v>
      </c>
      <c r="M27">
        <v>5</v>
      </c>
      <c r="N27">
        <v>5</v>
      </c>
      <c r="O27" t="s">
        <v>147</v>
      </c>
      <c r="P27" t="s">
        <v>44</v>
      </c>
      <c r="Q27" t="s">
        <v>70</v>
      </c>
      <c r="R27" t="s">
        <v>43</v>
      </c>
      <c r="S27" t="s">
        <v>30</v>
      </c>
      <c r="T27">
        <v>4</v>
      </c>
      <c r="U27">
        <v>247.29</v>
      </c>
      <c r="V27">
        <v>751.1</v>
      </c>
      <c r="W27">
        <v>5</v>
      </c>
      <c r="X27" t="str">
        <f>TEXT(cleaneddata[[#This Row],[Order Date]],"mmm")</f>
        <v>Nov</v>
      </c>
      <c r="Y27">
        <f>cleaneddata[[#This Row],[Unit Price]]*cleaneddata[[#This Row],[Quantity]]*(1-cleaneddata[[#This Row],[Discount %]]/100)</f>
        <v>1174.6275000000001</v>
      </c>
      <c r="Z27">
        <f>cleaneddata[[#This Row],[sales]]-cleaneddata[[#This Row],[Cost]]</f>
        <v>423.52750000000003</v>
      </c>
    </row>
    <row r="28" spans="1:26" x14ac:dyDescent="0.3">
      <c r="A28" t="s">
        <v>148</v>
      </c>
      <c r="B28" s="1">
        <v>45624</v>
      </c>
      <c r="C28" t="s">
        <v>149</v>
      </c>
      <c r="D28" t="s">
        <v>3695</v>
      </c>
      <c r="E28" s="1">
        <v>45626</v>
      </c>
      <c r="F28" t="s">
        <v>122</v>
      </c>
      <c r="G28" t="s">
        <v>120</v>
      </c>
      <c r="H28" t="s">
        <v>121</v>
      </c>
      <c r="I28" t="s">
        <v>2625</v>
      </c>
      <c r="J28" t="s">
        <v>2703</v>
      </c>
      <c r="K28" t="s">
        <v>25</v>
      </c>
      <c r="L28">
        <v>22</v>
      </c>
      <c r="M28">
        <v>5</v>
      </c>
      <c r="N28">
        <v>5</v>
      </c>
      <c r="O28" t="s">
        <v>150</v>
      </c>
      <c r="P28" t="s">
        <v>75</v>
      </c>
      <c r="Q28" t="s">
        <v>42</v>
      </c>
      <c r="R28" t="s">
        <v>43</v>
      </c>
      <c r="S28" t="s">
        <v>123</v>
      </c>
      <c r="T28">
        <v>2</v>
      </c>
      <c r="U28">
        <v>930.57</v>
      </c>
      <c r="V28">
        <v>3376.63</v>
      </c>
      <c r="W28">
        <v>2</v>
      </c>
      <c r="X28" t="str">
        <f>TEXT(cleaneddata[[#This Row],[Order Date]],"mmm")</f>
        <v>Nov</v>
      </c>
      <c r="Y28">
        <f>cleaneddata[[#This Row],[Unit Price]]*cleaneddata[[#This Row],[Quantity]]*(1-cleaneddata[[#This Row],[Discount %]]/100)</f>
        <v>4420.2075000000004</v>
      </c>
      <c r="Z28">
        <f>cleaneddata[[#This Row],[sales]]-cleaneddata[[#This Row],[Cost]]</f>
        <v>1043.5775000000003</v>
      </c>
    </row>
    <row r="29" spans="1:26" x14ac:dyDescent="0.3">
      <c r="A29" t="s">
        <v>151</v>
      </c>
      <c r="B29" s="1">
        <v>46160</v>
      </c>
      <c r="C29" t="s">
        <v>152</v>
      </c>
      <c r="D29" t="s">
        <v>3694</v>
      </c>
      <c r="E29" s="1">
        <v>46164</v>
      </c>
      <c r="F29" t="s">
        <v>2617</v>
      </c>
      <c r="G29" t="s">
        <v>27</v>
      </c>
      <c r="H29" t="s">
        <v>28</v>
      </c>
      <c r="I29" t="s">
        <v>2652</v>
      </c>
      <c r="J29" t="s">
        <v>2688</v>
      </c>
      <c r="K29" t="s">
        <v>52</v>
      </c>
      <c r="L29">
        <v>29</v>
      </c>
      <c r="M29">
        <v>3</v>
      </c>
      <c r="N29">
        <v>5</v>
      </c>
      <c r="O29" t="s">
        <v>153</v>
      </c>
      <c r="P29" t="s">
        <v>75</v>
      </c>
      <c r="Q29" t="s">
        <v>42</v>
      </c>
      <c r="R29" t="s">
        <v>71</v>
      </c>
      <c r="S29" t="s">
        <v>30</v>
      </c>
      <c r="T29">
        <v>4</v>
      </c>
      <c r="U29">
        <v>497.17</v>
      </c>
      <c r="V29">
        <v>1135.4000000000001</v>
      </c>
      <c r="W29">
        <v>4</v>
      </c>
      <c r="X29" t="str">
        <f>TEXT(cleaneddata[[#This Row],[Order Date]],"mmm")</f>
        <v>May</v>
      </c>
      <c r="Y29">
        <f>cleaneddata[[#This Row],[Unit Price]]*cleaneddata[[#This Row],[Quantity]]*(1-cleaneddata[[#This Row],[Discount %]]/100)</f>
        <v>1416.9344999999998</v>
      </c>
      <c r="Z29">
        <f>cleaneddata[[#This Row],[sales]]-cleaneddata[[#This Row],[Cost]]</f>
        <v>281.53449999999975</v>
      </c>
    </row>
    <row r="30" spans="1:26" x14ac:dyDescent="0.3">
      <c r="A30" t="s">
        <v>154</v>
      </c>
      <c r="B30" s="1">
        <v>45903</v>
      </c>
      <c r="C30" t="s">
        <v>155</v>
      </c>
      <c r="D30" t="s">
        <v>3693</v>
      </c>
      <c r="E30" s="1">
        <v>45907</v>
      </c>
      <c r="F30" t="s">
        <v>100</v>
      </c>
      <c r="G30" t="s">
        <v>98</v>
      </c>
      <c r="H30" t="s">
        <v>99</v>
      </c>
      <c r="I30" t="s">
        <v>2625</v>
      </c>
      <c r="J30" t="s">
        <v>2626</v>
      </c>
      <c r="K30" t="s">
        <v>52</v>
      </c>
      <c r="L30">
        <v>18</v>
      </c>
      <c r="M30">
        <v>5</v>
      </c>
      <c r="N30">
        <v>0</v>
      </c>
      <c r="O30" t="s">
        <v>156</v>
      </c>
      <c r="P30" t="s">
        <v>75</v>
      </c>
      <c r="Q30" t="s">
        <v>70</v>
      </c>
      <c r="R30" t="s">
        <v>71</v>
      </c>
      <c r="S30" t="s">
        <v>101</v>
      </c>
      <c r="T30">
        <v>3</v>
      </c>
      <c r="U30">
        <v>591.13</v>
      </c>
      <c r="V30">
        <v>2341.56</v>
      </c>
      <c r="W30">
        <v>4</v>
      </c>
      <c r="X30" t="str">
        <f>TEXT(cleaneddata[[#This Row],[Order Date]],"mmm")</f>
        <v>Sep</v>
      </c>
      <c r="Y30">
        <f>cleaneddata[[#This Row],[Unit Price]]*cleaneddata[[#This Row],[Quantity]]*(1-cleaneddata[[#This Row],[Discount %]]/100)</f>
        <v>2955.65</v>
      </c>
      <c r="Z30">
        <f>cleaneddata[[#This Row],[sales]]-cleaneddata[[#This Row],[Cost]]</f>
        <v>614.09000000000015</v>
      </c>
    </row>
    <row r="31" spans="1:26" x14ac:dyDescent="0.3">
      <c r="A31" t="s">
        <v>157</v>
      </c>
      <c r="B31" s="1">
        <v>46040</v>
      </c>
      <c r="C31" t="s">
        <v>158</v>
      </c>
      <c r="D31" t="s">
        <v>3692</v>
      </c>
      <c r="E31" s="1">
        <v>46046</v>
      </c>
      <c r="F31" t="s">
        <v>40</v>
      </c>
      <c r="G31" t="s">
        <v>38</v>
      </c>
      <c r="H31" t="s">
        <v>39</v>
      </c>
      <c r="I31" t="s">
        <v>2652</v>
      </c>
      <c r="J31" t="s">
        <v>2706</v>
      </c>
      <c r="K31" t="s">
        <v>52</v>
      </c>
      <c r="L31">
        <v>23</v>
      </c>
      <c r="M31">
        <v>4</v>
      </c>
      <c r="N31">
        <v>25</v>
      </c>
      <c r="O31" t="s">
        <v>159</v>
      </c>
      <c r="P31" t="s">
        <v>75</v>
      </c>
      <c r="Q31" t="s">
        <v>31</v>
      </c>
      <c r="R31" t="s">
        <v>62</v>
      </c>
      <c r="S31" t="s">
        <v>41</v>
      </c>
      <c r="T31">
        <v>1</v>
      </c>
      <c r="U31">
        <v>428.34</v>
      </c>
      <c r="V31">
        <v>769.65</v>
      </c>
      <c r="W31">
        <v>6</v>
      </c>
      <c r="X31" t="str">
        <f>TEXT(cleaneddata[[#This Row],[Order Date]],"mmm")</f>
        <v>Jan</v>
      </c>
      <c r="Y31">
        <f>cleaneddata[[#This Row],[Unit Price]]*cleaneddata[[#This Row],[Quantity]]*(1-cleaneddata[[#This Row],[Discount %]]/100)</f>
        <v>1285.02</v>
      </c>
      <c r="Z31">
        <f>cleaneddata[[#This Row],[sales]]-cleaneddata[[#This Row],[Cost]]</f>
        <v>515.37</v>
      </c>
    </row>
    <row r="32" spans="1:26" x14ac:dyDescent="0.3">
      <c r="A32" t="s">
        <v>160</v>
      </c>
      <c r="B32" s="1">
        <v>45849</v>
      </c>
      <c r="C32" t="s">
        <v>161</v>
      </c>
      <c r="D32" t="s">
        <v>3691</v>
      </c>
      <c r="E32" s="1">
        <v>45856</v>
      </c>
      <c r="F32" t="s">
        <v>122</v>
      </c>
      <c r="G32" t="s">
        <v>120</v>
      </c>
      <c r="H32" t="s">
        <v>121</v>
      </c>
      <c r="I32" t="s">
        <v>2622</v>
      </c>
      <c r="J32" t="s">
        <v>2686</v>
      </c>
      <c r="K32" t="s">
        <v>52</v>
      </c>
      <c r="L32">
        <v>47</v>
      </c>
      <c r="M32">
        <v>4</v>
      </c>
      <c r="N32">
        <v>20</v>
      </c>
      <c r="O32" t="s">
        <v>162</v>
      </c>
      <c r="P32" t="s">
        <v>75</v>
      </c>
      <c r="Q32" t="s">
        <v>42</v>
      </c>
      <c r="R32" t="s">
        <v>43</v>
      </c>
      <c r="S32" t="s">
        <v>123</v>
      </c>
      <c r="T32">
        <v>2</v>
      </c>
      <c r="U32">
        <v>651.26</v>
      </c>
      <c r="V32">
        <v>1648.62</v>
      </c>
      <c r="W32">
        <v>7</v>
      </c>
      <c r="X32" t="str">
        <f>TEXT(cleaneddata[[#This Row],[Order Date]],"mmm")</f>
        <v>Jul</v>
      </c>
      <c r="Y32">
        <f>cleaneddata[[#This Row],[Unit Price]]*cleaneddata[[#This Row],[Quantity]]*(1-cleaneddata[[#This Row],[Discount %]]/100)</f>
        <v>2084.0320000000002</v>
      </c>
      <c r="Z32">
        <f>cleaneddata[[#This Row],[sales]]-cleaneddata[[#This Row],[Cost]]</f>
        <v>435.41200000000026</v>
      </c>
    </row>
    <row r="33" spans="1:26" x14ac:dyDescent="0.3">
      <c r="A33" t="s">
        <v>163</v>
      </c>
      <c r="B33" s="1">
        <v>45378</v>
      </c>
      <c r="C33" t="s">
        <v>164</v>
      </c>
      <c r="D33" t="s">
        <v>3690</v>
      </c>
      <c r="E33" s="1">
        <v>45382</v>
      </c>
      <c r="F33" t="s">
        <v>122</v>
      </c>
      <c r="G33" t="s">
        <v>120</v>
      </c>
      <c r="H33" t="s">
        <v>121</v>
      </c>
      <c r="I33" t="s">
        <v>2679</v>
      </c>
      <c r="J33" t="s">
        <v>2707</v>
      </c>
      <c r="K33" t="s">
        <v>25</v>
      </c>
      <c r="L33">
        <v>41</v>
      </c>
      <c r="M33">
        <v>1</v>
      </c>
      <c r="N33">
        <v>30</v>
      </c>
      <c r="O33" t="s">
        <v>165</v>
      </c>
      <c r="P33" t="s">
        <v>33</v>
      </c>
      <c r="Q33" t="s">
        <v>70</v>
      </c>
      <c r="R33" t="s">
        <v>71</v>
      </c>
      <c r="S33" t="s">
        <v>123</v>
      </c>
      <c r="T33">
        <v>1</v>
      </c>
      <c r="U33">
        <v>791.86</v>
      </c>
      <c r="V33">
        <v>373.19</v>
      </c>
      <c r="W33">
        <v>4</v>
      </c>
      <c r="X33" t="str">
        <f>TEXT(cleaneddata[[#This Row],[Order Date]],"mmm")</f>
        <v>Mar</v>
      </c>
      <c r="Y33">
        <f>cleaneddata[[#This Row],[Unit Price]]*cleaneddata[[#This Row],[Quantity]]*(1-cleaneddata[[#This Row],[Discount %]]/100)</f>
        <v>554.30200000000002</v>
      </c>
      <c r="Z33">
        <f>cleaneddata[[#This Row],[sales]]-cleaneddata[[#This Row],[Cost]]</f>
        <v>181.11200000000002</v>
      </c>
    </row>
    <row r="34" spans="1:26" x14ac:dyDescent="0.3">
      <c r="A34" t="s">
        <v>166</v>
      </c>
      <c r="B34" s="1">
        <v>45604</v>
      </c>
      <c r="C34" t="s">
        <v>167</v>
      </c>
      <c r="D34" t="s">
        <v>3689</v>
      </c>
      <c r="E34" s="1">
        <v>45607</v>
      </c>
      <c r="F34" t="s">
        <v>122</v>
      </c>
      <c r="G34" t="s">
        <v>120</v>
      </c>
      <c r="H34" t="s">
        <v>121</v>
      </c>
      <c r="I34" t="s">
        <v>2625</v>
      </c>
      <c r="J34" t="s">
        <v>2703</v>
      </c>
      <c r="K34" t="s">
        <v>25</v>
      </c>
      <c r="L34">
        <v>48</v>
      </c>
      <c r="M34">
        <v>1</v>
      </c>
      <c r="N34">
        <v>20</v>
      </c>
      <c r="O34" t="s">
        <v>168</v>
      </c>
      <c r="P34" t="s">
        <v>44</v>
      </c>
      <c r="Q34" t="s">
        <v>58</v>
      </c>
      <c r="R34" t="s">
        <v>62</v>
      </c>
      <c r="S34" t="s">
        <v>123</v>
      </c>
      <c r="T34">
        <v>4</v>
      </c>
      <c r="U34">
        <v>997.49</v>
      </c>
      <c r="V34">
        <v>487.84</v>
      </c>
      <c r="W34">
        <v>3</v>
      </c>
      <c r="X34" t="str">
        <f>TEXT(cleaneddata[[#This Row],[Order Date]],"mmm")</f>
        <v>Nov</v>
      </c>
      <c r="Y34">
        <f>cleaneddata[[#This Row],[Unit Price]]*cleaneddata[[#This Row],[Quantity]]*(1-cleaneddata[[#This Row],[Discount %]]/100)</f>
        <v>797.99200000000008</v>
      </c>
      <c r="Z34">
        <f>cleaneddata[[#This Row],[sales]]-cleaneddata[[#This Row],[Cost]]</f>
        <v>310.1520000000001</v>
      </c>
    </row>
    <row r="35" spans="1:26" x14ac:dyDescent="0.3">
      <c r="A35" t="s">
        <v>169</v>
      </c>
      <c r="B35" s="1">
        <v>45588</v>
      </c>
      <c r="C35" t="s">
        <v>170</v>
      </c>
      <c r="D35" t="s">
        <v>3688</v>
      </c>
      <c r="E35" s="1">
        <v>45594</v>
      </c>
      <c r="F35" t="s">
        <v>122</v>
      </c>
      <c r="G35" t="s">
        <v>120</v>
      </c>
      <c r="H35" t="s">
        <v>121</v>
      </c>
      <c r="I35" t="s">
        <v>2634</v>
      </c>
      <c r="J35" t="s">
        <v>2650</v>
      </c>
      <c r="K35" t="s">
        <v>25</v>
      </c>
      <c r="L35">
        <v>23</v>
      </c>
      <c r="M35">
        <v>4</v>
      </c>
      <c r="N35">
        <v>15</v>
      </c>
      <c r="O35" t="s">
        <v>171</v>
      </c>
      <c r="P35" t="s">
        <v>44</v>
      </c>
      <c r="Q35" t="s">
        <v>58</v>
      </c>
      <c r="R35" t="s">
        <v>71</v>
      </c>
      <c r="S35" t="s">
        <v>123</v>
      </c>
      <c r="T35">
        <v>1</v>
      </c>
      <c r="U35">
        <v>161.28</v>
      </c>
      <c r="V35">
        <v>383.12</v>
      </c>
      <c r="W35">
        <v>6</v>
      </c>
      <c r="X35" t="str">
        <f>TEXT(cleaneddata[[#This Row],[Order Date]],"mmm")</f>
        <v>Oct</v>
      </c>
      <c r="Y35">
        <f>cleaneddata[[#This Row],[Unit Price]]*cleaneddata[[#This Row],[Quantity]]*(1-cleaneddata[[#This Row],[Discount %]]/100)</f>
        <v>548.35199999999998</v>
      </c>
      <c r="Z35">
        <f>cleaneddata[[#This Row],[sales]]-cleaneddata[[#This Row],[Cost]]</f>
        <v>165.23199999999997</v>
      </c>
    </row>
    <row r="36" spans="1:26" x14ac:dyDescent="0.3">
      <c r="A36" t="s">
        <v>172</v>
      </c>
      <c r="B36" s="1">
        <v>46054</v>
      </c>
      <c r="C36" t="s">
        <v>173</v>
      </c>
      <c r="D36" t="s">
        <v>3687</v>
      </c>
      <c r="E36" s="1">
        <v>46061</v>
      </c>
      <c r="F36" t="s">
        <v>115</v>
      </c>
      <c r="G36" t="s">
        <v>66</v>
      </c>
      <c r="H36" t="s">
        <v>114</v>
      </c>
      <c r="I36" t="s">
        <v>2654</v>
      </c>
      <c r="J36" t="s">
        <v>2702</v>
      </c>
      <c r="K36" t="s">
        <v>25</v>
      </c>
      <c r="L36">
        <v>26</v>
      </c>
      <c r="M36">
        <v>1</v>
      </c>
      <c r="N36">
        <v>15</v>
      </c>
      <c r="O36" t="s">
        <v>174</v>
      </c>
      <c r="P36" t="s">
        <v>75</v>
      </c>
      <c r="Q36" t="s">
        <v>31</v>
      </c>
      <c r="R36" t="s">
        <v>32</v>
      </c>
      <c r="S36" t="s">
        <v>116</v>
      </c>
      <c r="T36">
        <v>4</v>
      </c>
      <c r="U36">
        <v>824.47</v>
      </c>
      <c r="V36">
        <v>509.83</v>
      </c>
      <c r="W36">
        <v>7</v>
      </c>
      <c r="X36" t="str">
        <f>TEXT(cleaneddata[[#This Row],[Order Date]],"mmm")</f>
        <v>Feb</v>
      </c>
      <c r="Y36">
        <f>cleaneddata[[#This Row],[Unit Price]]*cleaneddata[[#This Row],[Quantity]]*(1-cleaneddata[[#This Row],[Discount %]]/100)</f>
        <v>700.79949999999997</v>
      </c>
      <c r="Z36">
        <f>cleaneddata[[#This Row],[sales]]-cleaneddata[[#This Row],[Cost]]</f>
        <v>190.96949999999998</v>
      </c>
    </row>
    <row r="37" spans="1:26" x14ac:dyDescent="0.3">
      <c r="A37" t="s">
        <v>175</v>
      </c>
      <c r="B37" s="1">
        <v>45655</v>
      </c>
      <c r="C37" t="s">
        <v>176</v>
      </c>
      <c r="D37" t="s">
        <v>3686</v>
      </c>
      <c r="E37" s="1">
        <v>45657</v>
      </c>
      <c r="F37" t="s">
        <v>100</v>
      </c>
      <c r="G37" t="s">
        <v>98</v>
      </c>
      <c r="H37" t="s">
        <v>99</v>
      </c>
      <c r="I37" t="s">
        <v>2679</v>
      </c>
      <c r="J37" t="s">
        <v>2680</v>
      </c>
      <c r="K37" t="s">
        <v>52</v>
      </c>
      <c r="L37">
        <v>41</v>
      </c>
      <c r="M37">
        <v>5</v>
      </c>
      <c r="N37">
        <v>30</v>
      </c>
      <c r="O37" t="s">
        <v>177</v>
      </c>
      <c r="P37" t="s">
        <v>33</v>
      </c>
      <c r="Q37" t="s">
        <v>70</v>
      </c>
      <c r="R37" t="s">
        <v>71</v>
      </c>
      <c r="S37" t="s">
        <v>101</v>
      </c>
      <c r="T37">
        <v>4</v>
      </c>
      <c r="U37">
        <v>905.23</v>
      </c>
      <c r="V37">
        <v>1722.65</v>
      </c>
      <c r="W37">
        <v>2</v>
      </c>
      <c r="X37" t="str">
        <f>TEXT(cleaneddata[[#This Row],[Order Date]],"mmm")</f>
        <v>Dec</v>
      </c>
      <c r="Y37">
        <f>cleaneddata[[#This Row],[Unit Price]]*cleaneddata[[#This Row],[Quantity]]*(1-cleaneddata[[#This Row],[Discount %]]/100)</f>
        <v>3168.3049999999994</v>
      </c>
      <c r="Z37">
        <f>cleaneddata[[#This Row],[sales]]-cleaneddata[[#This Row],[Cost]]</f>
        <v>1445.6549999999993</v>
      </c>
    </row>
    <row r="38" spans="1:26" x14ac:dyDescent="0.3">
      <c r="A38" t="s">
        <v>178</v>
      </c>
      <c r="B38" s="1">
        <v>45765</v>
      </c>
      <c r="C38" t="s">
        <v>179</v>
      </c>
      <c r="D38" t="s">
        <v>3685</v>
      </c>
      <c r="E38" s="1">
        <v>45770</v>
      </c>
      <c r="F38" t="s">
        <v>2617</v>
      </c>
      <c r="G38" t="s">
        <v>27</v>
      </c>
      <c r="H38" t="s">
        <v>28</v>
      </c>
      <c r="I38" t="s">
        <v>2625</v>
      </c>
      <c r="J38" t="s">
        <v>2703</v>
      </c>
      <c r="K38" t="s">
        <v>52</v>
      </c>
      <c r="L38">
        <v>41</v>
      </c>
      <c r="M38">
        <v>1</v>
      </c>
      <c r="N38">
        <v>10</v>
      </c>
      <c r="O38" t="s">
        <v>180</v>
      </c>
      <c r="P38" t="s">
        <v>33</v>
      </c>
      <c r="Q38" t="s">
        <v>31</v>
      </c>
      <c r="R38" t="s">
        <v>32</v>
      </c>
      <c r="S38" t="s">
        <v>30</v>
      </c>
      <c r="T38">
        <v>5</v>
      </c>
      <c r="U38">
        <v>529.49</v>
      </c>
      <c r="V38">
        <v>335.54</v>
      </c>
      <c r="W38">
        <v>5</v>
      </c>
      <c r="X38" t="str">
        <f>TEXT(cleaneddata[[#This Row],[Order Date]],"mmm")</f>
        <v>Apr</v>
      </c>
      <c r="Y38">
        <f>cleaneddata[[#This Row],[Unit Price]]*cleaneddata[[#This Row],[Quantity]]*(1-cleaneddata[[#This Row],[Discount %]]/100)</f>
        <v>476.541</v>
      </c>
      <c r="Z38">
        <f>cleaneddata[[#This Row],[sales]]-cleaneddata[[#This Row],[Cost]]</f>
        <v>141.00099999999998</v>
      </c>
    </row>
    <row r="39" spans="1:26" x14ac:dyDescent="0.3">
      <c r="A39" t="s">
        <v>181</v>
      </c>
      <c r="B39" s="1">
        <v>45554</v>
      </c>
      <c r="C39" t="s">
        <v>182</v>
      </c>
      <c r="D39" t="s">
        <v>3684</v>
      </c>
      <c r="E39" s="1">
        <v>45558</v>
      </c>
      <c r="F39" t="s">
        <v>2617</v>
      </c>
      <c r="G39" t="s">
        <v>27</v>
      </c>
      <c r="H39" t="s">
        <v>28</v>
      </c>
      <c r="I39" t="s">
        <v>2661</v>
      </c>
      <c r="J39" t="s">
        <v>2662</v>
      </c>
      <c r="K39" t="s">
        <v>25</v>
      </c>
      <c r="L39">
        <v>38</v>
      </c>
      <c r="M39">
        <v>4</v>
      </c>
      <c r="N39">
        <v>5</v>
      </c>
      <c r="O39" t="s">
        <v>183</v>
      </c>
      <c r="P39" t="s">
        <v>75</v>
      </c>
      <c r="Q39" t="s">
        <v>117</v>
      </c>
      <c r="R39" t="s">
        <v>43</v>
      </c>
      <c r="S39" t="s">
        <v>30</v>
      </c>
      <c r="T39">
        <v>5</v>
      </c>
      <c r="U39">
        <v>463.51</v>
      </c>
      <c r="V39">
        <v>1021.43</v>
      </c>
      <c r="W39">
        <v>4</v>
      </c>
      <c r="X39" t="str">
        <f>TEXT(cleaneddata[[#This Row],[Order Date]],"mmm")</f>
        <v>Sep</v>
      </c>
      <c r="Y39">
        <f>cleaneddata[[#This Row],[Unit Price]]*cleaneddata[[#This Row],[Quantity]]*(1-cleaneddata[[#This Row],[Discount %]]/100)</f>
        <v>1761.338</v>
      </c>
      <c r="Z39">
        <f>cleaneddata[[#This Row],[sales]]-cleaneddata[[#This Row],[Cost]]</f>
        <v>739.90800000000002</v>
      </c>
    </row>
    <row r="40" spans="1:26" x14ac:dyDescent="0.3">
      <c r="A40" t="s">
        <v>184</v>
      </c>
      <c r="B40" s="1">
        <v>45470</v>
      </c>
      <c r="C40" t="s">
        <v>185</v>
      </c>
      <c r="D40" t="s">
        <v>3683</v>
      </c>
      <c r="E40" s="1">
        <v>45475</v>
      </c>
      <c r="F40" t="s">
        <v>40</v>
      </c>
      <c r="G40" t="s">
        <v>38</v>
      </c>
      <c r="H40" t="s">
        <v>39</v>
      </c>
      <c r="I40" t="s">
        <v>2633</v>
      </c>
      <c r="J40" t="s">
        <v>2636</v>
      </c>
      <c r="K40" t="s">
        <v>25</v>
      </c>
      <c r="L40">
        <v>38</v>
      </c>
      <c r="M40">
        <v>3</v>
      </c>
      <c r="N40">
        <v>5</v>
      </c>
      <c r="O40" t="s">
        <v>186</v>
      </c>
      <c r="P40" t="s">
        <v>33</v>
      </c>
      <c r="Q40" t="s">
        <v>117</v>
      </c>
      <c r="R40" t="s">
        <v>62</v>
      </c>
      <c r="S40" t="s">
        <v>41</v>
      </c>
      <c r="T40">
        <v>5</v>
      </c>
      <c r="U40">
        <v>716.61</v>
      </c>
      <c r="V40">
        <v>1426.18</v>
      </c>
      <c r="W40">
        <v>5</v>
      </c>
      <c r="X40" t="str">
        <f>TEXT(cleaneddata[[#This Row],[Order Date]],"mmm")</f>
        <v>Jun</v>
      </c>
      <c r="Y40">
        <f>cleaneddata[[#This Row],[Unit Price]]*cleaneddata[[#This Row],[Quantity]]*(1-cleaneddata[[#This Row],[Discount %]]/100)</f>
        <v>2042.3384999999998</v>
      </c>
      <c r="Z40">
        <f>cleaneddata[[#This Row],[sales]]-cleaneddata[[#This Row],[Cost]]</f>
        <v>616.15849999999978</v>
      </c>
    </row>
    <row r="41" spans="1:26" x14ac:dyDescent="0.3">
      <c r="A41" t="s">
        <v>187</v>
      </c>
      <c r="B41" s="1">
        <v>45903</v>
      </c>
      <c r="C41" t="s">
        <v>188</v>
      </c>
      <c r="D41" t="s">
        <v>3682</v>
      </c>
      <c r="E41" s="1">
        <v>45907</v>
      </c>
      <c r="F41" t="s">
        <v>122</v>
      </c>
      <c r="G41" t="s">
        <v>120</v>
      </c>
      <c r="H41" t="s">
        <v>121</v>
      </c>
      <c r="I41" t="s">
        <v>2663</v>
      </c>
      <c r="J41" t="s">
        <v>2664</v>
      </c>
      <c r="K41" t="s">
        <v>52</v>
      </c>
      <c r="L41">
        <v>48</v>
      </c>
      <c r="M41">
        <v>2</v>
      </c>
      <c r="N41">
        <v>10</v>
      </c>
      <c r="O41" t="s">
        <v>189</v>
      </c>
      <c r="P41" t="s">
        <v>75</v>
      </c>
      <c r="Q41" t="s">
        <v>117</v>
      </c>
      <c r="R41" t="s">
        <v>32</v>
      </c>
      <c r="S41" t="s">
        <v>123</v>
      </c>
      <c r="T41">
        <v>1</v>
      </c>
      <c r="U41">
        <v>785.13</v>
      </c>
      <c r="V41">
        <v>1087</v>
      </c>
      <c r="W41">
        <v>4</v>
      </c>
      <c r="X41" t="str">
        <f>TEXT(cleaneddata[[#This Row],[Order Date]],"mmm")</f>
        <v>Sep</v>
      </c>
      <c r="Y41">
        <f>cleaneddata[[#This Row],[Unit Price]]*cleaneddata[[#This Row],[Quantity]]*(1-cleaneddata[[#This Row],[Discount %]]/100)</f>
        <v>1413.2339999999999</v>
      </c>
      <c r="Z41">
        <f>cleaneddata[[#This Row],[sales]]-cleaneddata[[#This Row],[Cost]]</f>
        <v>326.23399999999992</v>
      </c>
    </row>
    <row r="42" spans="1:26" x14ac:dyDescent="0.3">
      <c r="A42" t="s">
        <v>190</v>
      </c>
      <c r="B42" s="1">
        <v>45739</v>
      </c>
      <c r="C42" t="s">
        <v>191</v>
      </c>
      <c r="D42" t="s">
        <v>3681</v>
      </c>
      <c r="E42" s="1">
        <v>45744</v>
      </c>
      <c r="F42" t="s">
        <v>122</v>
      </c>
      <c r="G42" t="s">
        <v>120</v>
      </c>
      <c r="H42" t="s">
        <v>121</v>
      </c>
      <c r="I42" t="s">
        <v>2672</v>
      </c>
      <c r="J42" t="s">
        <v>2690</v>
      </c>
      <c r="K42" t="s">
        <v>52</v>
      </c>
      <c r="L42">
        <v>45</v>
      </c>
      <c r="M42">
        <v>1</v>
      </c>
      <c r="N42">
        <v>30</v>
      </c>
      <c r="O42" t="s">
        <v>192</v>
      </c>
      <c r="P42" t="s">
        <v>44</v>
      </c>
      <c r="Q42" t="s">
        <v>117</v>
      </c>
      <c r="R42" t="s">
        <v>71</v>
      </c>
      <c r="S42" t="s">
        <v>123</v>
      </c>
      <c r="T42">
        <v>4</v>
      </c>
      <c r="U42">
        <v>337.53</v>
      </c>
      <c r="V42">
        <v>186.22</v>
      </c>
      <c r="W42">
        <v>5</v>
      </c>
      <c r="X42" t="str">
        <f>TEXT(cleaneddata[[#This Row],[Order Date]],"mmm")</f>
        <v>Mar</v>
      </c>
      <c r="Y42">
        <f>cleaneddata[[#This Row],[Unit Price]]*cleaneddata[[#This Row],[Quantity]]*(1-cleaneddata[[#This Row],[Discount %]]/100)</f>
        <v>236.27099999999996</v>
      </c>
      <c r="Z42">
        <f>cleaneddata[[#This Row],[sales]]-cleaneddata[[#This Row],[Cost]]</f>
        <v>50.050999999999959</v>
      </c>
    </row>
    <row r="43" spans="1:26" x14ac:dyDescent="0.3">
      <c r="A43" t="s">
        <v>193</v>
      </c>
      <c r="B43" s="1">
        <v>46172</v>
      </c>
      <c r="C43" t="s">
        <v>194</v>
      </c>
      <c r="D43" t="s">
        <v>3680</v>
      </c>
      <c r="E43" s="1">
        <v>46179</v>
      </c>
      <c r="F43" t="s">
        <v>115</v>
      </c>
      <c r="G43" t="s">
        <v>66</v>
      </c>
      <c r="H43" t="s">
        <v>114</v>
      </c>
      <c r="I43" t="s">
        <v>2627</v>
      </c>
      <c r="J43" t="s">
        <v>2698</v>
      </c>
      <c r="K43" t="s">
        <v>52</v>
      </c>
      <c r="L43">
        <v>36</v>
      </c>
      <c r="M43">
        <v>5</v>
      </c>
      <c r="N43">
        <v>10</v>
      </c>
      <c r="O43" t="s">
        <v>195</v>
      </c>
      <c r="P43" t="s">
        <v>33</v>
      </c>
      <c r="Q43" t="s">
        <v>42</v>
      </c>
      <c r="R43" t="s">
        <v>62</v>
      </c>
      <c r="S43" t="s">
        <v>116</v>
      </c>
      <c r="T43">
        <v>4</v>
      </c>
      <c r="U43">
        <v>161.99</v>
      </c>
      <c r="V43">
        <v>619.47</v>
      </c>
      <c r="W43">
        <v>7</v>
      </c>
      <c r="X43" t="str">
        <f>TEXT(cleaneddata[[#This Row],[Order Date]],"mmm")</f>
        <v>May</v>
      </c>
      <c r="Y43">
        <f>cleaneddata[[#This Row],[Unit Price]]*cleaneddata[[#This Row],[Quantity]]*(1-cleaneddata[[#This Row],[Discount %]]/100)</f>
        <v>728.95500000000004</v>
      </c>
      <c r="Z43">
        <f>cleaneddata[[#This Row],[sales]]-cleaneddata[[#This Row],[Cost]]</f>
        <v>109.48500000000001</v>
      </c>
    </row>
    <row r="44" spans="1:26" x14ac:dyDescent="0.3">
      <c r="A44" t="s">
        <v>196</v>
      </c>
      <c r="B44" s="1">
        <v>46183</v>
      </c>
      <c r="C44" t="s">
        <v>197</v>
      </c>
      <c r="D44" t="s">
        <v>3679</v>
      </c>
      <c r="E44" s="1">
        <v>46187</v>
      </c>
      <c r="F44" t="s">
        <v>100</v>
      </c>
      <c r="G44" t="s">
        <v>98</v>
      </c>
      <c r="H44" t="s">
        <v>99</v>
      </c>
      <c r="I44" t="s">
        <v>2629</v>
      </c>
      <c r="J44" t="s">
        <v>2630</v>
      </c>
      <c r="K44" t="s">
        <v>52</v>
      </c>
      <c r="L44">
        <v>46</v>
      </c>
      <c r="M44">
        <v>4</v>
      </c>
      <c r="N44">
        <v>25</v>
      </c>
      <c r="O44" t="s">
        <v>198</v>
      </c>
      <c r="P44" t="s">
        <v>44</v>
      </c>
      <c r="Q44" t="s">
        <v>42</v>
      </c>
      <c r="R44" t="s">
        <v>71</v>
      </c>
      <c r="S44" t="s">
        <v>101</v>
      </c>
      <c r="T44">
        <v>1</v>
      </c>
      <c r="U44">
        <v>342.66</v>
      </c>
      <c r="V44">
        <v>762.5</v>
      </c>
      <c r="W44">
        <v>4</v>
      </c>
      <c r="X44" t="str">
        <f>TEXT(cleaneddata[[#This Row],[Order Date]],"mmm")</f>
        <v>Jun</v>
      </c>
      <c r="Y44">
        <f>cleaneddata[[#This Row],[Unit Price]]*cleaneddata[[#This Row],[Quantity]]*(1-cleaneddata[[#This Row],[Discount %]]/100)</f>
        <v>1027.98</v>
      </c>
      <c r="Z44">
        <f>cleaneddata[[#This Row],[sales]]-cleaneddata[[#This Row],[Cost]]</f>
        <v>265.48</v>
      </c>
    </row>
    <row r="45" spans="1:26" x14ac:dyDescent="0.3">
      <c r="A45" t="s">
        <v>199</v>
      </c>
      <c r="B45" s="1">
        <v>45715</v>
      </c>
      <c r="C45" t="s">
        <v>200</v>
      </c>
      <c r="D45" t="s">
        <v>3678</v>
      </c>
      <c r="E45" s="1">
        <v>45716</v>
      </c>
      <c r="F45" t="s">
        <v>68</v>
      </c>
      <c r="G45" t="s">
        <v>66</v>
      </c>
      <c r="H45" t="s">
        <v>67</v>
      </c>
      <c r="I45" t="s">
        <v>2623</v>
      </c>
      <c r="J45" t="s">
        <v>2691</v>
      </c>
      <c r="K45" t="s">
        <v>52</v>
      </c>
      <c r="L45">
        <v>37</v>
      </c>
      <c r="M45">
        <v>2</v>
      </c>
      <c r="N45">
        <v>20</v>
      </c>
      <c r="O45" t="s">
        <v>201</v>
      </c>
      <c r="P45" t="s">
        <v>33</v>
      </c>
      <c r="Q45" t="s">
        <v>70</v>
      </c>
      <c r="R45" t="s">
        <v>43</v>
      </c>
      <c r="S45" t="s">
        <v>69</v>
      </c>
      <c r="T45">
        <v>4</v>
      </c>
      <c r="U45">
        <v>485.28</v>
      </c>
      <c r="V45">
        <v>450.41</v>
      </c>
      <c r="W45">
        <v>1</v>
      </c>
      <c r="X45" t="str">
        <f>TEXT(cleaneddata[[#This Row],[Order Date]],"mmm")</f>
        <v>Feb</v>
      </c>
      <c r="Y45">
        <f>cleaneddata[[#This Row],[Unit Price]]*cleaneddata[[#This Row],[Quantity]]*(1-cleaneddata[[#This Row],[Discount %]]/100)</f>
        <v>776.44799999999998</v>
      </c>
      <c r="Z45">
        <f>cleaneddata[[#This Row],[sales]]-cleaneddata[[#This Row],[Cost]]</f>
        <v>326.03799999999995</v>
      </c>
    </row>
    <row r="46" spans="1:26" x14ac:dyDescent="0.3">
      <c r="A46" t="s">
        <v>202</v>
      </c>
      <c r="B46" s="1">
        <v>45920</v>
      </c>
      <c r="C46" t="s">
        <v>203</v>
      </c>
      <c r="D46" t="s">
        <v>3677</v>
      </c>
      <c r="E46" s="1">
        <v>45925</v>
      </c>
      <c r="F46" t="s">
        <v>140</v>
      </c>
      <c r="G46" t="s">
        <v>38</v>
      </c>
      <c r="H46" t="s">
        <v>139</v>
      </c>
      <c r="I46" t="s">
        <v>2627</v>
      </c>
      <c r="J46" t="s">
        <v>2628</v>
      </c>
      <c r="K46" t="s">
        <v>52</v>
      </c>
      <c r="L46">
        <v>54</v>
      </c>
      <c r="M46">
        <v>2</v>
      </c>
      <c r="N46">
        <v>10</v>
      </c>
      <c r="O46" t="s">
        <v>204</v>
      </c>
      <c r="P46" t="s">
        <v>75</v>
      </c>
      <c r="Q46" t="s">
        <v>42</v>
      </c>
      <c r="R46" t="s">
        <v>32</v>
      </c>
      <c r="S46" t="s">
        <v>141</v>
      </c>
      <c r="T46">
        <v>1</v>
      </c>
      <c r="U46">
        <v>229.53</v>
      </c>
      <c r="V46">
        <v>260.48</v>
      </c>
      <c r="W46">
        <v>5</v>
      </c>
      <c r="X46" t="str">
        <f>TEXT(cleaneddata[[#This Row],[Order Date]],"mmm")</f>
        <v>Sep</v>
      </c>
      <c r="Y46">
        <f>cleaneddata[[#This Row],[Unit Price]]*cleaneddata[[#This Row],[Quantity]]*(1-cleaneddata[[#This Row],[Discount %]]/100)</f>
        <v>413.154</v>
      </c>
      <c r="Z46">
        <f>cleaneddata[[#This Row],[sales]]-cleaneddata[[#This Row],[Cost]]</f>
        <v>152.67399999999998</v>
      </c>
    </row>
    <row r="47" spans="1:26" x14ac:dyDescent="0.3">
      <c r="A47" t="s">
        <v>205</v>
      </c>
      <c r="B47" s="1">
        <v>46132</v>
      </c>
      <c r="C47" t="s">
        <v>206</v>
      </c>
      <c r="D47" t="s">
        <v>3676</v>
      </c>
      <c r="E47" s="1">
        <v>46139</v>
      </c>
      <c r="F47" t="s">
        <v>122</v>
      </c>
      <c r="G47" t="s">
        <v>120</v>
      </c>
      <c r="H47" t="s">
        <v>121</v>
      </c>
      <c r="I47" t="s">
        <v>2637</v>
      </c>
      <c r="J47" t="s">
        <v>2638</v>
      </c>
      <c r="K47" t="s">
        <v>52</v>
      </c>
      <c r="L47">
        <v>43</v>
      </c>
      <c r="M47">
        <v>4</v>
      </c>
      <c r="N47">
        <v>10</v>
      </c>
      <c r="O47" t="s">
        <v>207</v>
      </c>
      <c r="P47" t="s">
        <v>33</v>
      </c>
      <c r="Q47" t="s">
        <v>70</v>
      </c>
      <c r="R47" t="s">
        <v>43</v>
      </c>
      <c r="S47" t="s">
        <v>123</v>
      </c>
      <c r="T47">
        <v>3</v>
      </c>
      <c r="U47">
        <v>896.34</v>
      </c>
      <c r="V47">
        <v>2039.41</v>
      </c>
      <c r="W47">
        <v>7</v>
      </c>
      <c r="X47" t="str">
        <f>TEXT(cleaneddata[[#This Row],[Order Date]],"mmm")</f>
        <v>Apr</v>
      </c>
      <c r="Y47">
        <f>cleaneddata[[#This Row],[Unit Price]]*cleaneddata[[#This Row],[Quantity]]*(1-cleaneddata[[#This Row],[Discount %]]/100)</f>
        <v>3226.8240000000001</v>
      </c>
      <c r="Z47">
        <f>cleaneddata[[#This Row],[sales]]-cleaneddata[[#This Row],[Cost]]</f>
        <v>1187.414</v>
      </c>
    </row>
    <row r="48" spans="1:26" x14ac:dyDescent="0.3">
      <c r="A48" t="s">
        <v>208</v>
      </c>
      <c r="B48" s="1">
        <v>45700</v>
      </c>
      <c r="C48" t="s">
        <v>80</v>
      </c>
      <c r="D48" t="s">
        <v>3675</v>
      </c>
      <c r="E48" s="1">
        <v>45704</v>
      </c>
      <c r="F48" t="s">
        <v>115</v>
      </c>
      <c r="G48" t="s">
        <v>66</v>
      </c>
      <c r="H48" t="s">
        <v>114</v>
      </c>
      <c r="I48" t="s">
        <v>2623</v>
      </c>
      <c r="J48" t="s">
        <v>2624</v>
      </c>
      <c r="K48" t="s">
        <v>25</v>
      </c>
      <c r="L48">
        <v>26</v>
      </c>
      <c r="M48">
        <v>5</v>
      </c>
      <c r="N48">
        <v>15</v>
      </c>
      <c r="O48" t="s">
        <v>209</v>
      </c>
      <c r="P48" t="s">
        <v>44</v>
      </c>
      <c r="Q48" t="s">
        <v>70</v>
      </c>
      <c r="R48" t="s">
        <v>32</v>
      </c>
      <c r="S48" t="s">
        <v>116</v>
      </c>
      <c r="T48">
        <v>5</v>
      </c>
      <c r="U48">
        <v>985.72</v>
      </c>
      <c r="V48">
        <v>2744.31</v>
      </c>
      <c r="W48">
        <v>4</v>
      </c>
      <c r="X48" t="str">
        <f>TEXT(cleaneddata[[#This Row],[Order Date]],"mmm")</f>
        <v>Feb</v>
      </c>
      <c r="Y48">
        <f>cleaneddata[[#This Row],[Unit Price]]*cleaneddata[[#This Row],[Quantity]]*(1-cleaneddata[[#This Row],[Discount %]]/100)</f>
        <v>4189.3100000000004</v>
      </c>
      <c r="Z48">
        <f>cleaneddata[[#This Row],[sales]]-cleaneddata[[#This Row],[Cost]]</f>
        <v>1445.0000000000005</v>
      </c>
    </row>
    <row r="49" spans="1:26" x14ac:dyDescent="0.3">
      <c r="A49" t="s">
        <v>210</v>
      </c>
      <c r="B49" s="1">
        <v>45596</v>
      </c>
      <c r="C49" t="s">
        <v>155</v>
      </c>
      <c r="D49" t="s">
        <v>3674</v>
      </c>
      <c r="E49" s="1">
        <v>45598</v>
      </c>
      <c r="F49" t="s">
        <v>115</v>
      </c>
      <c r="G49" t="s">
        <v>66</v>
      </c>
      <c r="H49" t="s">
        <v>114</v>
      </c>
      <c r="I49" t="s">
        <v>2661</v>
      </c>
      <c r="J49" t="s">
        <v>2700</v>
      </c>
      <c r="K49" t="s">
        <v>52</v>
      </c>
      <c r="L49">
        <v>19</v>
      </c>
      <c r="M49">
        <v>4</v>
      </c>
      <c r="N49">
        <v>20</v>
      </c>
      <c r="O49" t="s">
        <v>211</v>
      </c>
      <c r="P49" t="s">
        <v>44</v>
      </c>
      <c r="Q49" t="s">
        <v>31</v>
      </c>
      <c r="R49" t="s">
        <v>43</v>
      </c>
      <c r="S49" t="s">
        <v>116</v>
      </c>
      <c r="T49">
        <v>5</v>
      </c>
      <c r="U49">
        <v>34.200000000000003</v>
      </c>
      <c r="V49">
        <v>69.180000000000007</v>
      </c>
      <c r="W49">
        <v>2</v>
      </c>
      <c r="X49" t="str">
        <f>TEXT(cleaneddata[[#This Row],[Order Date]],"mmm")</f>
        <v>Oct</v>
      </c>
      <c r="Y49">
        <f>cleaneddata[[#This Row],[Unit Price]]*cleaneddata[[#This Row],[Quantity]]*(1-cleaneddata[[#This Row],[Discount %]]/100)</f>
        <v>109.44000000000001</v>
      </c>
      <c r="Z49">
        <f>cleaneddata[[#This Row],[sales]]-cleaneddata[[#This Row],[Cost]]</f>
        <v>40.260000000000005</v>
      </c>
    </row>
    <row r="50" spans="1:26" x14ac:dyDescent="0.3">
      <c r="A50" t="s">
        <v>212</v>
      </c>
      <c r="B50" s="1">
        <v>45509</v>
      </c>
      <c r="C50" t="s">
        <v>213</v>
      </c>
      <c r="D50" t="s">
        <v>3673</v>
      </c>
      <c r="E50" s="1">
        <v>45514</v>
      </c>
      <c r="F50" t="s">
        <v>128</v>
      </c>
      <c r="G50" t="s">
        <v>98</v>
      </c>
      <c r="H50" t="s">
        <v>127</v>
      </c>
      <c r="I50" t="s">
        <v>2622</v>
      </c>
      <c r="J50" t="s">
        <v>2686</v>
      </c>
      <c r="K50" t="s">
        <v>52</v>
      </c>
      <c r="L50">
        <v>48</v>
      </c>
      <c r="M50">
        <v>2</v>
      </c>
      <c r="N50">
        <v>5</v>
      </c>
      <c r="O50" t="s">
        <v>214</v>
      </c>
      <c r="P50" t="s">
        <v>75</v>
      </c>
      <c r="Q50" t="s">
        <v>117</v>
      </c>
      <c r="R50" t="s">
        <v>62</v>
      </c>
      <c r="S50" t="s">
        <v>129</v>
      </c>
      <c r="T50">
        <v>4</v>
      </c>
      <c r="U50">
        <v>585.75</v>
      </c>
      <c r="V50">
        <v>917.51</v>
      </c>
      <c r="W50">
        <v>5</v>
      </c>
      <c r="X50" t="str">
        <f>TEXT(cleaneddata[[#This Row],[Order Date]],"mmm")</f>
        <v>Aug</v>
      </c>
      <c r="Y50">
        <f>cleaneddata[[#This Row],[Unit Price]]*cleaneddata[[#This Row],[Quantity]]*(1-cleaneddata[[#This Row],[Discount %]]/100)</f>
        <v>1112.925</v>
      </c>
      <c r="Z50">
        <f>cleaneddata[[#This Row],[sales]]-cleaneddata[[#This Row],[Cost]]</f>
        <v>195.41499999999996</v>
      </c>
    </row>
    <row r="51" spans="1:26" x14ac:dyDescent="0.3">
      <c r="A51" t="s">
        <v>215</v>
      </c>
      <c r="B51" s="1">
        <v>45619</v>
      </c>
      <c r="C51" t="s">
        <v>216</v>
      </c>
      <c r="D51" t="s">
        <v>3672</v>
      </c>
      <c r="E51" s="1">
        <v>45623</v>
      </c>
      <c r="F51" t="s">
        <v>2617</v>
      </c>
      <c r="G51" t="s">
        <v>27</v>
      </c>
      <c r="H51" t="s">
        <v>28</v>
      </c>
      <c r="I51" t="s">
        <v>2668</v>
      </c>
      <c r="J51" t="s">
        <v>2708</v>
      </c>
      <c r="K51" t="s">
        <v>52</v>
      </c>
      <c r="L51">
        <v>22</v>
      </c>
      <c r="M51">
        <v>3</v>
      </c>
      <c r="N51">
        <v>15</v>
      </c>
      <c r="O51" t="s">
        <v>217</v>
      </c>
      <c r="P51" t="s">
        <v>75</v>
      </c>
      <c r="Q51" t="s">
        <v>70</v>
      </c>
      <c r="R51" t="s">
        <v>71</v>
      </c>
      <c r="S51" t="s">
        <v>30</v>
      </c>
      <c r="T51">
        <v>4</v>
      </c>
      <c r="U51">
        <v>874.94</v>
      </c>
      <c r="V51">
        <v>1261.8499999999999</v>
      </c>
      <c r="W51">
        <v>4</v>
      </c>
      <c r="X51" t="str">
        <f>TEXT(cleaneddata[[#This Row],[Order Date]],"mmm")</f>
        <v>Nov</v>
      </c>
      <c r="Y51">
        <f>cleaneddata[[#This Row],[Unit Price]]*cleaneddata[[#This Row],[Quantity]]*(1-cleaneddata[[#This Row],[Discount %]]/100)</f>
        <v>2231.0970000000002</v>
      </c>
      <c r="Z51">
        <f>cleaneddata[[#This Row],[sales]]-cleaneddata[[#This Row],[Cost]]</f>
        <v>969.2470000000003</v>
      </c>
    </row>
    <row r="52" spans="1:26" x14ac:dyDescent="0.3">
      <c r="A52" t="s">
        <v>218</v>
      </c>
      <c r="B52" s="1">
        <v>45463</v>
      </c>
      <c r="C52" t="s">
        <v>219</v>
      </c>
      <c r="D52" t="s">
        <v>2797</v>
      </c>
      <c r="E52" s="1">
        <v>45466</v>
      </c>
      <c r="F52" t="s">
        <v>56</v>
      </c>
      <c r="G52" t="s">
        <v>54</v>
      </c>
      <c r="H52" t="s">
        <v>55</v>
      </c>
      <c r="I52" t="s">
        <v>2629</v>
      </c>
      <c r="J52" t="s">
        <v>2630</v>
      </c>
      <c r="K52" t="s">
        <v>25</v>
      </c>
      <c r="L52">
        <v>38</v>
      </c>
      <c r="M52">
        <v>1</v>
      </c>
      <c r="N52">
        <v>0</v>
      </c>
      <c r="O52" t="s">
        <v>220</v>
      </c>
      <c r="P52" t="s">
        <v>33</v>
      </c>
      <c r="Q52" t="s">
        <v>58</v>
      </c>
      <c r="R52" t="s">
        <v>71</v>
      </c>
      <c r="S52" t="s">
        <v>57</v>
      </c>
      <c r="T52">
        <v>1</v>
      </c>
      <c r="U52">
        <v>816.3</v>
      </c>
      <c r="V52">
        <v>427.28</v>
      </c>
      <c r="W52">
        <v>3</v>
      </c>
      <c r="X52" t="str">
        <f>TEXT(cleaneddata[[#This Row],[Order Date]],"mmm")</f>
        <v>Jun</v>
      </c>
      <c r="Y52">
        <f>cleaneddata[[#This Row],[Unit Price]]*cleaneddata[[#This Row],[Quantity]]*(1-cleaneddata[[#This Row],[Discount %]]/100)</f>
        <v>816.3</v>
      </c>
      <c r="Z52">
        <f>cleaneddata[[#This Row],[sales]]-cleaneddata[[#This Row],[Cost]]</f>
        <v>389.02</v>
      </c>
    </row>
    <row r="53" spans="1:26" x14ac:dyDescent="0.3">
      <c r="A53" t="s">
        <v>221</v>
      </c>
      <c r="B53" s="1">
        <v>45924</v>
      </c>
      <c r="C53" t="s">
        <v>222</v>
      </c>
      <c r="D53" t="s">
        <v>2796</v>
      </c>
      <c r="E53" s="1">
        <v>45928</v>
      </c>
      <c r="F53" t="s">
        <v>115</v>
      </c>
      <c r="G53" t="s">
        <v>66</v>
      </c>
      <c r="H53" t="s">
        <v>114</v>
      </c>
      <c r="I53" t="s">
        <v>2665</v>
      </c>
      <c r="J53" t="s">
        <v>2666</v>
      </c>
      <c r="K53" t="s">
        <v>25</v>
      </c>
      <c r="L53">
        <v>53</v>
      </c>
      <c r="M53">
        <v>1</v>
      </c>
      <c r="N53">
        <v>30</v>
      </c>
      <c r="O53" t="s">
        <v>223</v>
      </c>
      <c r="P53" t="s">
        <v>75</v>
      </c>
      <c r="Q53" t="s">
        <v>31</v>
      </c>
      <c r="R53" t="s">
        <v>32</v>
      </c>
      <c r="S53" t="s">
        <v>116</v>
      </c>
      <c r="T53">
        <v>2</v>
      </c>
      <c r="U53">
        <v>437.5</v>
      </c>
      <c r="V53">
        <v>253.46</v>
      </c>
      <c r="W53">
        <v>4</v>
      </c>
      <c r="X53" t="str">
        <f>TEXT(cleaneddata[[#This Row],[Order Date]],"mmm")</f>
        <v>Sep</v>
      </c>
      <c r="Y53">
        <f>cleaneddata[[#This Row],[Unit Price]]*cleaneddata[[#This Row],[Quantity]]*(1-cleaneddata[[#This Row],[Discount %]]/100)</f>
        <v>306.25</v>
      </c>
      <c r="Z53">
        <f>cleaneddata[[#This Row],[sales]]-cleaneddata[[#This Row],[Cost]]</f>
        <v>52.789999999999992</v>
      </c>
    </row>
    <row r="54" spans="1:26" x14ac:dyDescent="0.3">
      <c r="A54" t="s">
        <v>224</v>
      </c>
      <c r="B54" s="1">
        <v>45556</v>
      </c>
      <c r="C54" t="s">
        <v>225</v>
      </c>
      <c r="D54" t="s">
        <v>3671</v>
      </c>
      <c r="E54" s="1">
        <v>45559</v>
      </c>
      <c r="F54" t="s">
        <v>128</v>
      </c>
      <c r="G54" t="s">
        <v>98</v>
      </c>
      <c r="H54" t="s">
        <v>127</v>
      </c>
      <c r="I54" t="s">
        <v>2659</v>
      </c>
      <c r="J54" t="s">
        <v>2660</v>
      </c>
      <c r="K54" t="s">
        <v>25</v>
      </c>
      <c r="L54">
        <v>56</v>
      </c>
      <c r="M54">
        <v>1</v>
      </c>
      <c r="N54">
        <v>0</v>
      </c>
      <c r="O54" t="s">
        <v>226</v>
      </c>
      <c r="P54" t="s">
        <v>33</v>
      </c>
      <c r="Q54" t="s">
        <v>42</v>
      </c>
      <c r="R54" t="s">
        <v>62</v>
      </c>
      <c r="S54" t="s">
        <v>129</v>
      </c>
      <c r="T54">
        <v>2</v>
      </c>
      <c r="U54">
        <v>95.37</v>
      </c>
      <c r="V54">
        <v>77.88</v>
      </c>
      <c r="W54">
        <v>3</v>
      </c>
      <c r="X54" t="str">
        <f>TEXT(cleaneddata[[#This Row],[Order Date]],"mmm")</f>
        <v>Sep</v>
      </c>
      <c r="Y54">
        <f>cleaneddata[[#This Row],[Unit Price]]*cleaneddata[[#This Row],[Quantity]]*(1-cleaneddata[[#This Row],[Discount %]]/100)</f>
        <v>95.37</v>
      </c>
      <c r="Z54">
        <f>cleaneddata[[#This Row],[sales]]-cleaneddata[[#This Row],[Cost]]</f>
        <v>17.490000000000009</v>
      </c>
    </row>
    <row r="55" spans="1:26" x14ac:dyDescent="0.3">
      <c r="A55" t="s">
        <v>227</v>
      </c>
      <c r="B55" s="1">
        <v>45489</v>
      </c>
      <c r="C55" t="s">
        <v>228</v>
      </c>
      <c r="D55" t="s">
        <v>2795</v>
      </c>
      <c r="E55" s="1">
        <v>45490</v>
      </c>
      <c r="F55" t="s">
        <v>2617</v>
      </c>
      <c r="G55" t="s">
        <v>27</v>
      </c>
      <c r="H55" t="s">
        <v>28</v>
      </c>
      <c r="I55" t="s">
        <v>2679</v>
      </c>
      <c r="J55" t="s">
        <v>2680</v>
      </c>
      <c r="K55" t="s">
        <v>52</v>
      </c>
      <c r="L55">
        <v>44</v>
      </c>
      <c r="M55">
        <v>5</v>
      </c>
      <c r="N55">
        <v>20</v>
      </c>
      <c r="O55" t="s">
        <v>229</v>
      </c>
      <c r="P55" t="s">
        <v>33</v>
      </c>
      <c r="Q55" t="s">
        <v>117</v>
      </c>
      <c r="R55" t="s">
        <v>62</v>
      </c>
      <c r="S55" t="s">
        <v>30</v>
      </c>
      <c r="T55">
        <v>4</v>
      </c>
      <c r="U55">
        <v>318.49</v>
      </c>
      <c r="V55">
        <v>777.44</v>
      </c>
      <c r="W55">
        <v>1</v>
      </c>
      <c r="X55" t="str">
        <f>TEXT(cleaneddata[[#This Row],[Order Date]],"mmm")</f>
        <v>Jul</v>
      </c>
      <c r="Y55">
        <f>cleaneddata[[#This Row],[Unit Price]]*cleaneddata[[#This Row],[Quantity]]*(1-cleaneddata[[#This Row],[Discount %]]/100)</f>
        <v>1273.96</v>
      </c>
      <c r="Z55">
        <f>cleaneddata[[#This Row],[sales]]-cleaneddata[[#This Row],[Cost]]</f>
        <v>496.52</v>
      </c>
    </row>
    <row r="56" spans="1:26" x14ac:dyDescent="0.3">
      <c r="A56" t="s">
        <v>230</v>
      </c>
      <c r="B56" s="1">
        <v>45674</v>
      </c>
      <c r="C56" t="s">
        <v>231</v>
      </c>
      <c r="D56" t="s">
        <v>3670</v>
      </c>
      <c r="E56" s="1">
        <v>45679</v>
      </c>
      <c r="F56" t="s">
        <v>140</v>
      </c>
      <c r="G56" t="s">
        <v>38</v>
      </c>
      <c r="H56" t="s">
        <v>139</v>
      </c>
      <c r="I56" t="s">
        <v>2622</v>
      </c>
      <c r="J56" t="s">
        <v>2686</v>
      </c>
      <c r="K56" t="s">
        <v>25</v>
      </c>
      <c r="L56">
        <v>21</v>
      </c>
      <c r="M56">
        <v>3</v>
      </c>
      <c r="N56">
        <v>20</v>
      </c>
      <c r="O56" t="s">
        <v>232</v>
      </c>
      <c r="P56" t="s">
        <v>33</v>
      </c>
      <c r="Q56" t="s">
        <v>42</v>
      </c>
      <c r="R56" t="s">
        <v>32</v>
      </c>
      <c r="S56" t="s">
        <v>141</v>
      </c>
      <c r="T56">
        <v>5</v>
      </c>
      <c r="U56">
        <v>768.07</v>
      </c>
      <c r="V56">
        <v>1541.26</v>
      </c>
      <c r="W56">
        <v>5</v>
      </c>
      <c r="X56" t="str">
        <f>TEXT(cleaneddata[[#This Row],[Order Date]],"mmm")</f>
        <v>Jan</v>
      </c>
      <c r="Y56">
        <f>cleaneddata[[#This Row],[Unit Price]]*cleaneddata[[#This Row],[Quantity]]*(1-cleaneddata[[#This Row],[Discount %]]/100)</f>
        <v>1843.3680000000002</v>
      </c>
      <c r="Z56">
        <f>cleaneddata[[#This Row],[sales]]-cleaneddata[[#This Row],[Cost]]</f>
        <v>302.10800000000017</v>
      </c>
    </row>
    <row r="57" spans="1:26" x14ac:dyDescent="0.3">
      <c r="A57" t="s">
        <v>233</v>
      </c>
      <c r="B57" s="1">
        <v>45496</v>
      </c>
      <c r="C57" t="s">
        <v>234</v>
      </c>
      <c r="D57" t="s">
        <v>3669</v>
      </c>
      <c r="E57" s="1">
        <v>45498</v>
      </c>
      <c r="F57" t="s">
        <v>115</v>
      </c>
      <c r="G57" t="s">
        <v>66</v>
      </c>
      <c r="H57" t="s">
        <v>114</v>
      </c>
      <c r="I57" t="s">
        <v>2629</v>
      </c>
      <c r="J57" t="s">
        <v>2689</v>
      </c>
      <c r="K57" t="s">
        <v>52</v>
      </c>
      <c r="L57">
        <v>26</v>
      </c>
      <c r="M57">
        <v>3</v>
      </c>
      <c r="N57">
        <v>20</v>
      </c>
      <c r="O57" t="s">
        <v>235</v>
      </c>
      <c r="P57" t="s">
        <v>44</v>
      </c>
      <c r="Q57" t="s">
        <v>31</v>
      </c>
      <c r="R57" t="s">
        <v>32</v>
      </c>
      <c r="S57" t="s">
        <v>116</v>
      </c>
      <c r="T57">
        <v>5</v>
      </c>
      <c r="U57">
        <v>672.06</v>
      </c>
      <c r="V57">
        <v>1200.29</v>
      </c>
      <c r="W57">
        <v>2</v>
      </c>
      <c r="X57" t="str">
        <f>TEXT(cleaneddata[[#This Row],[Order Date]],"mmm")</f>
        <v>Jul</v>
      </c>
      <c r="Y57">
        <f>cleaneddata[[#This Row],[Unit Price]]*cleaneddata[[#This Row],[Quantity]]*(1-cleaneddata[[#This Row],[Discount %]]/100)</f>
        <v>1612.944</v>
      </c>
      <c r="Z57">
        <f>cleaneddata[[#This Row],[sales]]-cleaneddata[[#This Row],[Cost]]</f>
        <v>412.654</v>
      </c>
    </row>
    <row r="58" spans="1:26" x14ac:dyDescent="0.3">
      <c r="A58" t="s">
        <v>236</v>
      </c>
      <c r="B58" s="1">
        <v>45613</v>
      </c>
      <c r="C58" t="s">
        <v>237</v>
      </c>
      <c r="D58" t="s">
        <v>3668</v>
      </c>
      <c r="E58" s="1">
        <v>45620</v>
      </c>
      <c r="F58" t="s">
        <v>115</v>
      </c>
      <c r="G58" t="s">
        <v>66</v>
      </c>
      <c r="H58" t="s">
        <v>114</v>
      </c>
      <c r="I58" t="s">
        <v>2625</v>
      </c>
      <c r="J58" t="s">
        <v>2651</v>
      </c>
      <c r="K58" t="s">
        <v>25</v>
      </c>
      <c r="L58">
        <v>46</v>
      </c>
      <c r="M58">
        <v>1</v>
      </c>
      <c r="N58">
        <v>5</v>
      </c>
      <c r="O58" t="s">
        <v>238</v>
      </c>
      <c r="P58" t="s">
        <v>33</v>
      </c>
      <c r="Q58" t="s">
        <v>70</v>
      </c>
      <c r="R58" t="s">
        <v>71</v>
      </c>
      <c r="S58" t="s">
        <v>116</v>
      </c>
      <c r="T58">
        <v>3</v>
      </c>
      <c r="U58">
        <v>923.59</v>
      </c>
      <c r="V58">
        <v>671.82</v>
      </c>
      <c r="W58">
        <v>7</v>
      </c>
      <c r="X58" t="str">
        <f>TEXT(cleaneddata[[#This Row],[Order Date]],"mmm")</f>
        <v>Nov</v>
      </c>
      <c r="Y58">
        <f>cleaneddata[[#This Row],[Unit Price]]*cleaneddata[[#This Row],[Quantity]]*(1-cleaneddata[[#This Row],[Discount %]]/100)</f>
        <v>877.41049999999996</v>
      </c>
      <c r="Z58">
        <f>cleaneddata[[#This Row],[sales]]-cleaneddata[[#This Row],[Cost]]</f>
        <v>205.59049999999991</v>
      </c>
    </row>
    <row r="59" spans="1:26" x14ac:dyDescent="0.3">
      <c r="A59" t="s">
        <v>239</v>
      </c>
      <c r="B59" s="1">
        <v>45487</v>
      </c>
      <c r="C59" t="s">
        <v>240</v>
      </c>
      <c r="D59" t="s">
        <v>2794</v>
      </c>
      <c r="E59" s="1">
        <v>45489</v>
      </c>
      <c r="F59" t="s">
        <v>68</v>
      </c>
      <c r="G59" t="s">
        <v>66</v>
      </c>
      <c r="H59" t="s">
        <v>67</v>
      </c>
      <c r="I59" t="s">
        <v>2665</v>
      </c>
      <c r="J59" t="s">
        <v>2693</v>
      </c>
      <c r="K59" t="s">
        <v>25</v>
      </c>
      <c r="L59">
        <v>22</v>
      </c>
      <c r="M59">
        <v>5</v>
      </c>
      <c r="N59">
        <v>10</v>
      </c>
      <c r="O59" t="s">
        <v>241</v>
      </c>
      <c r="P59" t="s">
        <v>44</v>
      </c>
      <c r="Q59" t="s">
        <v>58</v>
      </c>
      <c r="R59" t="s">
        <v>43</v>
      </c>
      <c r="S59" t="s">
        <v>69</v>
      </c>
      <c r="T59">
        <v>5</v>
      </c>
      <c r="U59">
        <v>755.82</v>
      </c>
      <c r="V59">
        <v>1960.76</v>
      </c>
      <c r="W59">
        <v>2</v>
      </c>
      <c r="X59" t="str">
        <f>TEXT(cleaneddata[[#This Row],[Order Date]],"mmm")</f>
        <v>Jul</v>
      </c>
      <c r="Y59">
        <f>cleaneddata[[#This Row],[Unit Price]]*cleaneddata[[#This Row],[Quantity]]*(1-cleaneddata[[#This Row],[Discount %]]/100)</f>
        <v>3401.1900000000005</v>
      </c>
      <c r="Z59">
        <f>cleaneddata[[#This Row],[sales]]-cleaneddata[[#This Row],[Cost]]</f>
        <v>1440.4300000000005</v>
      </c>
    </row>
    <row r="60" spans="1:26" x14ac:dyDescent="0.3">
      <c r="A60" t="s">
        <v>242</v>
      </c>
      <c r="B60" s="1">
        <v>45963</v>
      </c>
      <c r="C60" t="s">
        <v>243</v>
      </c>
      <c r="D60" t="s">
        <v>3667</v>
      </c>
      <c r="E60" s="1">
        <v>45967</v>
      </c>
      <c r="F60" t="s">
        <v>68</v>
      </c>
      <c r="G60" t="s">
        <v>66</v>
      </c>
      <c r="H60" t="s">
        <v>67</v>
      </c>
      <c r="I60" t="s">
        <v>2623</v>
      </c>
      <c r="J60" t="s">
        <v>2691</v>
      </c>
      <c r="K60" t="s">
        <v>25</v>
      </c>
      <c r="L60">
        <v>24</v>
      </c>
      <c r="M60">
        <v>5</v>
      </c>
      <c r="N60">
        <v>15</v>
      </c>
      <c r="O60" t="s">
        <v>244</v>
      </c>
      <c r="P60" t="s">
        <v>75</v>
      </c>
      <c r="Q60" t="s">
        <v>117</v>
      </c>
      <c r="R60" t="s">
        <v>32</v>
      </c>
      <c r="S60" t="s">
        <v>69</v>
      </c>
      <c r="T60">
        <v>2</v>
      </c>
      <c r="U60">
        <v>824.13</v>
      </c>
      <c r="V60">
        <v>2047.39</v>
      </c>
      <c r="W60">
        <v>4</v>
      </c>
      <c r="X60" t="str">
        <f>TEXT(cleaneddata[[#This Row],[Order Date]],"mmm")</f>
        <v>Nov</v>
      </c>
      <c r="Y60">
        <f>cleaneddata[[#This Row],[Unit Price]]*cleaneddata[[#This Row],[Quantity]]*(1-cleaneddata[[#This Row],[Discount %]]/100)</f>
        <v>3502.5524999999998</v>
      </c>
      <c r="Z60">
        <f>cleaneddata[[#This Row],[sales]]-cleaneddata[[#This Row],[Cost]]</f>
        <v>1455.1624999999997</v>
      </c>
    </row>
    <row r="61" spans="1:26" x14ac:dyDescent="0.3">
      <c r="A61" t="s">
        <v>245</v>
      </c>
      <c r="B61" s="1">
        <v>46102</v>
      </c>
      <c r="C61" t="s">
        <v>246</v>
      </c>
      <c r="D61" t="s">
        <v>3666</v>
      </c>
      <c r="E61" s="1">
        <v>46103</v>
      </c>
      <c r="F61" t="s">
        <v>115</v>
      </c>
      <c r="G61" t="s">
        <v>66</v>
      </c>
      <c r="H61" t="s">
        <v>114</v>
      </c>
      <c r="I61" t="s">
        <v>2635</v>
      </c>
      <c r="J61" t="s">
        <v>2643</v>
      </c>
      <c r="K61" t="s">
        <v>52</v>
      </c>
      <c r="L61">
        <v>42</v>
      </c>
      <c r="M61">
        <v>3</v>
      </c>
      <c r="N61">
        <v>25</v>
      </c>
      <c r="O61" t="s">
        <v>247</v>
      </c>
      <c r="P61" t="s">
        <v>44</v>
      </c>
      <c r="Q61" t="s">
        <v>58</v>
      </c>
      <c r="R61" t="s">
        <v>32</v>
      </c>
      <c r="S61" t="s">
        <v>116</v>
      </c>
      <c r="T61">
        <v>5</v>
      </c>
      <c r="U61">
        <v>640.98</v>
      </c>
      <c r="V61">
        <v>889.51</v>
      </c>
      <c r="W61">
        <v>1</v>
      </c>
      <c r="X61" t="str">
        <f>TEXT(cleaneddata[[#This Row],[Order Date]],"mmm")</f>
        <v>Mar</v>
      </c>
      <c r="Y61">
        <f>cleaneddata[[#This Row],[Unit Price]]*cleaneddata[[#This Row],[Quantity]]*(1-cleaneddata[[#This Row],[Discount %]]/100)</f>
        <v>1442.2049999999999</v>
      </c>
      <c r="Z61">
        <f>cleaneddata[[#This Row],[sales]]-cleaneddata[[#This Row],[Cost]]</f>
        <v>552.69499999999994</v>
      </c>
    </row>
    <row r="62" spans="1:26" x14ac:dyDescent="0.3">
      <c r="A62" t="s">
        <v>248</v>
      </c>
      <c r="B62" s="1">
        <v>45893</v>
      </c>
      <c r="C62" t="s">
        <v>249</v>
      </c>
      <c r="D62" t="s">
        <v>3665</v>
      </c>
      <c r="E62" s="1">
        <v>45900</v>
      </c>
      <c r="F62" t="s">
        <v>2617</v>
      </c>
      <c r="G62" t="s">
        <v>27</v>
      </c>
      <c r="H62" t="s">
        <v>28</v>
      </c>
      <c r="I62" t="s">
        <v>2632</v>
      </c>
      <c r="J62" t="s">
        <v>2645</v>
      </c>
      <c r="K62" t="s">
        <v>25</v>
      </c>
      <c r="L62">
        <v>55</v>
      </c>
      <c r="M62">
        <v>4</v>
      </c>
      <c r="N62">
        <v>5</v>
      </c>
      <c r="O62" t="s">
        <v>250</v>
      </c>
      <c r="P62" t="s">
        <v>33</v>
      </c>
      <c r="Q62" t="s">
        <v>117</v>
      </c>
      <c r="R62" t="s">
        <v>71</v>
      </c>
      <c r="S62" t="s">
        <v>30</v>
      </c>
      <c r="T62">
        <v>1</v>
      </c>
      <c r="U62">
        <v>237.82</v>
      </c>
      <c r="V62">
        <v>458.12</v>
      </c>
      <c r="W62">
        <v>7</v>
      </c>
      <c r="X62" t="str">
        <f>TEXT(cleaneddata[[#This Row],[Order Date]],"mmm")</f>
        <v>Aug</v>
      </c>
      <c r="Y62">
        <f>cleaneddata[[#This Row],[Unit Price]]*cleaneddata[[#This Row],[Quantity]]*(1-cleaneddata[[#This Row],[Discount %]]/100)</f>
        <v>903.71599999999989</v>
      </c>
      <c r="Z62">
        <f>cleaneddata[[#This Row],[sales]]-cleaneddata[[#This Row],[Cost]]</f>
        <v>445.59599999999989</v>
      </c>
    </row>
    <row r="63" spans="1:26" x14ac:dyDescent="0.3">
      <c r="A63" t="s">
        <v>251</v>
      </c>
      <c r="B63" s="1">
        <v>45999</v>
      </c>
      <c r="C63" t="s">
        <v>252</v>
      </c>
      <c r="D63" t="s">
        <v>3664</v>
      </c>
      <c r="E63" s="1">
        <v>46005</v>
      </c>
      <c r="F63" t="s">
        <v>128</v>
      </c>
      <c r="G63" t="s">
        <v>98</v>
      </c>
      <c r="H63" t="s">
        <v>127</v>
      </c>
      <c r="I63" t="s">
        <v>2661</v>
      </c>
      <c r="J63" t="s">
        <v>2700</v>
      </c>
      <c r="K63" t="s">
        <v>52</v>
      </c>
      <c r="L63">
        <v>30</v>
      </c>
      <c r="M63">
        <v>5</v>
      </c>
      <c r="N63">
        <v>10</v>
      </c>
      <c r="O63" t="s">
        <v>156</v>
      </c>
      <c r="P63" t="s">
        <v>75</v>
      </c>
      <c r="Q63" t="s">
        <v>70</v>
      </c>
      <c r="R63" t="s">
        <v>62</v>
      </c>
      <c r="S63" t="s">
        <v>129</v>
      </c>
      <c r="T63">
        <v>5</v>
      </c>
      <c r="U63">
        <v>23.83</v>
      </c>
      <c r="V63">
        <v>62.71</v>
      </c>
      <c r="W63">
        <v>6</v>
      </c>
      <c r="X63" t="str">
        <f>TEXT(cleaneddata[[#This Row],[Order Date]],"mmm")</f>
        <v>Dec</v>
      </c>
      <c r="Y63">
        <f>cleaneddata[[#This Row],[Unit Price]]*cleaneddata[[#This Row],[Quantity]]*(1-cleaneddata[[#This Row],[Discount %]]/100)</f>
        <v>107.235</v>
      </c>
      <c r="Z63">
        <f>cleaneddata[[#This Row],[sales]]-cleaneddata[[#This Row],[Cost]]</f>
        <v>44.524999999999999</v>
      </c>
    </row>
    <row r="64" spans="1:26" x14ac:dyDescent="0.3">
      <c r="A64" t="s">
        <v>253</v>
      </c>
      <c r="B64" s="1">
        <v>46184</v>
      </c>
      <c r="C64" t="s">
        <v>254</v>
      </c>
      <c r="D64" t="s">
        <v>3663</v>
      </c>
      <c r="E64" s="1">
        <v>46187</v>
      </c>
      <c r="F64" t="s">
        <v>122</v>
      </c>
      <c r="G64" t="s">
        <v>120</v>
      </c>
      <c r="H64" t="s">
        <v>121</v>
      </c>
      <c r="I64" t="s">
        <v>2629</v>
      </c>
      <c r="J64" t="s">
        <v>2709</v>
      </c>
      <c r="K64" t="s">
        <v>25</v>
      </c>
      <c r="L64">
        <v>61</v>
      </c>
      <c r="M64">
        <v>2</v>
      </c>
      <c r="N64">
        <v>10</v>
      </c>
      <c r="O64" t="s">
        <v>255</v>
      </c>
      <c r="P64" t="s">
        <v>33</v>
      </c>
      <c r="Q64" t="s">
        <v>117</v>
      </c>
      <c r="R64" t="s">
        <v>43</v>
      </c>
      <c r="S64" t="s">
        <v>123</v>
      </c>
      <c r="T64">
        <v>3</v>
      </c>
      <c r="U64">
        <v>109.76</v>
      </c>
      <c r="V64">
        <v>162.79</v>
      </c>
      <c r="W64">
        <v>3</v>
      </c>
      <c r="X64" t="str">
        <f>TEXT(cleaneddata[[#This Row],[Order Date]],"mmm")</f>
        <v>Jun</v>
      </c>
      <c r="Y64">
        <f>cleaneddata[[#This Row],[Unit Price]]*cleaneddata[[#This Row],[Quantity]]*(1-cleaneddata[[#This Row],[Discount %]]/100)</f>
        <v>197.56800000000001</v>
      </c>
      <c r="Z64">
        <f>cleaneddata[[#This Row],[sales]]-cleaneddata[[#This Row],[Cost]]</f>
        <v>34.77800000000002</v>
      </c>
    </row>
    <row r="65" spans="1:26" x14ac:dyDescent="0.3">
      <c r="A65" t="s">
        <v>256</v>
      </c>
      <c r="B65" s="1">
        <v>46068</v>
      </c>
      <c r="C65" t="s">
        <v>257</v>
      </c>
      <c r="D65" t="s">
        <v>3662</v>
      </c>
      <c r="E65" s="1">
        <v>46073</v>
      </c>
      <c r="F65" t="s">
        <v>56</v>
      </c>
      <c r="G65" t="s">
        <v>54</v>
      </c>
      <c r="H65" t="s">
        <v>55</v>
      </c>
      <c r="I65" t="s">
        <v>2675</v>
      </c>
      <c r="J65" t="s">
        <v>2710</v>
      </c>
      <c r="K65" t="s">
        <v>25</v>
      </c>
      <c r="L65">
        <v>46</v>
      </c>
      <c r="M65">
        <v>5</v>
      </c>
      <c r="N65">
        <v>10</v>
      </c>
      <c r="O65" t="s">
        <v>258</v>
      </c>
      <c r="P65" t="s">
        <v>44</v>
      </c>
      <c r="Q65" t="s">
        <v>117</v>
      </c>
      <c r="R65" t="s">
        <v>43</v>
      </c>
      <c r="S65" t="s">
        <v>57</v>
      </c>
      <c r="T65">
        <v>4</v>
      </c>
      <c r="U65">
        <v>741.69</v>
      </c>
      <c r="V65">
        <v>1860.02</v>
      </c>
      <c r="W65">
        <v>5</v>
      </c>
      <c r="X65" t="str">
        <f>TEXT(cleaneddata[[#This Row],[Order Date]],"mmm")</f>
        <v>Feb</v>
      </c>
      <c r="Y65">
        <f>cleaneddata[[#This Row],[Unit Price]]*cleaneddata[[#This Row],[Quantity]]*(1-cleaneddata[[#This Row],[Discount %]]/100)</f>
        <v>3337.6050000000005</v>
      </c>
      <c r="Z65">
        <f>cleaneddata[[#This Row],[sales]]-cleaneddata[[#This Row],[Cost]]</f>
        <v>1477.5850000000005</v>
      </c>
    </row>
    <row r="66" spans="1:26" x14ac:dyDescent="0.3">
      <c r="A66" t="s">
        <v>259</v>
      </c>
      <c r="B66" s="1">
        <v>45822</v>
      </c>
      <c r="C66" t="s">
        <v>260</v>
      </c>
      <c r="D66" t="s">
        <v>3661</v>
      </c>
      <c r="E66" s="1">
        <v>45823</v>
      </c>
      <c r="F66" t="s">
        <v>56</v>
      </c>
      <c r="G66" t="s">
        <v>54</v>
      </c>
      <c r="H66" t="s">
        <v>55</v>
      </c>
      <c r="I66" t="s">
        <v>2629</v>
      </c>
      <c r="J66" t="s">
        <v>2697</v>
      </c>
      <c r="K66" t="s">
        <v>52</v>
      </c>
      <c r="L66">
        <v>42</v>
      </c>
      <c r="M66">
        <v>3</v>
      </c>
      <c r="N66">
        <v>20</v>
      </c>
      <c r="O66" t="s">
        <v>261</v>
      </c>
      <c r="P66" t="s">
        <v>44</v>
      </c>
      <c r="Q66" t="s">
        <v>31</v>
      </c>
      <c r="R66" t="s">
        <v>62</v>
      </c>
      <c r="S66" t="s">
        <v>57</v>
      </c>
      <c r="T66">
        <v>1</v>
      </c>
      <c r="U66">
        <v>64.400000000000006</v>
      </c>
      <c r="V66">
        <v>115.71</v>
      </c>
      <c r="W66">
        <v>1</v>
      </c>
      <c r="X66" t="str">
        <f>TEXT(cleaneddata[[#This Row],[Order Date]],"mmm")</f>
        <v>Jun</v>
      </c>
      <c r="Y66">
        <f>cleaneddata[[#This Row],[Unit Price]]*cleaneddata[[#This Row],[Quantity]]*(1-cleaneddata[[#This Row],[Discount %]]/100)</f>
        <v>154.56000000000003</v>
      </c>
      <c r="Z66">
        <f>cleaneddata[[#This Row],[sales]]-cleaneddata[[#This Row],[Cost]]</f>
        <v>38.850000000000037</v>
      </c>
    </row>
    <row r="67" spans="1:26" x14ac:dyDescent="0.3">
      <c r="A67" t="s">
        <v>262</v>
      </c>
      <c r="B67" s="1">
        <v>45723</v>
      </c>
      <c r="C67" t="s">
        <v>263</v>
      </c>
      <c r="D67" t="s">
        <v>3660</v>
      </c>
      <c r="E67" s="1">
        <v>45729</v>
      </c>
      <c r="F67" t="s">
        <v>100</v>
      </c>
      <c r="G67" t="s">
        <v>98</v>
      </c>
      <c r="H67" t="s">
        <v>99</v>
      </c>
      <c r="I67" t="s">
        <v>2668</v>
      </c>
      <c r="J67" t="s">
        <v>2708</v>
      </c>
      <c r="K67" t="s">
        <v>25</v>
      </c>
      <c r="L67">
        <v>51</v>
      </c>
      <c r="M67">
        <v>4</v>
      </c>
      <c r="N67">
        <v>5</v>
      </c>
      <c r="O67" t="s">
        <v>264</v>
      </c>
      <c r="P67" t="s">
        <v>33</v>
      </c>
      <c r="Q67" t="s">
        <v>42</v>
      </c>
      <c r="R67" t="s">
        <v>71</v>
      </c>
      <c r="S67" t="s">
        <v>101</v>
      </c>
      <c r="T67">
        <v>5</v>
      </c>
      <c r="U67">
        <v>889.73</v>
      </c>
      <c r="V67">
        <v>2824.63</v>
      </c>
      <c r="W67">
        <v>6</v>
      </c>
      <c r="X67" t="str">
        <f>TEXT(cleaneddata[[#This Row],[Order Date]],"mmm")</f>
        <v>Mar</v>
      </c>
      <c r="Y67">
        <f>cleaneddata[[#This Row],[Unit Price]]*cleaneddata[[#This Row],[Quantity]]*(1-cleaneddata[[#This Row],[Discount %]]/100)</f>
        <v>3380.9739999999997</v>
      </c>
      <c r="Z67">
        <f>cleaneddata[[#This Row],[sales]]-cleaneddata[[#This Row],[Cost]]</f>
        <v>556.3439999999996</v>
      </c>
    </row>
    <row r="68" spans="1:26" x14ac:dyDescent="0.3">
      <c r="A68" t="s">
        <v>265</v>
      </c>
      <c r="B68" s="1">
        <v>45504</v>
      </c>
      <c r="C68" t="s">
        <v>266</v>
      </c>
      <c r="D68" t="s">
        <v>3659</v>
      </c>
      <c r="E68" s="1">
        <v>45509</v>
      </c>
      <c r="F68" t="s">
        <v>100</v>
      </c>
      <c r="G68" t="s">
        <v>98</v>
      </c>
      <c r="H68" t="s">
        <v>99</v>
      </c>
      <c r="I68" t="s">
        <v>2623</v>
      </c>
      <c r="J68" t="s">
        <v>2701</v>
      </c>
      <c r="K68" t="s">
        <v>52</v>
      </c>
      <c r="L68">
        <v>59</v>
      </c>
      <c r="M68">
        <v>1</v>
      </c>
      <c r="N68">
        <v>20</v>
      </c>
      <c r="O68" t="s">
        <v>267</v>
      </c>
      <c r="P68" t="s">
        <v>33</v>
      </c>
      <c r="Q68" t="s">
        <v>58</v>
      </c>
      <c r="R68" t="s">
        <v>43</v>
      </c>
      <c r="S68" t="s">
        <v>101</v>
      </c>
      <c r="T68">
        <v>5</v>
      </c>
      <c r="U68">
        <v>304.26</v>
      </c>
      <c r="V68">
        <v>133.43</v>
      </c>
      <c r="W68">
        <v>5</v>
      </c>
      <c r="X68" t="str">
        <f>TEXT(cleaneddata[[#This Row],[Order Date]],"mmm")</f>
        <v>Jul</v>
      </c>
      <c r="Y68">
        <f>cleaneddata[[#This Row],[Unit Price]]*cleaneddata[[#This Row],[Quantity]]*(1-cleaneddata[[#This Row],[Discount %]]/100)</f>
        <v>243.40800000000002</v>
      </c>
      <c r="Z68">
        <f>cleaneddata[[#This Row],[sales]]-cleaneddata[[#This Row],[Cost]]</f>
        <v>109.97800000000001</v>
      </c>
    </row>
    <row r="69" spans="1:26" x14ac:dyDescent="0.3">
      <c r="A69" t="s">
        <v>268</v>
      </c>
      <c r="B69" s="1">
        <v>45539</v>
      </c>
      <c r="C69" t="s">
        <v>269</v>
      </c>
      <c r="D69" t="s">
        <v>3658</v>
      </c>
      <c r="E69" s="1">
        <v>45540</v>
      </c>
      <c r="F69" t="s">
        <v>2617</v>
      </c>
      <c r="G69" t="s">
        <v>27</v>
      </c>
      <c r="H69" t="s">
        <v>28</v>
      </c>
      <c r="I69" t="s">
        <v>2679</v>
      </c>
      <c r="J69" t="s">
        <v>2680</v>
      </c>
      <c r="K69" t="s">
        <v>52</v>
      </c>
      <c r="L69">
        <v>48</v>
      </c>
      <c r="M69">
        <v>4</v>
      </c>
      <c r="N69">
        <v>30</v>
      </c>
      <c r="O69" t="s">
        <v>270</v>
      </c>
      <c r="P69" t="s">
        <v>44</v>
      </c>
      <c r="Q69" t="s">
        <v>58</v>
      </c>
      <c r="R69" t="s">
        <v>71</v>
      </c>
      <c r="S69" t="s">
        <v>30</v>
      </c>
      <c r="T69">
        <v>3</v>
      </c>
      <c r="U69">
        <v>181.8</v>
      </c>
      <c r="V69">
        <v>280.31</v>
      </c>
      <c r="W69">
        <v>1</v>
      </c>
      <c r="X69" t="str">
        <f>TEXT(cleaneddata[[#This Row],[Order Date]],"mmm")</f>
        <v>Sep</v>
      </c>
      <c r="Y69">
        <f>cleaneddata[[#This Row],[Unit Price]]*cleaneddata[[#This Row],[Quantity]]*(1-cleaneddata[[#This Row],[Discount %]]/100)</f>
        <v>509.04</v>
      </c>
      <c r="Z69">
        <f>cleaneddata[[#This Row],[sales]]-cleaneddata[[#This Row],[Cost]]</f>
        <v>228.73000000000002</v>
      </c>
    </row>
    <row r="70" spans="1:26" x14ac:dyDescent="0.3">
      <c r="A70" t="s">
        <v>271</v>
      </c>
      <c r="B70" s="1">
        <v>46173</v>
      </c>
      <c r="C70" t="s">
        <v>272</v>
      </c>
      <c r="D70" t="s">
        <v>3657</v>
      </c>
      <c r="E70" s="1">
        <v>46174</v>
      </c>
      <c r="F70" t="s">
        <v>68</v>
      </c>
      <c r="G70" t="s">
        <v>66</v>
      </c>
      <c r="H70" t="s">
        <v>67</v>
      </c>
      <c r="I70" t="s">
        <v>2679</v>
      </c>
      <c r="J70" t="s">
        <v>2680</v>
      </c>
      <c r="K70" t="s">
        <v>52</v>
      </c>
      <c r="L70">
        <v>29</v>
      </c>
      <c r="M70">
        <v>2</v>
      </c>
      <c r="N70">
        <v>5</v>
      </c>
      <c r="O70" t="s">
        <v>273</v>
      </c>
      <c r="P70" t="s">
        <v>33</v>
      </c>
      <c r="Q70" t="s">
        <v>42</v>
      </c>
      <c r="R70" t="s">
        <v>32</v>
      </c>
      <c r="S70" t="s">
        <v>69</v>
      </c>
      <c r="T70">
        <v>1</v>
      </c>
      <c r="U70">
        <v>755.06</v>
      </c>
      <c r="V70">
        <v>935.11</v>
      </c>
      <c r="W70">
        <v>1</v>
      </c>
      <c r="X70" t="str">
        <f>TEXT(cleaneddata[[#This Row],[Order Date]],"mmm")</f>
        <v>May</v>
      </c>
      <c r="Y70">
        <f>cleaneddata[[#This Row],[Unit Price]]*cleaneddata[[#This Row],[Quantity]]*(1-cleaneddata[[#This Row],[Discount %]]/100)</f>
        <v>1434.6139999999998</v>
      </c>
      <c r="Z70">
        <f>cleaneddata[[#This Row],[sales]]-cleaneddata[[#This Row],[Cost]]</f>
        <v>499.50399999999979</v>
      </c>
    </row>
    <row r="71" spans="1:26" x14ac:dyDescent="0.3">
      <c r="A71" t="s">
        <v>274</v>
      </c>
      <c r="B71" s="1">
        <v>45668</v>
      </c>
      <c r="C71" t="s">
        <v>275</v>
      </c>
      <c r="D71" t="s">
        <v>3656</v>
      </c>
      <c r="E71" s="1">
        <v>45670</v>
      </c>
      <c r="F71" t="s">
        <v>100</v>
      </c>
      <c r="G71" t="s">
        <v>98</v>
      </c>
      <c r="H71" t="s">
        <v>99</v>
      </c>
      <c r="I71" t="s">
        <v>2625</v>
      </c>
      <c r="J71" t="s">
        <v>2667</v>
      </c>
      <c r="K71" t="s">
        <v>25</v>
      </c>
      <c r="L71">
        <v>27</v>
      </c>
      <c r="M71">
        <v>2</v>
      </c>
      <c r="N71">
        <v>25</v>
      </c>
      <c r="O71" t="s">
        <v>276</v>
      </c>
      <c r="P71" t="s">
        <v>44</v>
      </c>
      <c r="Q71" t="s">
        <v>117</v>
      </c>
      <c r="R71" t="s">
        <v>43</v>
      </c>
      <c r="S71" t="s">
        <v>101</v>
      </c>
      <c r="T71">
        <v>3</v>
      </c>
      <c r="U71">
        <v>523.73</v>
      </c>
      <c r="V71">
        <v>406.74</v>
      </c>
      <c r="W71">
        <v>2</v>
      </c>
      <c r="X71" t="str">
        <f>TEXT(cleaneddata[[#This Row],[Order Date]],"mmm")</f>
        <v>Jan</v>
      </c>
      <c r="Y71">
        <f>cleaneddata[[#This Row],[Unit Price]]*cleaneddata[[#This Row],[Quantity]]*(1-cleaneddata[[#This Row],[Discount %]]/100)</f>
        <v>785.59500000000003</v>
      </c>
      <c r="Z71">
        <f>cleaneddata[[#This Row],[sales]]-cleaneddata[[#This Row],[Cost]]</f>
        <v>378.85500000000002</v>
      </c>
    </row>
    <row r="72" spans="1:26" x14ac:dyDescent="0.3">
      <c r="A72" t="s">
        <v>277</v>
      </c>
      <c r="B72" s="1">
        <v>45470</v>
      </c>
      <c r="C72" t="s">
        <v>278</v>
      </c>
      <c r="D72" t="s">
        <v>3655</v>
      </c>
      <c r="E72" s="1">
        <v>45477</v>
      </c>
      <c r="F72" t="s">
        <v>2617</v>
      </c>
      <c r="G72" t="s">
        <v>27</v>
      </c>
      <c r="H72" t="s">
        <v>28</v>
      </c>
      <c r="I72" t="s">
        <v>2668</v>
      </c>
      <c r="J72" t="s">
        <v>2682</v>
      </c>
      <c r="K72" t="s">
        <v>25</v>
      </c>
      <c r="L72">
        <v>47</v>
      </c>
      <c r="M72">
        <v>5</v>
      </c>
      <c r="N72">
        <v>25</v>
      </c>
      <c r="O72" t="s">
        <v>279</v>
      </c>
      <c r="P72" t="s">
        <v>44</v>
      </c>
      <c r="Q72" t="s">
        <v>70</v>
      </c>
      <c r="R72" t="s">
        <v>43</v>
      </c>
      <c r="S72" t="s">
        <v>30</v>
      </c>
      <c r="T72">
        <v>5</v>
      </c>
      <c r="U72">
        <v>574.62</v>
      </c>
      <c r="V72">
        <v>1410.73</v>
      </c>
      <c r="W72">
        <v>7</v>
      </c>
      <c r="X72" t="str">
        <f>TEXT(cleaneddata[[#This Row],[Order Date]],"mmm")</f>
        <v>Jun</v>
      </c>
      <c r="Y72">
        <f>cleaneddata[[#This Row],[Unit Price]]*cleaneddata[[#This Row],[Quantity]]*(1-cleaneddata[[#This Row],[Discount %]]/100)</f>
        <v>2154.8249999999998</v>
      </c>
      <c r="Z72">
        <f>cleaneddata[[#This Row],[sales]]-cleaneddata[[#This Row],[Cost]]</f>
        <v>744.0949999999998</v>
      </c>
    </row>
    <row r="73" spans="1:26" x14ac:dyDescent="0.3">
      <c r="A73" t="s">
        <v>280</v>
      </c>
      <c r="B73" s="1">
        <v>46061</v>
      </c>
      <c r="C73" t="s">
        <v>281</v>
      </c>
      <c r="D73" t="s">
        <v>3654</v>
      </c>
      <c r="E73" s="1">
        <v>46067</v>
      </c>
      <c r="F73" t="s">
        <v>56</v>
      </c>
      <c r="G73" t="s">
        <v>54</v>
      </c>
      <c r="H73" t="s">
        <v>55</v>
      </c>
      <c r="I73" t="s">
        <v>2629</v>
      </c>
      <c r="J73" t="s">
        <v>2697</v>
      </c>
      <c r="K73" t="s">
        <v>52</v>
      </c>
      <c r="L73">
        <v>24</v>
      </c>
      <c r="M73">
        <v>3</v>
      </c>
      <c r="N73">
        <v>30</v>
      </c>
      <c r="O73" t="s">
        <v>282</v>
      </c>
      <c r="P73" t="s">
        <v>75</v>
      </c>
      <c r="Q73" t="s">
        <v>70</v>
      </c>
      <c r="R73" t="s">
        <v>62</v>
      </c>
      <c r="S73" t="s">
        <v>57</v>
      </c>
      <c r="T73">
        <v>3</v>
      </c>
      <c r="U73">
        <v>902.38</v>
      </c>
      <c r="V73">
        <v>1432.65</v>
      </c>
      <c r="W73">
        <v>6</v>
      </c>
      <c r="X73" t="str">
        <f>TEXT(cleaneddata[[#This Row],[Order Date]],"mmm")</f>
        <v>Feb</v>
      </c>
      <c r="Y73">
        <f>cleaneddata[[#This Row],[Unit Price]]*cleaneddata[[#This Row],[Quantity]]*(1-cleaneddata[[#This Row],[Discount %]]/100)</f>
        <v>1894.9979999999998</v>
      </c>
      <c r="Z73">
        <f>cleaneddata[[#This Row],[sales]]-cleaneddata[[#This Row],[Cost]]</f>
        <v>462.34799999999973</v>
      </c>
    </row>
    <row r="74" spans="1:26" x14ac:dyDescent="0.3">
      <c r="A74" t="s">
        <v>283</v>
      </c>
      <c r="B74" s="1">
        <v>45702</v>
      </c>
      <c r="C74" t="s">
        <v>284</v>
      </c>
      <c r="D74" t="s">
        <v>3653</v>
      </c>
      <c r="E74" s="1">
        <v>45703</v>
      </c>
      <c r="F74" t="s">
        <v>100</v>
      </c>
      <c r="G74" t="s">
        <v>98</v>
      </c>
      <c r="H74" t="s">
        <v>99</v>
      </c>
      <c r="I74" t="s">
        <v>2652</v>
      </c>
      <c r="J74" t="s">
        <v>2653</v>
      </c>
      <c r="K74" t="s">
        <v>25</v>
      </c>
      <c r="L74">
        <v>25</v>
      </c>
      <c r="M74">
        <v>2</v>
      </c>
      <c r="N74">
        <v>0</v>
      </c>
      <c r="O74" t="s">
        <v>285</v>
      </c>
      <c r="P74" t="s">
        <v>75</v>
      </c>
      <c r="Q74" t="s">
        <v>117</v>
      </c>
      <c r="R74" t="s">
        <v>32</v>
      </c>
      <c r="S74" t="s">
        <v>101</v>
      </c>
      <c r="T74">
        <v>4</v>
      </c>
      <c r="U74">
        <v>732.79</v>
      </c>
      <c r="V74">
        <v>1108.8499999999999</v>
      </c>
      <c r="W74">
        <v>1</v>
      </c>
      <c r="X74" t="str">
        <f>TEXT(cleaneddata[[#This Row],[Order Date]],"mmm")</f>
        <v>Feb</v>
      </c>
      <c r="Y74">
        <f>cleaneddata[[#This Row],[Unit Price]]*cleaneddata[[#This Row],[Quantity]]*(1-cleaneddata[[#This Row],[Discount %]]/100)</f>
        <v>1465.58</v>
      </c>
      <c r="Z74">
        <f>cleaneddata[[#This Row],[sales]]-cleaneddata[[#This Row],[Cost]]</f>
        <v>356.73</v>
      </c>
    </row>
    <row r="75" spans="1:26" x14ac:dyDescent="0.3">
      <c r="A75" t="s">
        <v>286</v>
      </c>
      <c r="B75" s="1">
        <v>45921</v>
      </c>
      <c r="C75" t="s">
        <v>287</v>
      </c>
      <c r="D75" t="s">
        <v>3652</v>
      </c>
      <c r="E75" s="1">
        <v>45923</v>
      </c>
      <c r="F75" t="s">
        <v>122</v>
      </c>
      <c r="G75" t="s">
        <v>120</v>
      </c>
      <c r="H75" t="s">
        <v>121</v>
      </c>
      <c r="I75" t="s">
        <v>2635</v>
      </c>
      <c r="J75" t="s">
        <v>2677</v>
      </c>
      <c r="K75" t="s">
        <v>25</v>
      </c>
      <c r="L75">
        <v>26</v>
      </c>
      <c r="M75">
        <v>2</v>
      </c>
      <c r="N75">
        <v>30</v>
      </c>
      <c r="O75" t="s">
        <v>288</v>
      </c>
      <c r="P75" t="s">
        <v>44</v>
      </c>
      <c r="Q75" t="s">
        <v>31</v>
      </c>
      <c r="R75" t="s">
        <v>32</v>
      </c>
      <c r="S75" t="s">
        <v>123</v>
      </c>
      <c r="T75">
        <v>5</v>
      </c>
      <c r="U75">
        <v>63.95</v>
      </c>
      <c r="V75">
        <v>72.09</v>
      </c>
      <c r="W75">
        <v>2</v>
      </c>
      <c r="X75" t="str">
        <f>TEXT(cleaneddata[[#This Row],[Order Date]],"mmm")</f>
        <v>Sep</v>
      </c>
      <c r="Y75">
        <f>cleaneddata[[#This Row],[Unit Price]]*cleaneddata[[#This Row],[Quantity]]*(1-cleaneddata[[#This Row],[Discount %]]/100)</f>
        <v>89.53</v>
      </c>
      <c r="Z75">
        <f>cleaneddata[[#This Row],[sales]]-cleaneddata[[#This Row],[Cost]]</f>
        <v>17.439999999999998</v>
      </c>
    </row>
    <row r="76" spans="1:26" x14ac:dyDescent="0.3">
      <c r="A76" t="s">
        <v>289</v>
      </c>
      <c r="B76" s="1">
        <v>45754</v>
      </c>
      <c r="C76" t="s">
        <v>290</v>
      </c>
      <c r="D76" t="s">
        <v>3651</v>
      </c>
      <c r="E76" s="1">
        <v>45757</v>
      </c>
      <c r="F76" t="s">
        <v>140</v>
      </c>
      <c r="G76" t="s">
        <v>38</v>
      </c>
      <c r="H76" t="s">
        <v>139</v>
      </c>
      <c r="I76" t="s">
        <v>2631</v>
      </c>
      <c r="J76" t="s">
        <v>2711</v>
      </c>
      <c r="K76" t="s">
        <v>25</v>
      </c>
      <c r="L76">
        <v>45</v>
      </c>
      <c r="M76">
        <v>3</v>
      </c>
      <c r="N76">
        <v>20</v>
      </c>
      <c r="O76" t="s">
        <v>291</v>
      </c>
      <c r="P76" t="s">
        <v>44</v>
      </c>
      <c r="Q76" t="s">
        <v>117</v>
      </c>
      <c r="R76" t="s">
        <v>32</v>
      </c>
      <c r="S76" t="s">
        <v>141</v>
      </c>
      <c r="T76">
        <v>5</v>
      </c>
      <c r="U76">
        <v>871.25</v>
      </c>
      <c r="V76">
        <v>1123.8499999999999</v>
      </c>
      <c r="W76">
        <v>3</v>
      </c>
      <c r="X76" t="str">
        <f>TEXT(cleaneddata[[#This Row],[Order Date]],"mmm")</f>
        <v>Apr</v>
      </c>
      <c r="Y76">
        <f>cleaneddata[[#This Row],[Unit Price]]*cleaneddata[[#This Row],[Quantity]]*(1-cleaneddata[[#This Row],[Discount %]]/100)</f>
        <v>2091</v>
      </c>
      <c r="Z76">
        <f>cleaneddata[[#This Row],[sales]]-cleaneddata[[#This Row],[Cost]]</f>
        <v>967.15000000000009</v>
      </c>
    </row>
    <row r="77" spans="1:26" x14ac:dyDescent="0.3">
      <c r="A77" t="s">
        <v>292</v>
      </c>
      <c r="B77" s="1">
        <v>45839</v>
      </c>
      <c r="C77" t="s">
        <v>112</v>
      </c>
      <c r="D77" t="s">
        <v>3650</v>
      </c>
      <c r="E77" s="1">
        <v>45840</v>
      </c>
      <c r="F77" t="s">
        <v>68</v>
      </c>
      <c r="G77" t="s">
        <v>66</v>
      </c>
      <c r="H77" t="s">
        <v>67</v>
      </c>
      <c r="I77" t="s">
        <v>2625</v>
      </c>
      <c r="J77" t="s">
        <v>2667</v>
      </c>
      <c r="K77" t="s">
        <v>52</v>
      </c>
      <c r="L77">
        <v>22</v>
      </c>
      <c r="M77">
        <v>3</v>
      </c>
      <c r="N77">
        <v>30</v>
      </c>
      <c r="O77" t="s">
        <v>293</v>
      </c>
      <c r="P77" t="s">
        <v>33</v>
      </c>
      <c r="Q77" t="s">
        <v>117</v>
      </c>
      <c r="R77" t="s">
        <v>32</v>
      </c>
      <c r="S77" t="s">
        <v>69</v>
      </c>
      <c r="T77">
        <v>3</v>
      </c>
      <c r="U77">
        <v>507.82</v>
      </c>
      <c r="V77">
        <v>624.64</v>
      </c>
      <c r="W77">
        <v>1</v>
      </c>
      <c r="X77" t="str">
        <f>TEXT(cleaneddata[[#This Row],[Order Date]],"mmm")</f>
        <v>Jul</v>
      </c>
      <c r="Y77">
        <f>cleaneddata[[#This Row],[Unit Price]]*cleaneddata[[#This Row],[Quantity]]*(1-cleaneddata[[#This Row],[Discount %]]/100)</f>
        <v>1066.422</v>
      </c>
      <c r="Z77">
        <f>cleaneddata[[#This Row],[sales]]-cleaneddata[[#This Row],[Cost]]</f>
        <v>441.78200000000004</v>
      </c>
    </row>
    <row r="78" spans="1:26" x14ac:dyDescent="0.3">
      <c r="A78" t="s">
        <v>294</v>
      </c>
      <c r="B78" s="1">
        <v>45815</v>
      </c>
      <c r="C78" t="s">
        <v>295</v>
      </c>
      <c r="D78" t="s">
        <v>3649</v>
      </c>
      <c r="E78" s="1">
        <v>45816</v>
      </c>
      <c r="F78" t="s">
        <v>128</v>
      </c>
      <c r="G78" t="s">
        <v>98</v>
      </c>
      <c r="H78" t="s">
        <v>127</v>
      </c>
      <c r="I78" t="s">
        <v>2625</v>
      </c>
      <c r="J78" t="s">
        <v>2667</v>
      </c>
      <c r="K78" t="s">
        <v>25</v>
      </c>
      <c r="L78">
        <v>45</v>
      </c>
      <c r="M78">
        <v>3</v>
      </c>
      <c r="N78">
        <v>0</v>
      </c>
      <c r="O78" t="s">
        <v>296</v>
      </c>
      <c r="P78" t="s">
        <v>44</v>
      </c>
      <c r="Q78" t="s">
        <v>31</v>
      </c>
      <c r="R78" t="s">
        <v>32</v>
      </c>
      <c r="S78" t="s">
        <v>129</v>
      </c>
      <c r="T78">
        <v>1</v>
      </c>
      <c r="U78">
        <v>322.85000000000002</v>
      </c>
      <c r="V78">
        <v>614</v>
      </c>
      <c r="W78">
        <v>1</v>
      </c>
      <c r="X78" t="str">
        <f>TEXT(cleaneddata[[#This Row],[Order Date]],"mmm")</f>
        <v>Jun</v>
      </c>
      <c r="Y78">
        <f>cleaneddata[[#This Row],[Unit Price]]*cleaneddata[[#This Row],[Quantity]]*(1-cleaneddata[[#This Row],[Discount %]]/100)</f>
        <v>968.55000000000007</v>
      </c>
      <c r="Z78">
        <f>cleaneddata[[#This Row],[sales]]-cleaneddata[[#This Row],[Cost]]</f>
        <v>354.55000000000007</v>
      </c>
    </row>
    <row r="79" spans="1:26" x14ac:dyDescent="0.3">
      <c r="A79" t="s">
        <v>297</v>
      </c>
      <c r="B79" s="1">
        <v>45772</v>
      </c>
      <c r="C79" t="s">
        <v>298</v>
      </c>
      <c r="D79" t="s">
        <v>3648</v>
      </c>
      <c r="E79" s="1">
        <v>45773</v>
      </c>
      <c r="F79" t="s">
        <v>140</v>
      </c>
      <c r="G79" t="s">
        <v>38</v>
      </c>
      <c r="H79" t="s">
        <v>139</v>
      </c>
      <c r="I79" t="s">
        <v>2625</v>
      </c>
      <c r="J79" t="s">
        <v>2651</v>
      </c>
      <c r="K79" t="s">
        <v>25</v>
      </c>
      <c r="L79">
        <v>45</v>
      </c>
      <c r="M79">
        <v>3</v>
      </c>
      <c r="N79">
        <v>10</v>
      </c>
      <c r="O79" t="s">
        <v>299</v>
      </c>
      <c r="P79" t="s">
        <v>75</v>
      </c>
      <c r="Q79" t="s">
        <v>58</v>
      </c>
      <c r="R79" t="s">
        <v>62</v>
      </c>
      <c r="S79" t="s">
        <v>141</v>
      </c>
      <c r="T79">
        <v>4</v>
      </c>
      <c r="U79">
        <v>76.64</v>
      </c>
      <c r="V79">
        <v>146.13999999999999</v>
      </c>
      <c r="W79">
        <v>1</v>
      </c>
      <c r="X79" t="str">
        <f>TEXT(cleaneddata[[#This Row],[Order Date]],"mmm")</f>
        <v>Apr</v>
      </c>
      <c r="Y79">
        <f>cleaneddata[[#This Row],[Unit Price]]*cleaneddata[[#This Row],[Quantity]]*(1-cleaneddata[[#This Row],[Discount %]]/100)</f>
        <v>206.92800000000003</v>
      </c>
      <c r="Z79">
        <f>cleaneddata[[#This Row],[sales]]-cleaneddata[[#This Row],[Cost]]</f>
        <v>60.788000000000039</v>
      </c>
    </row>
    <row r="80" spans="1:26" x14ac:dyDescent="0.3">
      <c r="A80" t="s">
        <v>300</v>
      </c>
      <c r="B80" s="1">
        <v>45380</v>
      </c>
      <c r="C80" t="s">
        <v>301</v>
      </c>
      <c r="D80" t="s">
        <v>3647</v>
      </c>
      <c r="E80" s="1">
        <v>45386</v>
      </c>
      <c r="F80" t="s">
        <v>100</v>
      </c>
      <c r="G80" t="s">
        <v>98</v>
      </c>
      <c r="H80" t="s">
        <v>99</v>
      </c>
      <c r="I80" t="s">
        <v>2639</v>
      </c>
      <c r="J80" t="s">
        <v>2640</v>
      </c>
      <c r="K80" t="s">
        <v>52</v>
      </c>
      <c r="L80">
        <v>56</v>
      </c>
      <c r="M80">
        <v>4</v>
      </c>
      <c r="N80">
        <v>30</v>
      </c>
      <c r="O80" t="s">
        <v>302</v>
      </c>
      <c r="P80" t="s">
        <v>33</v>
      </c>
      <c r="Q80" t="s">
        <v>58</v>
      </c>
      <c r="R80" t="s">
        <v>62</v>
      </c>
      <c r="S80" t="s">
        <v>101</v>
      </c>
      <c r="T80">
        <v>5</v>
      </c>
      <c r="U80">
        <v>525.62</v>
      </c>
      <c r="V80">
        <v>1075.27</v>
      </c>
      <c r="W80">
        <v>6</v>
      </c>
      <c r="X80" t="str">
        <f>TEXT(cleaneddata[[#This Row],[Order Date]],"mmm")</f>
        <v>Mar</v>
      </c>
      <c r="Y80">
        <f>cleaneddata[[#This Row],[Unit Price]]*cleaneddata[[#This Row],[Quantity]]*(1-cleaneddata[[#This Row],[Discount %]]/100)</f>
        <v>1471.7359999999999</v>
      </c>
      <c r="Z80">
        <f>cleaneddata[[#This Row],[sales]]-cleaneddata[[#This Row],[Cost]]</f>
        <v>396.46599999999989</v>
      </c>
    </row>
    <row r="81" spans="1:26" x14ac:dyDescent="0.3">
      <c r="A81" t="s">
        <v>303</v>
      </c>
      <c r="B81" s="1">
        <v>46011</v>
      </c>
      <c r="C81" t="s">
        <v>304</v>
      </c>
      <c r="D81" t="s">
        <v>3646</v>
      </c>
      <c r="E81" s="1">
        <v>46013</v>
      </c>
      <c r="F81" t="s">
        <v>68</v>
      </c>
      <c r="G81" t="s">
        <v>66</v>
      </c>
      <c r="H81" t="s">
        <v>67</v>
      </c>
      <c r="I81" t="s">
        <v>2622</v>
      </c>
      <c r="J81" t="s">
        <v>2705</v>
      </c>
      <c r="K81" t="s">
        <v>52</v>
      </c>
      <c r="L81">
        <v>60</v>
      </c>
      <c r="M81">
        <v>3</v>
      </c>
      <c r="N81">
        <v>5</v>
      </c>
      <c r="O81" t="s">
        <v>305</v>
      </c>
      <c r="P81" t="s">
        <v>33</v>
      </c>
      <c r="Q81" t="s">
        <v>117</v>
      </c>
      <c r="R81" t="s">
        <v>43</v>
      </c>
      <c r="S81" t="s">
        <v>69</v>
      </c>
      <c r="T81">
        <v>4</v>
      </c>
      <c r="U81">
        <v>252.58</v>
      </c>
      <c r="V81">
        <v>451.58</v>
      </c>
      <c r="W81">
        <v>2</v>
      </c>
      <c r="X81" t="str">
        <f>TEXT(cleaneddata[[#This Row],[Order Date]],"mmm")</f>
        <v>Dec</v>
      </c>
      <c r="Y81">
        <f>cleaneddata[[#This Row],[Unit Price]]*cleaneddata[[#This Row],[Quantity]]*(1-cleaneddata[[#This Row],[Discount %]]/100)</f>
        <v>719.85299999999995</v>
      </c>
      <c r="Z81">
        <f>cleaneddata[[#This Row],[sales]]-cleaneddata[[#This Row],[Cost]]</f>
        <v>268.27299999999997</v>
      </c>
    </row>
    <row r="82" spans="1:26" x14ac:dyDescent="0.3">
      <c r="A82" t="s">
        <v>306</v>
      </c>
      <c r="B82" s="1">
        <v>45833</v>
      </c>
      <c r="C82" t="s">
        <v>307</v>
      </c>
      <c r="D82" t="s">
        <v>3645</v>
      </c>
      <c r="E82" s="1">
        <v>45836</v>
      </c>
      <c r="F82" t="s">
        <v>2617</v>
      </c>
      <c r="G82" t="s">
        <v>27</v>
      </c>
      <c r="H82" t="s">
        <v>28</v>
      </c>
      <c r="I82" t="s">
        <v>2654</v>
      </c>
      <c r="J82" t="s">
        <v>2684</v>
      </c>
      <c r="K82" t="s">
        <v>25</v>
      </c>
      <c r="L82">
        <v>41</v>
      </c>
      <c r="M82">
        <v>5</v>
      </c>
      <c r="N82">
        <v>10</v>
      </c>
      <c r="O82" t="s">
        <v>308</v>
      </c>
      <c r="P82" t="s">
        <v>44</v>
      </c>
      <c r="Q82" t="s">
        <v>58</v>
      </c>
      <c r="R82" t="s">
        <v>71</v>
      </c>
      <c r="S82" t="s">
        <v>30</v>
      </c>
      <c r="T82">
        <v>4</v>
      </c>
      <c r="U82">
        <v>573.69000000000005</v>
      </c>
      <c r="V82">
        <v>2037.46</v>
      </c>
      <c r="W82">
        <v>3</v>
      </c>
      <c r="X82" t="str">
        <f>TEXT(cleaneddata[[#This Row],[Order Date]],"mmm")</f>
        <v>Jun</v>
      </c>
      <c r="Y82">
        <f>cleaneddata[[#This Row],[Unit Price]]*cleaneddata[[#This Row],[Quantity]]*(1-cleaneddata[[#This Row],[Discount %]]/100)</f>
        <v>2581.6050000000005</v>
      </c>
      <c r="Z82">
        <f>cleaneddata[[#This Row],[sales]]-cleaneddata[[#This Row],[Cost]]</f>
        <v>544.14500000000044</v>
      </c>
    </row>
    <row r="83" spans="1:26" x14ac:dyDescent="0.3">
      <c r="A83" t="s">
        <v>309</v>
      </c>
      <c r="B83" s="1">
        <v>46093</v>
      </c>
      <c r="C83" t="s">
        <v>310</v>
      </c>
      <c r="D83" t="s">
        <v>3644</v>
      </c>
      <c r="E83" s="1">
        <v>46094</v>
      </c>
      <c r="F83" t="s">
        <v>100</v>
      </c>
      <c r="G83" t="s">
        <v>98</v>
      </c>
      <c r="H83" t="s">
        <v>99</v>
      </c>
      <c r="I83" t="s">
        <v>2654</v>
      </c>
      <c r="J83" t="s">
        <v>2655</v>
      </c>
      <c r="K83" t="s">
        <v>52</v>
      </c>
      <c r="L83">
        <v>37</v>
      </c>
      <c r="M83">
        <v>3</v>
      </c>
      <c r="N83">
        <v>10</v>
      </c>
      <c r="O83" t="s">
        <v>311</v>
      </c>
      <c r="P83" t="s">
        <v>75</v>
      </c>
      <c r="Q83" t="s">
        <v>117</v>
      </c>
      <c r="R83" t="s">
        <v>43</v>
      </c>
      <c r="S83" t="s">
        <v>101</v>
      </c>
      <c r="T83">
        <v>5</v>
      </c>
      <c r="U83">
        <v>844.48</v>
      </c>
      <c r="V83">
        <v>1631.23</v>
      </c>
      <c r="W83">
        <v>1</v>
      </c>
      <c r="X83" t="str">
        <f>TEXT(cleaneddata[[#This Row],[Order Date]],"mmm")</f>
        <v>Mar</v>
      </c>
      <c r="Y83">
        <f>cleaneddata[[#This Row],[Unit Price]]*cleaneddata[[#This Row],[Quantity]]*(1-cleaneddata[[#This Row],[Discount %]]/100)</f>
        <v>2280.096</v>
      </c>
      <c r="Z83">
        <f>cleaneddata[[#This Row],[sales]]-cleaneddata[[#This Row],[Cost]]</f>
        <v>648.86599999999999</v>
      </c>
    </row>
    <row r="84" spans="1:26" x14ac:dyDescent="0.3">
      <c r="A84" t="s">
        <v>312</v>
      </c>
      <c r="B84" s="1">
        <v>46094</v>
      </c>
      <c r="C84" t="s">
        <v>313</v>
      </c>
      <c r="D84" t="s">
        <v>3643</v>
      </c>
      <c r="E84" s="1">
        <v>46098</v>
      </c>
      <c r="F84" t="s">
        <v>56</v>
      </c>
      <c r="G84" t="s">
        <v>54</v>
      </c>
      <c r="H84" t="s">
        <v>55</v>
      </c>
      <c r="I84" t="s">
        <v>2656</v>
      </c>
      <c r="J84" t="s">
        <v>2712</v>
      </c>
      <c r="K84" t="s">
        <v>25</v>
      </c>
      <c r="L84">
        <v>59</v>
      </c>
      <c r="M84">
        <v>1</v>
      </c>
      <c r="N84">
        <v>15</v>
      </c>
      <c r="O84" t="s">
        <v>37</v>
      </c>
      <c r="P84" t="s">
        <v>44</v>
      </c>
      <c r="Q84" t="s">
        <v>117</v>
      </c>
      <c r="R84" t="s">
        <v>43</v>
      </c>
      <c r="S84" t="s">
        <v>57</v>
      </c>
      <c r="T84">
        <v>2</v>
      </c>
      <c r="U84">
        <v>175.24</v>
      </c>
      <c r="V84">
        <v>113.39</v>
      </c>
      <c r="W84">
        <v>4</v>
      </c>
      <c r="X84" t="str">
        <f>TEXT(cleaneddata[[#This Row],[Order Date]],"mmm")</f>
        <v>Mar</v>
      </c>
      <c r="Y84">
        <f>cleaneddata[[#This Row],[Unit Price]]*cleaneddata[[#This Row],[Quantity]]*(1-cleaneddata[[#This Row],[Discount %]]/100)</f>
        <v>148.95400000000001</v>
      </c>
      <c r="Z84">
        <f>cleaneddata[[#This Row],[sales]]-cleaneddata[[#This Row],[Cost]]</f>
        <v>35.564000000000007</v>
      </c>
    </row>
    <row r="85" spans="1:26" x14ac:dyDescent="0.3">
      <c r="A85" t="s">
        <v>314</v>
      </c>
      <c r="B85" s="1">
        <v>45909</v>
      </c>
      <c r="C85" t="s">
        <v>315</v>
      </c>
      <c r="D85" t="s">
        <v>3642</v>
      </c>
      <c r="E85" s="1">
        <v>45916</v>
      </c>
      <c r="F85" t="s">
        <v>122</v>
      </c>
      <c r="G85" t="s">
        <v>120</v>
      </c>
      <c r="H85" t="s">
        <v>121</v>
      </c>
      <c r="I85" t="s">
        <v>2629</v>
      </c>
      <c r="J85" t="s">
        <v>2630</v>
      </c>
      <c r="K85" t="s">
        <v>52</v>
      </c>
      <c r="L85">
        <v>39</v>
      </c>
      <c r="M85">
        <v>2</v>
      </c>
      <c r="N85">
        <v>30</v>
      </c>
      <c r="O85" t="s">
        <v>316</v>
      </c>
      <c r="P85" t="s">
        <v>75</v>
      </c>
      <c r="Q85" t="s">
        <v>117</v>
      </c>
      <c r="R85" t="s">
        <v>43</v>
      </c>
      <c r="S85" t="s">
        <v>123</v>
      </c>
      <c r="T85">
        <v>1</v>
      </c>
      <c r="U85">
        <v>837.42</v>
      </c>
      <c r="V85">
        <v>936.12</v>
      </c>
      <c r="W85">
        <v>7</v>
      </c>
      <c r="X85" t="str">
        <f>TEXT(cleaneddata[[#This Row],[Order Date]],"mmm")</f>
        <v>Sep</v>
      </c>
      <c r="Y85">
        <f>cleaneddata[[#This Row],[Unit Price]]*cleaneddata[[#This Row],[Quantity]]*(1-cleaneddata[[#This Row],[Discount %]]/100)</f>
        <v>1172.3879999999999</v>
      </c>
      <c r="Z85">
        <f>cleaneddata[[#This Row],[sales]]-cleaneddata[[#This Row],[Cost]]</f>
        <v>236.26799999999992</v>
      </c>
    </row>
    <row r="86" spans="1:26" x14ac:dyDescent="0.3">
      <c r="A86" t="s">
        <v>317</v>
      </c>
      <c r="B86" s="1">
        <v>45666</v>
      </c>
      <c r="C86" t="s">
        <v>318</v>
      </c>
      <c r="D86" t="s">
        <v>3641</v>
      </c>
      <c r="E86" s="1">
        <v>45669</v>
      </c>
      <c r="F86" t="s">
        <v>56</v>
      </c>
      <c r="G86" t="s">
        <v>54</v>
      </c>
      <c r="H86" t="s">
        <v>55</v>
      </c>
      <c r="I86" t="s">
        <v>2656</v>
      </c>
      <c r="J86" t="s">
        <v>2683</v>
      </c>
      <c r="K86" t="s">
        <v>25</v>
      </c>
      <c r="L86">
        <v>30</v>
      </c>
      <c r="M86">
        <v>3</v>
      </c>
      <c r="N86">
        <v>30</v>
      </c>
      <c r="O86" t="s">
        <v>319</v>
      </c>
      <c r="P86" t="s">
        <v>33</v>
      </c>
      <c r="Q86" t="s">
        <v>31</v>
      </c>
      <c r="R86" t="s">
        <v>62</v>
      </c>
      <c r="S86" t="s">
        <v>57</v>
      </c>
      <c r="T86">
        <v>4</v>
      </c>
      <c r="U86">
        <v>377.81</v>
      </c>
      <c r="V86">
        <v>417.21</v>
      </c>
      <c r="W86">
        <v>3</v>
      </c>
      <c r="X86" t="str">
        <f>TEXT(cleaneddata[[#This Row],[Order Date]],"mmm")</f>
        <v>Jan</v>
      </c>
      <c r="Y86">
        <f>cleaneddata[[#This Row],[Unit Price]]*cleaneddata[[#This Row],[Quantity]]*(1-cleaneddata[[#This Row],[Discount %]]/100)</f>
        <v>793.40099999999995</v>
      </c>
      <c r="Z86">
        <f>cleaneddata[[#This Row],[sales]]-cleaneddata[[#This Row],[Cost]]</f>
        <v>376.19099999999997</v>
      </c>
    </row>
    <row r="87" spans="1:26" x14ac:dyDescent="0.3">
      <c r="A87" t="s">
        <v>320</v>
      </c>
      <c r="B87" s="1">
        <v>45352</v>
      </c>
      <c r="C87" t="s">
        <v>321</v>
      </c>
      <c r="D87" t="s">
        <v>3640</v>
      </c>
      <c r="E87" s="1">
        <v>45358</v>
      </c>
      <c r="F87" t="s">
        <v>115</v>
      </c>
      <c r="G87" t="s">
        <v>66</v>
      </c>
      <c r="H87" t="s">
        <v>114</v>
      </c>
      <c r="I87" t="s">
        <v>2639</v>
      </c>
      <c r="J87" t="s">
        <v>2640</v>
      </c>
      <c r="K87" t="s">
        <v>25</v>
      </c>
      <c r="L87">
        <v>51</v>
      </c>
      <c r="M87">
        <v>1</v>
      </c>
      <c r="N87">
        <v>30</v>
      </c>
      <c r="O87" t="s">
        <v>322</v>
      </c>
      <c r="P87" t="s">
        <v>44</v>
      </c>
      <c r="Q87" t="s">
        <v>58</v>
      </c>
      <c r="R87" t="s">
        <v>43</v>
      </c>
      <c r="S87" t="s">
        <v>116</v>
      </c>
      <c r="T87">
        <v>3</v>
      </c>
      <c r="U87">
        <v>502.91</v>
      </c>
      <c r="V87">
        <v>194.45</v>
      </c>
      <c r="W87">
        <v>6</v>
      </c>
      <c r="X87" t="str">
        <f>TEXT(cleaneddata[[#This Row],[Order Date]],"mmm")</f>
        <v>Mar</v>
      </c>
      <c r="Y87">
        <f>cleaneddata[[#This Row],[Unit Price]]*cleaneddata[[#This Row],[Quantity]]*(1-cleaneddata[[#This Row],[Discount %]]/100)</f>
        <v>352.03699999999998</v>
      </c>
      <c r="Z87">
        <f>cleaneddata[[#This Row],[sales]]-cleaneddata[[#This Row],[Cost]]</f>
        <v>157.58699999999999</v>
      </c>
    </row>
    <row r="88" spans="1:26" x14ac:dyDescent="0.3">
      <c r="A88" t="s">
        <v>323</v>
      </c>
      <c r="B88" s="1">
        <v>46163</v>
      </c>
      <c r="C88" t="s">
        <v>324</v>
      </c>
      <c r="D88" t="s">
        <v>3639</v>
      </c>
      <c r="E88" s="1">
        <v>46166</v>
      </c>
      <c r="F88" t="s">
        <v>56</v>
      </c>
      <c r="G88" t="s">
        <v>54</v>
      </c>
      <c r="H88" t="s">
        <v>55</v>
      </c>
      <c r="I88" t="s">
        <v>2654</v>
      </c>
      <c r="J88" t="s">
        <v>2684</v>
      </c>
      <c r="K88" t="s">
        <v>52</v>
      </c>
      <c r="L88">
        <v>36</v>
      </c>
      <c r="M88">
        <v>4</v>
      </c>
      <c r="N88">
        <v>20</v>
      </c>
      <c r="O88" t="s">
        <v>113</v>
      </c>
      <c r="P88" t="s">
        <v>33</v>
      </c>
      <c r="Q88" t="s">
        <v>31</v>
      </c>
      <c r="R88" t="s">
        <v>32</v>
      </c>
      <c r="S88" t="s">
        <v>57</v>
      </c>
      <c r="T88">
        <v>2</v>
      </c>
      <c r="U88">
        <v>95.99</v>
      </c>
      <c r="V88">
        <v>245.58</v>
      </c>
      <c r="W88">
        <v>3</v>
      </c>
      <c r="X88" t="str">
        <f>TEXT(cleaneddata[[#This Row],[Order Date]],"mmm")</f>
        <v>May</v>
      </c>
      <c r="Y88">
        <f>cleaneddata[[#This Row],[Unit Price]]*cleaneddata[[#This Row],[Quantity]]*(1-cleaneddata[[#This Row],[Discount %]]/100)</f>
        <v>307.16800000000001</v>
      </c>
      <c r="Z88">
        <f>cleaneddata[[#This Row],[sales]]-cleaneddata[[#This Row],[Cost]]</f>
        <v>61.587999999999994</v>
      </c>
    </row>
    <row r="89" spans="1:26" x14ac:dyDescent="0.3">
      <c r="A89" t="s">
        <v>325</v>
      </c>
      <c r="B89" s="1">
        <v>45639</v>
      </c>
      <c r="C89" t="s">
        <v>326</v>
      </c>
      <c r="D89" t="s">
        <v>3638</v>
      </c>
      <c r="E89" s="1">
        <v>45645</v>
      </c>
      <c r="F89" t="s">
        <v>2617</v>
      </c>
      <c r="G89" t="s">
        <v>27</v>
      </c>
      <c r="H89" t="s">
        <v>28</v>
      </c>
      <c r="I89" t="s">
        <v>2668</v>
      </c>
      <c r="J89" t="s">
        <v>2669</v>
      </c>
      <c r="K89" t="s">
        <v>25</v>
      </c>
      <c r="L89">
        <v>27</v>
      </c>
      <c r="M89">
        <v>1</v>
      </c>
      <c r="N89">
        <v>25</v>
      </c>
      <c r="O89" t="s">
        <v>327</v>
      </c>
      <c r="P89" t="s">
        <v>75</v>
      </c>
      <c r="Q89" t="s">
        <v>31</v>
      </c>
      <c r="R89" t="s">
        <v>32</v>
      </c>
      <c r="S89" t="s">
        <v>30</v>
      </c>
      <c r="T89">
        <v>4</v>
      </c>
      <c r="U89">
        <v>421.2</v>
      </c>
      <c r="V89">
        <v>260.58</v>
      </c>
      <c r="W89">
        <v>6</v>
      </c>
      <c r="X89" t="str">
        <f>TEXT(cleaneddata[[#This Row],[Order Date]],"mmm")</f>
        <v>Dec</v>
      </c>
      <c r="Y89">
        <f>cleaneddata[[#This Row],[Unit Price]]*cleaneddata[[#This Row],[Quantity]]*(1-cleaneddata[[#This Row],[Discount %]]/100)</f>
        <v>315.89999999999998</v>
      </c>
      <c r="Z89">
        <f>cleaneddata[[#This Row],[sales]]-cleaneddata[[#This Row],[Cost]]</f>
        <v>55.319999999999993</v>
      </c>
    </row>
    <row r="90" spans="1:26" x14ac:dyDescent="0.3">
      <c r="A90" t="s">
        <v>328</v>
      </c>
      <c r="B90" s="1">
        <v>46004</v>
      </c>
      <c r="C90" t="s">
        <v>329</v>
      </c>
      <c r="D90" t="s">
        <v>3637</v>
      </c>
      <c r="E90" s="1">
        <v>46011</v>
      </c>
      <c r="F90" t="s">
        <v>140</v>
      </c>
      <c r="G90" t="s">
        <v>38</v>
      </c>
      <c r="H90" t="s">
        <v>139</v>
      </c>
      <c r="I90" t="s">
        <v>2631</v>
      </c>
      <c r="J90" t="s">
        <v>2674</v>
      </c>
      <c r="K90" t="s">
        <v>52</v>
      </c>
      <c r="L90">
        <v>63</v>
      </c>
      <c r="M90">
        <v>1</v>
      </c>
      <c r="N90">
        <v>15</v>
      </c>
      <c r="O90" t="s">
        <v>276</v>
      </c>
      <c r="P90" t="s">
        <v>75</v>
      </c>
      <c r="Q90" t="s">
        <v>31</v>
      </c>
      <c r="R90" t="s">
        <v>62</v>
      </c>
      <c r="S90" t="s">
        <v>141</v>
      </c>
      <c r="T90">
        <v>1</v>
      </c>
      <c r="U90">
        <v>250.65</v>
      </c>
      <c r="V90">
        <v>170.03</v>
      </c>
      <c r="W90">
        <v>7</v>
      </c>
      <c r="X90" t="str">
        <f>TEXT(cleaneddata[[#This Row],[Order Date]],"mmm")</f>
        <v>Dec</v>
      </c>
      <c r="Y90">
        <f>cleaneddata[[#This Row],[Unit Price]]*cleaneddata[[#This Row],[Quantity]]*(1-cleaneddata[[#This Row],[Discount %]]/100)</f>
        <v>213.05250000000001</v>
      </c>
      <c r="Z90">
        <f>cleaneddata[[#This Row],[sales]]-cleaneddata[[#This Row],[Cost]]</f>
        <v>43.022500000000008</v>
      </c>
    </row>
    <row r="91" spans="1:26" x14ac:dyDescent="0.3">
      <c r="A91" t="s">
        <v>330</v>
      </c>
      <c r="B91" s="1">
        <v>45791</v>
      </c>
      <c r="C91" t="s">
        <v>331</v>
      </c>
      <c r="D91" t="s">
        <v>3636</v>
      </c>
      <c r="E91" s="1">
        <v>45793</v>
      </c>
      <c r="F91" t="s">
        <v>68</v>
      </c>
      <c r="G91" t="s">
        <v>66</v>
      </c>
      <c r="H91" t="s">
        <v>67</v>
      </c>
      <c r="I91" t="s">
        <v>2668</v>
      </c>
      <c r="J91" t="s">
        <v>2669</v>
      </c>
      <c r="K91" t="s">
        <v>52</v>
      </c>
      <c r="L91">
        <v>36</v>
      </c>
      <c r="M91">
        <v>3</v>
      </c>
      <c r="N91">
        <v>10</v>
      </c>
      <c r="O91" t="s">
        <v>332</v>
      </c>
      <c r="P91" t="s">
        <v>44</v>
      </c>
      <c r="Q91" t="s">
        <v>42</v>
      </c>
      <c r="R91" t="s">
        <v>71</v>
      </c>
      <c r="S91" t="s">
        <v>69</v>
      </c>
      <c r="T91">
        <v>3</v>
      </c>
      <c r="U91">
        <v>919.05</v>
      </c>
      <c r="V91">
        <v>1629.64</v>
      </c>
      <c r="W91">
        <v>2</v>
      </c>
      <c r="X91" t="str">
        <f>TEXT(cleaneddata[[#This Row],[Order Date]],"mmm")</f>
        <v>May</v>
      </c>
      <c r="Y91">
        <f>cleaneddata[[#This Row],[Unit Price]]*cleaneddata[[#This Row],[Quantity]]*(1-cleaneddata[[#This Row],[Discount %]]/100)</f>
        <v>2481.4349999999999</v>
      </c>
      <c r="Z91">
        <f>cleaneddata[[#This Row],[sales]]-cleaneddata[[#This Row],[Cost]]</f>
        <v>851.79499999999985</v>
      </c>
    </row>
    <row r="92" spans="1:26" x14ac:dyDescent="0.3">
      <c r="A92" t="s">
        <v>333</v>
      </c>
      <c r="B92" s="1">
        <v>45585</v>
      </c>
      <c r="C92" t="s">
        <v>334</v>
      </c>
      <c r="D92" t="s">
        <v>3635</v>
      </c>
      <c r="E92" s="1">
        <v>45592</v>
      </c>
      <c r="F92" t="s">
        <v>2617</v>
      </c>
      <c r="G92" t="s">
        <v>27</v>
      </c>
      <c r="H92" t="s">
        <v>28</v>
      </c>
      <c r="I92" t="s">
        <v>2625</v>
      </c>
      <c r="J92" t="s">
        <v>2703</v>
      </c>
      <c r="K92" t="s">
        <v>52</v>
      </c>
      <c r="L92">
        <v>23</v>
      </c>
      <c r="M92">
        <v>1</v>
      </c>
      <c r="N92">
        <v>20</v>
      </c>
      <c r="O92" t="s">
        <v>335</v>
      </c>
      <c r="P92" t="s">
        <v>33</v>
      </c>
      <c r="Q92" t="s">
        <v>42</v>
      </c>
      <c r="R92" t="s">
        <v>32</v>
      </c>
      <c r="S92" t="s">
        <v>30</v>
      </c>
      <c r="T92">
        <v>3</v>
      </c>
      <c r="U92">
        <v>758.66</v>
      </c>
      <c r="V92">
        <v>462.62</v>
      </c>
      <c r="W92">
        <v>7</v>
      </c>
      <c r="X92" t="str">
        <f>TEXT(cleaneddata[[#This Row],[Order Date]],"mmm")</f>
        <v>Oct</v>
      </c>
      <c r="Y92">
        <f>cleaneddata[[#This Row],[Unit Price]]*cleaneddata[[#This Row],[Quantity]]*(1-cleaneddata[[#This Row],[Discount %]]/100)</f>
        <v>606.928</v>
      </c>
      <c r="Z92">
        <f>cleaneddata[[#This Row],[sales]]-cleaneddata[[#This Row],[Cost]]</f>
        <v>144.30799999999999</v>
      </c>
    </row>
    <row r="93" spans="1:26" x14ac:dyDescent="0.3">
      <c r="A93" t="s">
        <v>336</v>
      </c>
      <c r="B93" s="1">
        <v>45815</v>
      </c>
      <c r="C93" t="s">
        <v>337</v>
      </c>
      <c r="D93" t="s">
        <v>3634</v>
      </c>
      <c r="E93" s="1">
        <v>45820</v>
      </c>
      <c r="F93" t="s">
        <v>100</v>
      </c>
      <c r="G93" t="s">
        <v>98</v>
      </c>
      <c r="H93" t="s">
        <v>99</v>
      </c>
      <c r="I93" t="s">
        <v>2637</v>
      </c>
      <c r="J93" t="s">
        <v>99</v>
      </c>
      <c r="K93" t="s">
        <v>25</v>
      </c>
      <c r="L93">
        <v>51</v>
      </c>
      <c r="M93">
        <v>2</v>
      </c>
      <c r="N93">
        <v>15</v>
      </c>
      <c r="O93" t="s">
        <v>338</v>
      </c>
      <c r="P93" t="s">
        <v>33</v>
      </c>
      <c r="Q93" t="s">
        <v>58</v>
      </c>
      <c r="R93" t="s">
        <v>32</v>
      </c>
      <c r="S93" t="s">
        <v>101</v>
      </c>
      <c r="T93">
        <v>4</v>
      </c>
      <c r="U93">
        <v>852.32</v>
      </c>
      <c r="V93">
        <v>1220.3499999999999</v>
      </c>
      <c r="W93">
        <v>5</v>
      </c>
      <c r="X93" t="str">
        <f>TEXT(cleaneddata[[#This Row],[Order Date]],"mmm")</f>
        <v>Jun</v>
      </c>
      <c r="Y93">
        <f>cleaneddata[[#This Row],[Unit Price]]*cleaneddata[[#This Row],[Quantity]]*(1-cleaneddata[[#This Row],[Discount %]]/100)</f>
        <v>1448.944</v>
      </c>
      <c r="Z93">
        <f>cleaneddata[[#This Row],[sales]]-cleaneddata[[#This Row],[Cost]]</f>
        <v>228.59400000000005</v>
      </c>
    </row>
    <row r="94" spans="1:26" x14ac:dyDescent="0.3">
      <c r="A94" t="s">
        <v>339</v>
      </c>
      <c r="B94" s="1">
        <v>45294</v>
      </c>
      <c r="C94" t="s">
        <v>340</v>
      </c>
      <c r="D94" t="s">
        <v>3633</v>
      </c>
      <c r="E94" s="1">
        <v>45298</v>
      </c>
      <c r="F94" t="s">
        <v>122</v>
      </c>
      <c r="G94" t="s">
        <v>120</v>
      </c>
      <c r="H94" t="s">
        <v>121</v>
      </c>
      <c r="I94" t="s">
        <v>2652</v>
      </c>
      <c r="J94" t="s">
        <v>2706</v>
      </c>
      <c r="K94" t="s">
        <v>52</v>
      </c>
      <c r="L94">
        <v>45</v>
      </c>
      <c r="M94">
        <v>4</v>
      </c>
      <c r="N94">
        <v>10</v>
      </c>
      <c r="O94" t="s">
        <v>341</v>
      </c>
      <c r="P94" t="s">
        <v>75</v>
      </c>
      <c r="Q94" t="s">
        <v>58</v>
      </c>
      <c r="R94" t="s">
        <v>32</v>
      </c>
      <c r="S94" t="s">
        <v>123</v>
      </c>
      <c r="T94">
        <v>1</v>
      </c>
      <c r="U94">
        <v>80.2</v>
      </c>
      <c r="V94">
        <v>228.83</v>
      </c>
      <c r="W94">
        <v>4</v>
      </c>
      <c r="X94" t="str">
        <f>TEXT(cleaneddata[[#This Row],[Order Date]],"mmm")</f>
        <v>Jan</v>
      </c>
      <c r="Y94">
        <f>cleaneddata[[#This Row],[Unit Price]]*cleaneddata[[#This Row],[Quantity]]*(1-cleaneddata[[#This Row],[Discount %]]/100)</f>
        <v>288.72000000000003</v>
      </c>
      <c r="Z94">
        <f>cleaneddata[[#This Row],[sales]]-cleaneddata[[#This Row],[Cost]]</f>
        <v>59.890000000000015</v>
      </c>
    </row>
    <row r="95" spans="1:26" x14ac:dyDescent="0.3">
      <c r="A95" t="s">
        <v>342</v>
      </c>
      <c r="B95" s="1">
        <v>45683</v>
      </c>
      <c r="C95" t="s">
        <v>343</v>
      </c>
      <c r="D95" t="s">
        <v>3632</v>
      </c>
      <c r="E95" s="1">
        <v>45685</v>
      </c>
      <c r="F95" t="s">
        <v>40</v>
      </c>
      <c r="G95" t="s">
        <v>38</v>
      </c>
      <c r="H95" t="s">
        <v>39</v>
      </c>
      <c r="I95" t="s">
        <v>2634</v>
      </c>
      <c r="J95" t="s">
        <v>2650</v>
      </c>
      <c r="K95" t="s">
        <v>25</v>
      </c>
      <c r="L95">
        <v>63</v>
      </c>
      <c r="M95">
        <v>1</v>
      </c>
      <c r="N95">
        <v>25</v>
      </c>
      <c r="O95" t="s">
        <v>344</v>
      </c>
      <c r="P95" t="s">
        <v>33</v>
      </c>
      <c r="Q95" t="s">
        <v>117</v>
      </c>
      <c r="R95" t="s">
        <v>32</v>
      </c>
      <c r="S95" t="s">
        <v>41</v>
      </c>
      <c r="T95">
        <v>5</v>
      </c>
      <c r="U95">
        <v>517.5</v>
      </c>
      <c r="V95">
        <v>228.3</v>
      </c>
      <c r="W95">
        <v>2</v>
      </c>
      <c r="X95" t="str">
        <f>TEXT(cleaneddata[[#This Row],[Order Date]],"mmm")</f>
        <v>Jan</v>
      </c>
      <c r="Y95">
        <f>cleaneddata[[#This Row],[Unit Price]]*cleaneddata[[#This Row],[Quantity]]*(1-cleaneddata[[#This Row],[Discount %]]/100)</f>
        <v>388.125</v>
      </c>
      <c r="Z95">
        <f>cleaneddata[[#This Row],[sales]]-cleaneddata[[#This Row],[Cost]]</f>
        <v>159.82499999999999</v>
      </c>
    </row>
    <row r="96" spans="1:26" x14ac:dyDescent="0.3">
      <c r="A96" t="s">
        <v>345</v>
      </c>
      <c r="B96" s="1">
        <v>46186</v>
      </c>
      <c r="C96" t="s">
        <v>346</v>
      </c>
      <c r="D96" t="s">
        <v>3631</v>
      </c>
      <c r="E96" s="1">
        <v>46191</v>
      </c>
      <c r="F96" t="s">
        <v>100</v>
      </c>
      <c r="G96" t="s">
        <v>98</v>
      </c>
      <c r="H96" t="s">
        <v>99</v>
      </c>
      <c r="I96" t="s">
        <v>2631</v>
      </c>
      <c r="J96" t="s">
        <v>2694</v>
      </c>
      <c r="K96" t="s">
        <v>52</v>
      </c>
      <c r="L96">
        <v>21</v>
      </c>
      <c r="M96">
        <v>1</v>
      </c>
      <c r="N96">
        <v>10</v>
      </c>
      <c r="O96" t="s">
        <v>347</v>
      </c>
      <c r="P96" t="s">
        <v>75</v>
      </c>
      <c r="Q96" t="s">
        <v>70</v>
      </c>
      <c r="R96" t="s">
        <v>71</v>
      </c>
      <c r="S96" t="s">
        <v>101</v>
      </c>
      <c r="T96">
        <v>2</v>
      </c>
      <c r="U96">
        <v>265.31</v>
      </c>
      <c r="V96">
        <v>184.58</v>
      </c>
      <c r="W96">
        <v>5</v>
      </c>
      <c r="X96" t="str">
        <f>TEXT(cleaneddata[[#This Row],[Order Date]],"mmm")</f>
        <v>Jun</v>
      </c>
      <c r="Y96">
        <f>cleaneddata[[#This Row],[Unit Price]]*cleaneddata[[#This Row],[Quantity]]*(1-cleaneddata[[#This Row],[Discount %]]/100)</f>
        <v>238.779</v>
      </c>
      <c r="Z96">
        <f>cleaneddata[[#This Row],[sales]]-cleaneddata[[#This Row],[Cost]]</f>
        <v>54.198999999999984</v>
      </c>
    </row>
    <row r="97" spans="1:26" x14ac:dyDescent="0.3">
      <c r="A97" t="s">
        <v>348</v>
      </c>
      <c r="B97" s="1">
        <v>45450</v>
      </c>
      <c r="C97" t="s">
        <v>349</v>
      </c>
      <c r="D97" t="s">
        <v>3630</v>
      </c>
      <c r="E97" s="1">
        <v>45451</v>
      </c>
      <c r="F97" t="s">
        <v>115</v>
      </c>
      <c r="G97" t="s">
        <v>66</v>
      </c>
      <c r="H97" t="s">
        <v>114</v>
      </c>
      <c r="I97" t="s">
        <v>2632</v>
      </c>
      <c r="J97" t="s">
        <v>2646</v>
      </c>
      <c r="K97" t="s">
        <v>25</v>
      </c>
      <c r="L97">
        <v>45</v>
      </c>
      <c r="M97">
        <v>1</v>
      </c>
      <c r="N97">
        <v>15</v>
      </c>
      <c r="O97" t="s">
        <v>350</v>
      </c>
      <c r="P97" t="s">
        <v>75</v>
      </c>
      <c r="Q97" t="s">
        <v>31</v>
      </c>
      <c r="R97" t="s">
        <v>43</v>
      </c>
      <c r="S97" t="s">
        <v>116</v>
      </c>
      <c r="T97">
        <v>5</v>
      </c>
      <c r="U97">
        <v>642.47</v>
      </c>
      <c r="V97">
        <v>351.07</v>
      </c>
      <c r="W97">
        <v>1</v>
      </c>
      <c r="X97" t="str">
        <f>TEXT(cleaneddata[[#This Row],[Order Date]],"mmm")</f>
        <v>Jun</v>
      </c>
      <c r="Y97">
        <f>cleaneddata[[#This Row],[Unit Price]]*cleaneddata[[#This Row],[Quantity]]*(1-cleaneddata[[#This Row],[Discount %]]/100)</f>
        <v>546.09950000000003</v>
      </c>
      <c r="Z97">
        <f>cleaneddata[[#This Row],[sales]]-cleaneddata[[#This Row],[Cost]]</f>
        <v>195.02950000000004</v>
      </c>
    </row>
    <row r="98" spans="1:26" x14ac:dyDescent="0.3">
      <c r="A98" t="s">
        <v>351</v>
      </c>
      <c r="B98" s="1">
        <v>45559</v>
      </c>
      <c r="C98" t="s">
        <v>352</v>
      </c>
      <c r="D98" t="s">
        <v>3629</v>
      </c>
      <c r="E98" s="1">
        <v>45560</v>
      </c>
      <c r="F98" t="s">
        <v>2617</v>
      </c>
      <c r="G98" t="s">
        <v>27</v>
      </c>
      <c r="H98" t="s">
        <v>28</v>
      </c>
      <c r="I98" t="s">
        <v>2641</v>
      </c>
      <c r="J98" t="s">
        <v>2713</v>
      </c>
      <c r="K98" t="s">
        <v>52</v>
      </c>
      <c r="L98">
        <v>46</v>
      </c>
      <c r="M98">
        <v>5</v>
      </c>
      <c r="N98">
        <v>10</v>
      </c>
      <c r="O98" t="s">
        <v>353</v>
      </c>
      <c r="P98" t="s">
        <v>75</v>
      </c>
      <c r="Q98" t="s">
        <v>31</v>
      </c>
      <c r="R98" t="s">
        <v>71</v>
      </c>
      <c r="S98" t="s">
        <v>30</v>
      </c>
      <c r="T98">
        <v>4</v>
      </c>
      <c r="U98">
        <v>28.59</v>
      </c>
      <c r="V98">
        <v>106.55</v>
      </c>
      <c r="W98">
        <v>1</v>
      </c>
      <c r="X98" t="str">
        <f>TEXT(cleaneddata[[#This Row],[Order Date]],"mmm")</f>
        <v>Sep</v>
      </c>
      <c r="Y98">
        <f>cleaneddata[[#This Row],[Unit Price]]*cleaneddata[[#This Row],[Quantity]]*(1-cleaneddata[[#This Row],[Discount %]]/100)</f>
        <v>128.655</v>
      </c>
      <c r="Z98">
        <f>cleaneddata[[#This Row],[sales]]-cleaneddata[[#This Row],[Cost]]</f>
        <v>22.105000000000004</v>
      </c>
    </row>
    <row r="99" spans="1:26" x14ac:dyDescent="0.3">
      <c r="A99" t="s">
        <v>354</v>
      </c>
      <c r="B99" s="1">
        <v>45444</v>
      </c>
      <c r="C99" t="s">
        <v>355</v>
      </c>
      <c r="D99" t="s">
        <v>3628</v>
      </c>
      <c r="E99" s="1">
        <v>45447</v>
      </c>
      <c r="F99" t="s">
        <v>56</v>
      </c>
      <c r="G99" t="s">
        <v>54</v>
      </c>
      <c r="H99" t="s">
        <v>55</v>
      </c>
      <c r="I99" t="s">
        <v>2672</v>
      </c>
      <c r="J99" t="s">
        <v>2690</v>
      </c>
      <c r="K99" t="s">
        <v>52</v>
      </c>
      <c r="L99">
        <v>37</v>
      </c>
      <c r="M99">
        <v>4</v>
      </c>
      <c r="N99">
        <v>15</v>
      </c>
      <c r="O99" t="s">
        <v>356</v>
      </c>
      <c r="P99" t="s">
        <v>75</v>
      </c>
      <c r="Q99" t="s">
        <v>42</v>
      </c>
      <c r="R99" t="s">
        <v>62</v>
      </c>
      <c r="S99" t="s">
        <v>57</v>
      </c>
      <c r="T99">
        <v>5</v>
      </c>
      <c r="U99">
        <v>306.68</v>
      </c>
      <c r="V99">
        <v>668.74</v>
      </c>
      <c r="W99">
        <v>3</v>
      </c>
      <c r="X99" t="str">
        <f>TEXT(cleaneddata[[#This Row],[Order Date]],"mmm")</f>
        <v>Jun</v>
      </c>
      <c r="Y99">
        <f>cleaneddata[[#This Row],[Unit Price]]*cleaneddata[[#This Row],[Quantity]]*(1-cleaneddata[[#This Row],[Discount %]]/100)</f>
        <v>1042.712</v>
      </c>
      <c r="Z99">
        <f>cleaneddata[[#This Row],[sales]]-cleaneddata[[#This Row],[Cost]]</f>
        <v>373.97199999999998</v>
      </c>
    </row>
    <row r="100" spans="1:26" x14ac:dyDescent="0.3">
      <c r="A100" t="s">
        <v>357</v>
      </c>
      <c r="B100" s="1">
        <v>45387</v>
      </c>
      <c r="C100" t="s">
        <v>358</v>
      </c>
      <c r="D100" t="s">
        <v>3627</v>
      </c>
      <c r="E100" s="1">
        <v>45389</v>
      </c>
      <c r="F100" t="s">
        <v>128</v>
      </c>
      <c r="G100" t="s">
        <v>98</v>
      </c>
      <c r="H100" t="s">
        <v>127</v>
      </c>
      <c r="I100" t="s">
        <v>2635</v>
      </c>
      <c r="J100" t="s">
        <v>2677</v>
      </c>
      <c r="K100" t="s">
        <v>52</v>
      </c>
      <c r="L100">
        <v>52</v>
      </c>
      <c r="M100">
        <v>1</v>
      </c>
      <c r="N100">
        <v>15</v>
      </c>
      <c r="O100" t="s">
        <v>359</v>
      </c>
      <c r="P100" t="s">
        <v>44</v>
      </c>
      <c r="Q100" t="s">
        <v>117</v>
      </c>
      <c r="R100" t="s">
        <v>71</v>
      </c>
      <c r="S100" t="s">
        <v>129</v>
      </c>
      <c r="T100">
        <v>2</v>
      </c>
      <c r="U100">
        <v>649.78</v>
      </c>
      <c r="V100">
        <v>392.88</v>
      </c>
      <c r="W100">
        <v>2</v>
      </c>
      <c r="X100" t="str">
        <f>TEXT(cleaneddata[[#This Row],[Order Date]],"mmm")</f>
        <v>Apr</v>
      </c>
      <c r="Y100">
        <f>cleaneddata[[#This Row],[Unit Price]]*cleaneddata[[#This Row],[Quantity]]*(1-cleaneddata[[#This Row],[Discount %]]/100)</f>
        <v>552.31299999999999</v>
      </c>
      <c r="Z100">
        <f>cleaneddata[[#This Row],[sales]]-cleaneddata[[#This Row],[Cost]]</f>
        <v>159.43299999999999</v>
      </c>
    </row>
    <row r="101" spans="1:26" x14ac:dyDescent="0.3">
      <c r="A101" t="s">
        <v>360</v>
      </c>
      <c r="B101" s="1">
        <v>45402</v>
      </c>
      <c r="C101" t="s">
        <v>361</v>
      </c>
      <c r="D101" t="s">
        <v>2793</v>
      </c>
      <c r="E101" s="1">
        <v>45407</v>
      </c>
      <c r="F101" t="s">
        <v>115</v>
      </c>
      <c r="G101" t="s">
        <v>66</v>
      </c>
      <c r="H101" t="s">
        <v>114</v>
      </c>
      <c r="I101" t="s">
        <v>2625</v>
      </c>
      <c r="J101" t="s">
        <v>2651</v>
      </c>
      <c r="K101" t="s">
        <v>52</v>
      </c>
      <c r="L101">
        <v>32</v>
      </c>
      <c r="M101">
        <v>2</v>
      </c>
      <c r="N101">
        <v>15</v>
      </c>
      <c r="O101" t="s">
        <v>362</v>
      </c>
      <c r="P101" t="s">
        <v>44</v>
      </c>
      <c r="Q101" t="s">
        <v>42</v>
      </c>
      <c r="R101" t="s">
        <v>62</v>
      </c>
      <c r="S101" t="s">
        <v>116</v>
      </c>
      <c r="T101">
        <v>2</v>
      </c>
      <c r="U101">
        <v>627.88</v>
      </c>
      <c r="V101">
        <v>599.35</v>
      </c>
      <c r="W101">
        <v>5</v>
      </c>
      <c r="X101" t="str">
        <f>TEXT(cleaneddata[[#This Row],[Order Date]],"mmm")</f>
        <v>Apr</v>
      </c>
      <c r="Y101">
        <f>cleaneddata[[#This Row],[Unit Price]]*cleaneddata[[#This Row],[Quantity]]*(1-cleaneddata[[#This Row],[Discount %]]/100)</f>
        <v>1067.396</v>
      </c>
      <c r="Z101">
        <f>cleaneddata[[#This Row],[sales]]-cleaneddata[[#This Row],[Cost]]</f>
        <v>468.04599999999994</v>
      </c>
    </row>
    <row r="102" spans="1:26" x14ac:dyDescent="0.3">
      <c r="A102" t="s">
        <v>363</v>
      </c>
      <c r="B102" s="1">
        <v>45741</v>
      </c>
      <c r="C102" t="s">
        <v>364</v>
      </c>
      <c r="D102" t="s">
        <v>2792</v>
      </c>
      <c r="E102" s="1">
        <v>45743</v>
      </c>
      <c r="F102" t="s">
        <v>115</v>
      </c>
      <c r="G102" t="s">
        <v>66</v>
      </c>
      <c r="H102" t="s">
        <v>114</v>
      </c>
      <c r="I102" t="s">
        <v>2656</v>
      </c>
      <c r="J102" t="s">
        <v>2712</v>
      </c>
      <c r="K102" t="s">
        <v>52</v>
      </c>
      <c r="L102">
        <v>39</v>
      </c>
      <c r="M102">
        <v>5</v>
      </c>
      <c r="N102">
        <v>15</v>
      </c>
      <c r="O102" t="s">
        <v>365</v>
      </c>
      <c r="P102" t="s">
        <v>33</v>
      </c>
      <c r="Q102" t="s">
        <v>58</v>
      </c>
      <c r="R102" t="s">
        <v>43</v>
      </c>
      <c r="S102" t="s">
        <v>116</v>
      </c>
      <c r="T102">
        <v>5</v>
      </c>
      <c r="U102">
        <v>416.63</v>
      </c>
      <c r="V102">
        <v>1217.06</v>
      </c>
      <c r="W102">
        <v>2</v>
      </c>
      <c r="X102" t="str">
        <f>TEXT(cleaneddata[[#This Row],[Order Date]],"mmm")</f>
        <v>Mar</v>
      </c>
      <c r="Y102">
        <f>cleaneddata[[#This Row],[Unit Price]]*cleaneddata[[#This Row],[Quantity]]*(1-cleaneddata[[#This Row],[Discount %]]/100)</f>
        <v>1770.6775</v>
      </c>
      <c r="Z102">
        <f>cleaneddata[[#This Row],[sales]]-cleaneddata[[#This Row],[Cost]]</f>
        <v>553.61750000000006</v>
      </c>
    </row>
    <row r="103" spans="1:26" x14ac:dyDescent="0.3">
      <c r="A103" t="s">
        <v>366</v>
      </c>
      <c r="B103" s="1">
        <v>45744</v>
      </c>
      <c r="C103" t="s">
        <v>367</v>
      </c>
      <c r="D103" t="s">
        <v>3626</v>
      </c>
      <c r="E103" s="1">
        <v>45749</v>
      </c>
      <c r="F103" t="s">
        <v>40</v>
      </c>
      <c r="G103" t="s">
        <v>38</v>
      </c>
      <c r="H103" t="s">
        <v>39</v>
      </c>
      <c r="I103" t="s">
        <v>2634</v>
      </c>
      <c r="J103" t="s">
        <v>2714</v>
      </c>
      <c r="K103" t="s">
        <v>25</v>
      </c>
      <c r="L103">
        <v>49</v>
      </c>
      <c r="M103">
        <v>1</v>
      </c>
      <c r="N103">
        <v>20</v>
      </c>
      <c r="O103" t="s">
        <v>368</v>
      </c>
      <c r="P103" t="s">
        <v>44</v>
      </c>
      <c r="Q103" t="s">
        <v>31</v>
      </c>
      <c r="R103" t="s">
        <v>32</v>
      </c>
      <c r="S103" t="s">
        <v>41</v>
      </c>
      <c r="T103">
        <v>1</v>
      </c>
      <c r="U103">
        <v>473.36</v>
      </c>
      <c r="V103">
        <v>312.89999999999998</v>
      </c>
      <c r="W103">
        <v>5</v>
      </c>
      <c r="X103" t="str">
        <f>TEXT(cleaneddata[[#This Row],[Order Date]],"mmm")</f>
        <v>Mar</v>
      </c>
      <c r="Y103">
        <f>cleaneddata[[#This Row],[Unit Price]]*cleaneddata[[#This Row],[Quantity]]*(1-cleaneddata[[#This Row],[Discount %]]/100)</f>
        <v>378.68800000000005</v>
      </c>
      <c r="Z103">
        <f>cleaneddata[[#This Row],[sales]]-cleaneddata[[#This Row],[Cost]]</f>
        <v>65.788000000000068</v>
      </c>
    </row>
    <row r="104" spans="1:26" x14ac:dyDescent="0.3">
      <c r="A104" t="s">
        <v>369</v>
      </c>
      <c r="B104" s="1">
        <v>45801</v>
      </c>
      <c r="C104" t="s">
        <v>370</v>
      </c>
      <c r="D104" t="s">
        <v>2791</v>
      </c>
      <c r="E104" s="1">
        <v>45806</v>
      </c>
      <c r="F104" t="s">
        <v>122</v>
      </c>
      <c r="G104" t="s">
        <v>120</v>
      </c>
      <c r="H104" t="s">
        <v>121</v>
      </c>
      <c r="I104" t="s">
        <v>2625</v>
      </c>
      <c r="J104" t="s">
        <v>2703</v>
      </c>
      <c r="K104" t="s">
        <v>52</v>
      </c>
      <c r="L104">
        <v>41</v>
      </c>
      <c r="M104">
        <v>2</v>
      </c>
      <c r="N104">
        <v>15</v>
      </c>
      <c r="O104" t="s">
        <v>371</v>
      </c>
      <c r="P104" t="s">
        <v>44</v>
      </c>
      <c r="Q104" t="s">
        <v>117</v>
      </c>
      <c r="R104" t="s">
        <v>43</v>
      </c>
      <c r="S104" t="s">
        <v>123</v>
      </c>
      <c r="T104">
        <v>3</v>
      </c>
      <c r="U104">
        <v>248.88</v>
      </c>
      <c r="V104">
        <v>339.96</v>
      </c>
      <c r="W104">
        <v>5</v>
      </c>
      <c r="X104" t="str">
        <f>TEXT(cleaneddata[[#This Row],[Order Date]],"mmm")</f>
        <v>May</v>
      </c>
      <c r="Y104">
        <f>cleaneddata[[#This Row],[Unit Price]]*cleaneddata[[#This Row],[Quantity]]*(1-cleaneddata[[#This Row],[Discount %]]/100)</f>
        <v>423.096</v>
      </c>
      <c r="Z104">
        <f>cleaneddata[[#This Row],[sales]]-cleaneddata[[#This Row],[Cost]]</f>
        <v>83.136000000000024</v>
      </c>
    </row>
    <row r="105" spans="1:26" x14ac:dyDescent="0.3">
      <c r="A105" t="s">
        <v>372</v>
      </c>
      <c r="B105" s="1">
        <v>45318</v>
      </c>
      <c r="C105" t="s">
        <v>373</v>
      </c>
      <c r="D105" t="s">
        <v>3625</v>
      </c>
      <c r="E105" s="1">
        <v>45324</v>
      </c>
      <c r="F105" t="s">
        <v>122</v>
      </c>
      <c r="G105" t="s">
        <v>120</v>
      </c>
      <c r="H105" t="s">
        <v>121</v>
      </c>
      <c r="I105" t="s">
        <v>2622</v>
      </c>
      <c r="J105" t="s">
        <v>2705</v>
      </c>
      <c r="K105" t="s">
        <v>52</v>
      </c>
      <c r="L105">
        <v>26</v>
      </c>
      <c r="M105">
        <v>5</v>
      </c>
      <c r="N105">
        <v>0</v>
      </c>
      <c r="O105" t="s">
        <v>162</v>
      </c>
      <c r="P105" t="s">
        <v>44</v>
      </c>
      <c r="Q105" t="s">
        <v>117</v>
      </c>
      <c r="R105" t="s">
        <v>43</v>
      </c>
      <c r="S105" t="s">
        <v>123</v>
      </c>
      <c r="T105">
        <v>3</v>
      </c>
      <c r="U105">
        <v>275.02</v>
      </c>
      <c r="V105">
        <v>714.94</v>
      </c>
      <c r="W105">
        <v>6</v>
      </c>
      <c r="X105" t="str">
        <f>TEXT(cleaneddata[[#This Row],[Order Date]],"mmm")</f>
        <v>Jan</v>
      </c>
      <c r="Y105">
        <f>cleaneddata[[#This Row],[Unit Price]]*cleaneddata[[#This Row],[Quantity]]*(1-cleaneddata[[#This Row],[Discount %]]/100)</f>
        <v>1375.1</v>
      </c>
      <c r="Z105">
        <f>cleaneddata[[#This Row],[sales]]-cleaneddata[[#This Row],[Cost]]</f>
        <v>660.15999999999985</v>
      </c>
    </row>
    <row r="106" spans="1:26" x14ac:dyDescent="0.3">
      <c r="A106" t="s">
        <v>374</v>
      </c>
      <c r="B106" s="1">
        <v>45297</v>
      </c>
      <c r="C106" t="s">
        <v>375</v>
      </c>
      <c r="D106" t="s">
        <v>3624</v>
      </c>
      <c r="E106" s="1">
        <v>45303</v>
      </c>
      <c r="F106" t="s">
        <v>56</v>
      </c>
      <c r="G106" t="s">
        <v>54</v>
      </c>
      <c r="H106" t="s">
        <v>55</v>
      </c>
      <c r="I106" t="s">
        <v>2679</v>
      </c>
      <c r="J106" t="s">
        <v>2680</v>
      </c>
      <c r="K106" t="s">
        <v>52</v>
      </c>
      <c r="L106">
        <v>18</v>
      </c>
      <c r="M106">
        <v>3</v>
      </c>
      <c r="N106">
        <v>5</v>
      </c>
      <c r="O106" t="s">
        <v>376</v>
      </c>
      <c r="P106" t="s">
        <v>75</v>
      </c>
      <c r="Q106" t="s">
        <v>42</v>
      </c>
      <c r="R106" t="s">
        <v>71</v>
      </c>
      <c r="S106" t="s">
        <v>57</v>
      </c>
      <c r="T106">
        <v>5</v>
      </c>
      <c r="U106">
        <v>674.61</v>
      </c>
      <c r="V106">
        <v>1381.79</v>
      </c>
      <c r="W106">
        <v>6</v>
      </c>
      <c r="X106" t="str">
        <f>TEXT(cleaneddata[[#This Row],[Order Date]],"mmm")</f>
        <v>Jan</v>
      </c>
      <c r="Y106">
        <f>cleaneddata[[#This Row],[Unit Price]]*cleaneddata[[#This Row],[Quantity]]*(1-cleaneddata[[#This Row],[Discount %]]/100)</f>
        <v>1922.6384999999998</v>
      </c>
      <c r="Z106">
        <f>cleaneddata[[#This Row],[sales]]-cleaneddata[[#This Row],[Cost]]</f>
        <v>540.84849999999983</v>
      </c>
    </row>
    <row r="107" spans="1:26" x14ac:dyDescent="0.3">
      <c r="A107" t="s">
        <v>377</v>
      </c>
      <c r="B107" s="1">
        <v>46054</v>
      </c>
      <c r="C107" t="s">
        <v>378</v>
      </c>
      <c r="D107" t="s">
        <v>3623</v>
      </c>
      <c r="E107" s="1">
        <v>46056</v>
      </c>
      <c r="F107" t="s">
        <v>68</v>
      </c>
      <c r="G107" t="s">
        <v>66</v>
      </c>
      <c r="H107" t="s">
        <v>67</v>
      </c>
      <c r="I107" t="s">
        <v>2634</v>
      </c>
      <c r="J107" t="s">
        <v>2714</v>
      </c>
      <c r="K107" t="s">
        <v>52</v>
      </c>
      <c r="L107">
        <v>43</v>
      </c>
      <c r="M107">
        <v>1</v>
      </c>
      <c r="N107">
        <v>25</v>
      </c>
      <c r="O107" t="s">
        <v>379</v>
      </c>
      <c r="P107" t="s">
        <v>75</v>
      </c>
      <c r="Q107" t="s">
        <v>70</v>
      </c>
      <c r="R107" t="s">
        <v>62</v>
      </c>
      <c r="S107" t="s">
        <v>69</v>
      </c>
      <c r="T107">
        <v>3</v>
      </c>
      <c r="U107">
        <v>612.99</v>
      </c>
      <c r="V107">
        <v>335.21</v>
      </c>
      <c r="W107">
        <v>2</v>
      </c>
      <c r="X107" t="str">
        <f>TEXT(cleaneddata[[#This Row],[Order Date]],"mmm")</f>
        <v>Feb</v>
      </c>
      <c r="Y107">
        <f>cleaneddata[[#This Row],[Unit Price]]*cleaneddata[[#This Row],[Quantity]]*(1-cleaneddata[[#This Row],[Discount %]]/100)</f>
        <v>459.74250000000001</v>
      </c>
      <c r="Z107">
        <f>cleaneddata[[#This Row],[sales]]-cleaneddata[[#This Row],[Cost]]</f>
        <v>124.53250000000003</v>
      </c>
    </row>
    <row r="108" spans="1:26" x14ac:dyDescent="0.3">
      <c r="A108" t="s">
        <v>380</v>
      </c>
      <c r="B108" s="1">
        <v>45470</v>
      </c>
      <c r="C108" t="s">
        <v>381</v>
      </c>
      <c r="D108" t="s">
        <v>2790</v>
      </c>
      <c r="E108" s="1">
        <v>45472</v>
      </c>
      <c r="F108" t="s">
        <v>56</v>
      </c>
      <c r="G108" t="s">
        <v>54</v>
      </c>
      <c r="H108" t="s">
        <v>55</v>
      </c>
      <c r="I108" t="s">
        <v>2623</v>
      </c>
      <c r="J108" t="s">
        <v>2696</v>
      </c>
      <c r="K108" t="s">
        <v>25</v>
      </c>
      <c r="L108">
        <v>19</v>
      </c>
      <c r="M108">
        <v>5</v>
      </c>
      <c r="N108">
        <v>30</v>
      </c>
      <c r="O108" t="s">
        <v>382</v>
      </c>
      <c r="P108" t="s">
        <v>33</v>
      </c>
      <c r="Q108" t="s">
        <v>117</v>
      </c>
      <c r="R108" t="s">
        <v>71</v>
      </c>
      <c r="S108" t="s">
        <v>57</v>
      </c>
      <c r="T108">
        <v>3</v>
      </c>
      <c r="U108">
        <v>272.60000000000002</v>
      </c>
      <c r="V108">
        <v>591.5</v>
      </c>
      <c r="W108">
        <v>2</v>
      </c>
      <c r="X108" t="str">
        <f>TEXT(cleaneddata[[#This Row],[Order Date]],"mmm")</f>
        <v>Jun</v>
      </c>
      <c r="Y108">
        <f>cleaneddata[[#This Row],[Unit Price]]*cleaneddata[[#This Row],[Quantity]]*(1-cleaneddata[[#This Row],[Discount %]]/100)</f>
        <v>954.09999999999991</v>
      </c>
      <c r="Z108">
        <f>cleaneddata[[#This Row],[sales]]-cleaneddata[[#This Row],[Cost]]</f>
        <v>362.59999999999991</v>
      </c>
    </row>
    <row r="109" spans="1:26" x14ac:dyDescent="0.3">
      <c r="A109" t="s">
        <v>383</v>
      </c>
      <c r="B109" s="1">
        <v>45706</v>
      </c>
      <c r="C109" t="s">
        <v>384</v>
      </c>
      <c r="D109" t="s">
        <v>3622</v>
      </c>
      <c r="E109" s="1">
        <v>45709</v>
      </c>
      <c r="F109" t="s">
        <v>122</v>
      </c>
      <c r="G109" t="s">
        <v>120</v>
      </c>
      <c r="H109" t="s">
        <v>121</v>
      </c>
      <c r="I109" t="s">
        <v>2679</v>
      </c>
      <c r="J109" t="s">
        <v>2707</v>
      </c>
      <c r="K109" t="s">
        <v>52</v>
      </c>
      <c r="L109">
        <v>57</v>
      </c>
      <c r="M109">
        <v>4</v>
      </c>
      <c r="N109">
        <v>10</v>
      </c>
      <c r="O109" t="s">
        <v>385</v>
      </c>
      <c r="P109" t="s">
        <v>33</v>
      </c>
      <c r="Q109" t="s">
        <v>58</v>
      </c>
      <c r="R109" t="s">
        <v>32</v>
      </c>
      <c r="S109" t="s">
        <v>123</v>
      </c>
      <c r="T109">
        <v>2</v>
      </c>
      <c r="U109">
        <v>768.8</v>
      </c>
      <c r="V109">
        <v>1594</v>
      </c>
      <c r="W109">
        <v>3</v>
      </c>
      <c r="X109" t="str">
        <f>TEXT(cleaneddata[[#This Row],[Order Date]],"mmm")</f>
        <v>Feb</v>
      </c>
      <c r="Y109">
        <f>cleaneddata[[#This Row],[Unit Price]]*cleaneddata[[#This Row],[Quantity]]*(1-cleaneddata[[#This Row],[Discount %]]/100)</f>
        <v>2767.68</v>
      </c>
      <c r="Z109">
        <f>cleaneddata[[#This Row],[sales]]-cleaneddata[[#This Row],[Cost]]</f>
        <v>1173.6799999999998</v>
      </c>
    </row>
    <row r="110" spans="1:26" x14ac:dyDescent="0.3">
      <c r="A110" t="s">
        <v>386</v>
      </c>
      <c r="B110" s="1">
        <v>45960</v>
      </c>
      <c r="C110" t="s">
        <v>387</v>
      </c>
      <c r="D110" t="s">
        <v>3621</v>
      </c>
      <c r="E110" s="1">
        <v>45963</v>
      </c>
      <c r="F110" t="s">
        <v>2617</v>
      </c>
      <c r="G110" t="s">
        <v>27</v>
      </c>
      <c r="H110" t="s">
        <v>28</v>
      </c>
      <c r="I110" t="s">
        <v>2654</v>
      </c>
      <c r="J110" t="s">
        <v>2684</v>
      </c>
      <c r="K110" t="s">
        <v>52</v>
      </c>
      <c r="L110">
        <v>59</v>
      </c>
      <c r="M110">
        <v>2</v>
      </c>
      <c r="N110">
        <v>5</v>
      </c>
      <c r="O110" t="s">
        <v>388</v>
      </c>
      <c r="P110" t="s">
        <v>33</v>
      </c>
      <c r="Q110" t="s">
        <v>58</v>
      </c>
      <c r="R110" t="s">
        <v>43</v>
      </c>
      <c r="S110" t="s">
        <v>30</v>
      </c>
      <c r="T110">
        <v>3</v>
      </c>
      <c r="U110">
        <v>907.65</v>
      </c>
      <c r="V110">
        <v>1389.01</v>
      </c>
      <c r="W110">
        <v>3</v>
      </c>
      <c r="X110" t="str">
        <f>TEXT(cleaneddata[[#This Row],[Order Date]],"mmm")</f>
        <v>Oct</v>
      </c>
      <c r="Y110">
        <f>cleaneddata[[#This Row],[Unit Price]]*cleaneddata[[#This Row],[Quantity]]*(1-cleaneddata[[#This Row],[Discount %]]/100)</f>
        <v>1724.5349999999999</v>
      </c>
      <c r="Z110">
        <f>cleaneddata[[#This Row],[sales]]-cleaneddata[[#This Row],[Cost]]</f>
        <v>335.52499999999986</v>
      </c>
    </row>
    <row r="111" spans="1:26" x14ac:dyDescent="0.3">
      <c r="A111" t="s">
        <v>389</v>
      </c>
      <c r="B111" s="1">
        <v>45916</v>
      </c>
      <c r="C111" t="s">
        <v>390</v>
      </c>
      <c r="D111" t="s">
        <v>3620</v>
      </c>
      <c r="E111" s="1">
        <v>45919</v>
      </c>
      <c r="F111" t="s">
        <v>128</v>
      </c>
      <c r="G111" t="s">
        <v>98</v>
      </c>
      <c r="H111" t="s">
        <v>127</v>
      </c>
      <c r="I111" t="s">
        <v>2629</v>
      </c>
      <c r="J111" t="s">
        <v>2689</v>
      </c>
      <c r="K111" t="s">
        <v>25</v>
      </c>
      <c r="L111">
        <v>39</v>
      </c>
      <c r="M111">
        <v>3</v>
      </c>
      <c r="N111">
        <v>0</v>
      </c>
      <c r="O111" t="s">
        <v>391</v>
      </c>
      <c r="P111" t="s">
        <v>33</v>
      </c>
      <c r="Q111" t="s">
        <v>58</v>
      </c>
      <c r="R111" t="s">
        <v>32</v>
      </c>
      <c r="S111" t="s">
        <v>129</v>
      </c>
      <c r="T111">
        <v>1</v>
      </c>
      <c r="U111">
        <v>932.33</v>
      </c>
      <c r="V111">
        <v>2335.0100000000002</v>
      </c>
      <c r="W111">
        <v>3</v>
      </c>
      <c r="X111" t="str">
        <f>TEXT(cleaneddata[[#This Row],[Order Date]],"mmm")</f>
        <v>Sep</v>
      </c>
      <c r="Y111">
        <f>cleaneddata[[#This Row],[Unit Price]]*cleaneddata[[#This Row],[Quantity]]*(1-cleaneddata[[#This Row],[Discount %]]/100)</f>
        <v>2796.9900000000002</v>
      </c>
      <c r="Z111">
        <f>cleaneddata[[#This Row],[sales]]-cleaneddata[[#This Row],[Cost]]</f>
        <v>461.98</v>
      </c>
    </row>
    <row r="112" spans="1:26" x14ac:dyDescent="0.3">
      <c r="A112" t="s">
        <v>392</v>
      </c>
      <c r="B112" s="1">
        <v>46030</v>
      </c>
      <c r="C112" t="s">
        <v>393</v>
      </c>
      <c r="D112" t="s">
        <v>3619</v>
      </c>
      <c r="E112" s="1">
        <v>46036</v>
      </c>
      <c r="F112" t="s">
        <v>56</v>
      </c>
      <c r="G112" t="s">
        <v>54</v>
      </c>
      <c r="H112" t="s">
        <v>55</v>
      </c>
      <c r="I112" t="s">
        <v>2679</v>
      </c>
      <c r="J112" t="s">
        <v>2680</v>
      </c>
      <c r="K112" t="s">
        <v>25</v>
      </c>
      <c r="L112">
        <v>46</v>
      </c>
      <c r="M112">
        <v>1</v>
      </c>
      <c r="N112">
        <v>25</v>
      </c>
      <c r="O112" t="s">
        <v>394</v>
      </c>
      <c r="P112" t="s">
        <v>44</v>
      </c>
      <c r="Q112" t="s">
        <v>117</v>
      </c>
      <c r="R112" t="s">
        <v>43</v>
      </c>
      <c r="S112" t="s">
        <v>57</v>
      </c>
      <c r="T112">
        <v>2</v>
      </c>
      <c r="U112">
        <v>144.76</v>
      </c>
      <c r="V112">
        <v>69.47</v>
      </c>
      <c r="W112">
        <v>6</v>
      </c>
      <c r="X112" t="str">
        <f>TEXT(cleaneddata[[#This Row],[Order Date]],"mmm")</f>
        <v>Jan</v>
      </c>
      <c r="Y112">
        <f>cleaneddata[[#This Row],[Unit Price]]*cleaneddata[[#This Row],[Quantity]]*(1-cleaneddata[[#This Row],[Discount %]]/100)</f>
        <v>108.57</v>
      </c>
      <c r="Z112">
        <f>cleaneddata[[#This Row],[sales]]-cleaneddata[[#This Row],[Cost]]</f>
        <v>39.099999999999994</v>
      </c>
    </row>
    <row r="113" spans="1:26" x14ac:dyDescent="0.3">
      <c r="A113" t="s">
        <v>395</v>
      </c>
      <c r="B113" s="1">
        <v>45506</v>
      </c>
      <c r="C113" t="s">
        <v>396</v>
      </c>
      <c r="D113" t="s">
        <v>3618</v>
      </c>
      <c r="E113" s="1">
        <v>45507</v>
      </c>
      <c r="F113" t="s">
        <v>122</v>
      </c>
      <c r="G113" t="s">
        <v>120</v>
      </c>
      <c r="H113" t="s">
        <v>121</v>
      </c>
      <c r="I113" t="s">
        <v>2661</v>
      </c>
      <c r="J113" t="s">
        <v>2671</v>
      </c>
      <c r="K113" t="s">
        <v>25</v>
      </c>
      <c r="L113">
        <v>63</v>
      </c>
      <c r="M113">
        <v>5</v>
      </c>
      <c r="N113">
        <v>5</v>
      </c>
      <c r="O113" t="s">
        <v>397</v>
      </c>
      <c r="P113" t="s">
        <v>75</v>
      </c>
      <c r="Q113" t="s">
        <v>42</v>
      </c>
      <c r="R113" t="s">
        <v>62</v>
      </c>
      <c r="S113" t="s">
        <v>123</v>
      </c>
      <c r="T113">
        <v>5</v>
      </c>
      <c r="U113">
        <v>75.59</v>
      </c>
      <c r="V113">
        <v>260.01</v>
      </c>
      <c r="W113">
        <v>1</v>
      </c>
      <c r="X113" t="str">
        <f>TEXT(cleaneddata[[#This Row],[Order Date]],"mmm")</f>
        <v>Aug</v>
      </c>
      <c r="Y113">
        <f>cleaneddata[[#This Row],[Unit Price]]*cleaneddata[[#This Row],[Quantity]]*(1-cleaneddata[[#This Row],[Discount %]]/100)</f>
        <v>359.05250000000001</v>
      </c>
      <c r="Z113">
        <f>cleaneddata[[#This Row],[sales]]-cleaneddata[[#This Row],[Cost]]</f>
        <v>99.042500000000018</v>
      </c>
    </row>
    <row r="114" spans="1:26" x14ac:dyDescent="0.3">
      <c r="A114" t="s">
        <v>398</v>
      </c>
      <c r="B114" s="1">
        <v>45362</v>
      </c>
      <c r="C114" t="s">
        <v>399</v>
      </c>
      <c r="D114" t="s">
        <v>3617</v>
      </c>
      <c r="E114" s="1">
        <v>45365</v>
      </c>
      <c r="F114" t="s">
        <v>128</v>
      </c>
      <c r="G114" t="s">
        <v>98</v>
      </c>
      <c r="H114" t="s">
        <v>127</v>
      </c>
      <c r="I114" t="s">
        <v>2659</v>
      </c>
      <c r="J114" t="s">
        <v>2660</v>
      </c>
      <c r="K114" t="s">
        <v>25</v>
      </c>
      <c r="L114">
        <v>28</v>
      </c>
      <c r="M114">
        <v>1</v>
      </c>
      <c r="N114">
        <v>10</v>
      </c>
      <c r="O114" t="s">
        <v>400</v>
      </c>
      <c r="P114" t="s">
        <v>44</v>
      </c>
      <c r="Q114" t="s">
        <v>70</v>
      </c>
      <c r="R114" t="s">
        <v>32</v>
      </c>
      <c r="S114" t="s">
        <v>129</v>
      </c>
      <c r="T114">
        <v>5</v>
      </c>
      <c r="U114">
        <v>130.5</v>
      </c>
      <c r="V114">
        <v>88.2</v>
      </c>
      <c r="W114">
        <v>3</v>
      </c>
      <c r="X114" t="str">
        <f>TEXT(cleaneddata[[#This Row],[Order Date]],"mmm")</f>
        <v>Mar</v>
      </c>
      <c r="Y114">
        <f>cleaneddata[[#This Row],[Unit Price]]*cleaneddata[[#This Row],[Quantity]]*(1-cleaneddata[[#This Row],[Discount %]]/100)</f>
        <v>117.45</v>
      </c>
      <c r="Z114">
        <f>cleaneddata[[#This Row],[sales]]-cleaneddata[[#This Row],[Cost]]</f>
        <v>29.25</v>
      </c>
    </row>
    <row r="115" spans="1:26" x14ac:dyDescent="0.3">
      <c r="A115" t="s">
        <v>401</v>
      </c>
      <c r="B115" s="1">
        <v>45524</v>
      </c>
      <c r="C115" t="s">
        <v>402</v>
      </c>
      <c r="D115" t="s">
        <v>3616</v>
      </c>
      <c r="E115" s="1">
        <v>45528</v>
      </c>
      <c r="F115" t="s">
        <v>2617</v>
      </c>
      <c r="G115" t="s">
        <v>27</v>
      </c>
      <c r="H115" t="s">
        <v>28</v>
      </c>
      <c r="I115" t="s">
        <v>2629</v>
      </c>
      <c r="J115" t="s">
        <v>2689</v>
      </c>
      <c r="K115" t="s">
        <v>52</v>
      </c>
      <c r="L115">
        <v>27</v>
      </c>
      <c r="M115">
        <v>4</v>
      </c>
      <c r="N115">
        <v>30</v>
      </c>
      <c r="O115" t="s">
        <v>403</v>
      </c>
      <c r="P115" t="s">
        <v>75</v>
      </c>
      <c r="Q115" t="s">
        <v>58</v>
      </c>
      <c r="R115" t="s">
        <v>32</v>
      </c>
      <c r="S115" t="s">
        <v>30</v>
      </c>
      <c r="T115">
        <v>1</v>
      </c>
      <c r="U115">
        <v>369.7</v>
      </c>
      <c r="V115">
        <v>609.29999999999995</v>
      </c>
      <c r="W115">
        <v>4</v>
      </c>
      <c r="X115" t="str">
        <f>TEXT(cleaneddata[[#This Row],[Order Date]],"mmm")</f>
        <v>Aug</v>
      </c>
      <c r="Y115">
        <f>cleaneddata[[#This Row],[Unit Price]]*cleaneddata[[#This Row],[Quantity]]*(1-cleaneddata[[#This Row],[Discount %]]/100)</f>
        <v>1035.1599999999999</v>
      </c>
      <c r="Z115">
        <f>cleaneddata[[#This Row],[sales]]-cleaneddata[[#This Row],[Cost]]</f>
        <v>425.8599999999999</v>
      </c>
    </row>
    <row r="116" spans="1:26" x14ac:dyDescent="0.3">
      <c r="A116" t="s">
        <v>404</v>
      </c>
      <c r="B116" s="1">
        <v>46125</v>
      </c>
      <c r="C116" t="s">
        <v>405</v>
      </c>
      <c r="D116" t="s">
        <v>3615</v>
      </c>
      <c r="E116" s="1">
        <v>46130</v>
      </c>
      <c r="F116" t="s">
        <v>128</v>
      </c>
      <c r="G116" t="s">
        <v>98</v>
      </c>
      <c r="H116" t="s">
        <v>127</v>
      </c>
      <c r="I116" t="s">
        <v>2622</v>
      </c>
      <c r="J116" t="s">
        <v>2704</v>
      </c>
      <c r="K116" t="s">
        <v>25</v>
      </c>
      <c r="L116">
        <v>40</v>
      </c>
      <c r="M116">
        <v>5</v>
      </c>
      <c r="N116">
        <v>10</v>
      </c>
      <c r="O116" t="s">
        <v>406</v>
      </c>
      <c r="P116" t="s">
        <v>44</v>
      </c>
      <c r="Q116" t="s">
        <v>42</v>
      </c>
      <c r="R116" t="s">
        <v>43</v>
      </c>
      <c r="S116" t="s">
        <v>129</v>
      </c>
      <c r="T116">
        <v>3</v>
      </c>
      <c r="U116">
        <v>308.11</v>
      </c>
      <c r="V116">
        <v>1169.07</v>
      </c>
      <c r="W116">
        <v>5</v>
      </c>
      <c r="X116" t="str">
        <f>TEXT(cleaneddata[[#This Row],[Order Date]],"mmm")</f>
        <v>Apr</v>
      </c>
      <c r="Y116">
        <f>cleaneddata[[#This Row],[Unit Price]]*cleaneddata[[#This Row],[Quantity]]*(1-cleaneddata[[#This Row],[Discount %]]/100)</f>
        <v>1386.4950000000001</v>
      </c>
      <c r="Z116">
        <f>cleaneddata[[#This Row],[sales]]-cleaneddata[[#This Row],[Cost]]</f>
        <v>217.42500000000018</v>
      </c>
    </row>
    <row r="117" spans="1:26" x14ac:dyDescent="0.3">
      <c r="A117" t="s">
        <v>407</v>
      </c>
      <c r="B117" s="1">
        <v>45846</v>
      </c>
      <c r="C117" t="s">
        <v>408</v>
      </c>
      <c r="D117" t="s">
        <v>3614</v>
      </c>
      <c r="E117" s="1">
        <v>45852</v>
      </c>
      <c r="F117" t="s">
        <v>115</v>
      </c>
      <c r="G117" t="s">
        <v>66</v>
      </c>
      <c r="H117" t="s">
        <v>114</v>
      </c>
      <c r="I117" t="s">
        <v>2623</v>
      </c>
      <c r="J117" t="s">
        <v>2691</v>
      </c>
      <c r="K117" t="s">
        <v>25</v>
      </c>
      <c r="L117">
        <v>54</v>
      </c>
      <c r="M117">
        <v>1</v>
      </c>
      <c r="N117">
        <v>10</v>
      </c>
      <c r="O117" t="s">
        <v>409</v>
      </c>
      <c r="P117" t="s">
        <v>33</v>
      </c>
      <c r="Q117" t="s">
        <v>70</v>
      </c>
      <c r="R117" t="s">
        <v>32</v>
      </c>
      <c r="S117" t="s">
        <v>116</v>
      </c>
      <c r="T117">
        <v>2</v>
      </c>
      <c r="U117">
        <v>388.1</v>
      </c>
      <c r="V117">
        <v>276.12</v>
      </c>
      <c r="W117">
        <v>6</v>
      </c>
      <c r="X117" t="str">
        <f>TEXT(cleaneddata[[#This Row],[Order Date]],"mmm")</f>
        <v>Jul</v>
      </c>
      <c r="Y117">
        <f>cleaneddata[[#This Row],[Unit Price]]*cleaneddata[[#This Row],[Quantity]]*(1-cleaneddata[[#This Row],[Discount %]]/100)</f>
        <v>349.29</v>
      </c>
      <c r="Z117">
        <f>cleaneddata[[#This Row],[sales]]-cleaneddata[[#This Row],[Cost]]</f>
        <v>73.170000000000016</v>
      </c>
    </row>
    <row r="118" spans="1:26" x14ac:dyDescent="0.3">
      <c r="A118" t="s">
        <v>410</v>
      </c>
      <c r="B118" s="1">
        <v>45973</v>
      </c>
      <c r="C118" t="s">
        <v>411</v>
      </c>
      <c r="D118" t="s">
        <v>3613</v>
      </c>
      <c r="E118" s="1">
        <v>45975</v>
      </c>
      <c r="F118" t="s">
        <v>56</v>
      </c>
      <c r="G118" t="s">
        <v>54</v>
      </c>
      <c r="H118" t="s">
        <v>55</v>
      </c>
      <c r="I118" t="s">
        <v>2652</v>
      </c>
      <c r="J118" t="s">
        <v>2688</v>
      </c>
      <c r="K118" t="s">
        <v>52</v>
      </c>
      <c r="L118">
        <v>60</v>
      </c>
      <c r="M118">
        <v>4</v>
      </c>
      <c r="N118">
        <v>20</v>
      </c>
      <c r="O118" t="s">
        <v>270</v>
      </c>
      <c r="P118" t="s">
        <v>44</v>
      </c>
      <c r="Q118" t="s">
        <v>42</v>
      </c>
      <c r="R118" t="s">
        <v>62</v>
      </c>
      <c r="S118" t="s">
        <v>57</v>
      </c>
      <c r="T118">
        <v>4</v>
      </c>
      <c r="U118">
        <v>584.17999999999995</v>
      </c>
      <c r="V118">
        <v>1537.11</v>
      </c>
      <c r="W118">
        <v>2</v>
      </c>
      <c r="X118" t="str">
        <f>TEXT(cleaneddata[[#This Row],[Order Date]],"mmm")</f>
        <v>Nov</v>
      </c>
      <c r="Y118">
        <f>cleaneddata[[#This Row],[Unit Price]]*cleaneddata[[#This Row],[Quantity]]*(1-cleaneddata[[#This Row],[Discount %]]/100)</f>
        <v>1869.376</v>
      </c>
      <c r="Z118">
        <f>cleaneddata[[#This Row],[sales]]-cleaneddata[[#This Row],[Cost]]</f>
        <v>332.26600000000008</v>
      </c>
    </row>
    <row r="119" spans="1:26" x14ac:dyDescent="0.3">
      <c r="A119" t="s">
        <v>412</v>
      </c>
      <c r="B119" s="1">
        <v>46042</v>
      </c>
      <c r="C119" t="s">
        <v>413</v>
      </c>
      <c r="D119" t="s">
        <v>3612</v>
      </c>
      <c r="E119" s="1">
        <v>46043</v>
      </c>
      <c r="F119" t="s">
        <v>140</v>
      </c>
      <c r="G119" t="s">
        <v>38</v>
      </c>
      <c r="H119" t="s">
        <v>139</v>
      </c>
      <c r="I119" t="s">
        <v>2625</v>
      </c>
      <c r="J119" t="s">
        <v>2667</v>
      </c>
      <c r="K119" t="s">
        <v>52</v>
      </c>
      <c r="L119">
        <v>38</v>
      </c>
      <c r="M119">
        <v>2</v>
      </c>
      <c r="N119">
        <v>15</v>
      </c>
      <c r="O119" t="s">
        <v>414</v>
      </c>
      <c r="P119" t="s">
        <v>33</v>
      </c>
      <c r="Q119" t="s">
        <v>117</v>
      </c>
      <c r="R119" t="s">
        <v>43</v>
      </c>
      <c r="S119" t="s">
        <v>141</v>
      </c>
      <c r="T119">
        <v>4</v>
      </c>
      <c r="U119">
        <v>247.48</v>
      </c>
      <c r="V119">
        <v>297.77999999999997</v>
      </c>
      <c r="W119">
        <v>1</v>
      </c>
      <c r="X119" t="str">
        <f>TEXT(cleaneddata[[#This Row],[Order Date]],"mmm")</f>
        <v>Jan</v>
      </c>
      <c r="Y119">
        <f>cleaneddata[[#This Row],[Unit Price]]*cleaneddata[[#This Row],[Quantity]]*(1-cleaneddata[[#This Row],[Discount %]]/100)</f>
        <v>420.71599999999995</v>
      </c>
      <c r="Z119">
        <f>cleaneddata[[#This Row],[sales]]-cleaneddata[[#This Row],[Cost]]</f>
        <v>122.93599999999998</v>
      </c>
    </row>
    <row r="120" spans="1:26" x14ac:dyDescent="0.3">
      <c r="A120" t="s">
        <v>415</v>
      </c>
      <c r="B120" s="1">
        <v>46034</v>
      </c>
      <c r="C120" t="s">
        <v>416</v>
      </c>
      <c r="D120" t="s">
        <v>3611</v>
      </c>
      <c r="E120" s="1">
        <v>46039</v>
      </c>
      <c r="F120" t="s">
        <v>2617</v>
      </c>
      <c r="G120" t="s">
        <v>27</v>
      </c>
      <c r="H120" t="s">
        <v>28</v>
      </c>
      <c r="I120" t="s">
        <v>2632</v>
      </c>
      <c r="J120" t="s">
        <v>2715</v>
      </c>
      <c r="K120" t="s">
        <v>52</v>
      </c>
      <c r="L120">
        <v>42</v>
      </c>
      <c r="M120">
        <v>4</v>
      </c>
      <c r="N120">
        <v>5</v>
      </c>
      <c r="O120" t="s">
        <v>417</v>
      </c>
      <c r="P120" t="s">
        <v>75</v>
      </c>
      <c r="Q120" t="s">
        <v>58</v>
      </c>
      <c r="R120" t="s">
        <v>32</v>
      </c>
      <c r="S120" t="s">
        <v>30</v>
      </c>
      <c r="T120">
        <v>4</v>
      </c>
      <c r="U120">
        <v>762.62</v>
      </c>
      <c r="V120">
        <v>1818.47</v>
      </c>
      <c r="W120">
        <v>5</v>
      </c>
      <c r="X120" t="str">
        <f>TEXT(cleaneddata[[#This Row],[Order Date]],"mmm")</f>
        <v>Jan</v>
      </c>
      <c r="Y120">
        <f>cleaneddata[[#This Row],[Unit Price]]*cleaneddata[[#This Row],[Quantity]]*(1-cleaneddata[[#This Row],[Discount %]]/100)</f>
        <v>2897.9559999999997</v>
      </c>
      <c r="Z120">
        <f>cleaneddata[[#This Row],[sales]]-cleaneddata[[#This Row],[Cost]]</f>
        <v>1079.4859999999996</v>
      </c>
    </row>
    <row r="121" spans="1:26" x14ac:dyDescent="0.3">
      <c r="A121" t="s">
        <v>418</v>
      </c>
      <c r="B121" s="1">
        <v>46138</v>
      </c>
      <c r="C121" t="s">
        <v>419</v>
      </c>
      <c r="D121" t="s">
        <v>3610</v>
      </c>
      <c r="E121" s="1">
        <v>46142</v>
      </c>
      <c r="F121" t="s">
        <v>122</v>
      </c>
      <c r="G121" t="s">
        <v>120</v>
      </c>
      <c r="H121" t="s">
        <v>121</v>
      </c>
      <c r="I121" t="s">
        <v>2663</v>
      </c>
      <c r="J121" t="s">
        <v>2670</v>
      </c>
      <c r="K121" t="s">
        <v>52</v>
      </c>
      <c r="L121">
        <v>48</v>
      </c>
      <c r="M121">
        <v>2</v>
      </c>
      <c r="N121">
        <v>10</v>
      </c>
      <c r="O121" t="s">
        <v>420</v>
      </c>
      <c r="P121" t="s">
        <v>75</v>
      </c>
      <c r="Q121" t="s">
        <v>58</v>
      </c>
      <c r="R121" t="s">
        <v>71</v>
      </c>
      <c r="S121" t="s">
        <v>123</v>
      </c>
      <c r="T121">
        <v>3</v>
      </c>
      <c r="U121">
        <v>515.66</v>
      </c>
      <c r="V121">
        <v>528.78</v>
      </c>
      <c r="W121">
        <v>4</v>
      </c>
      <c r="X121" t="str">
        <f>TEXT(cleaneddata[[#This Row],[Order Date]],"mmm")</f>
        <v>Apr</v>
      </c>
      <c r="Y121">
        <f>cleaneddata[[#This Row],[Unit Price]]*cleaneddata[[#This Row],[Quantity]]*(1-cleaneddata[[#This Row],[Discount %]]/100)</f>
        <v>928.18799999999999</v>
      </c>
      <c r="Z121">
        <f>cleaneddata[[#This Row],[sales]]-cleaneddata[[#This Row],[Cost]]</f>
        <v>399.40800000000002</v>
      </c>
    </row>
    <row r="122" spans="1:26" x14ac:dyDescent="0.3">
      <c r="A122" t="s">
        <v>421</v>
      </c>
      <c r="B122" s="1">
        <v>46036</v>
      </c>
      <c r="C122" t="s">
        <v>422</v>
      </c>
      <c r="D122" t="s">
        <v>3609</v>
      </c>
      <c r="E122" s="1">
        <v>46040</v>
      </c>
      <c r="F122" t="s">
        <v>122</v>
      </c>
      <c r="G122" t="s">
        <v>120</v>
      </c>
      <c r="H122" t="s">
        <v>121</v>
      </c>
      <c r="I122" t="s">
        <v>2672</v>
      </c>
      <c r="J122" t="s">
        <v>2716</v>
      </c>
      <c r="K122" t="s">
        <v>25</v>
      </c>
      <c r="L122">
        <v>34</v>
      </c>
      <c r="M122">
        <v>2</v>
      </c>
      <c r="N122">
        <v>25</v>
      </c>
      <c r="O122" t="s">
        <v>180</v>
      </c>
      <c r="P122" t="s">
        <v>44</v>
      </c>
      <c r="Q122" t="s">
        <v>70</v>
      </c>
      <c r="R122" t="s">
        <v>62</v>
      </c>
      <c r="S122" t="s">
        <v>123</v>
      </c>
      <c r="T122">
        <v>3</v>
      </c>
      <c r="U122">
        <v>961.36</v>
      </c>
      <c r="V122">
        <v>1066.18</v>
      </c>
      <c r="W122">
        <v>4</v>
      </c>
      <c r="X122" t="str">
        <f>TEXT(cleaneddata[[#This Row],[Order Date]],"mmm")</f>
        <v>Jan</v>
      </c>
      <c r="Y122">
        <f>cleaneddata[[#This Row],[Unit Price]]*cleaneddata[[#This Row],[Quantity]]*(1-cleaneddata[[#This Row],[Discount %]]/100)</f>
        <v>1442.04</v>
      </c>
      <c r="Z122">
        <f>cleaneddata[[#This Row],[sales]]-cleaneddata[[#This Row],[Cost]]</f>
        <v>375.8599999999999</v>
      </c>
    </row>
    <row r="123" spans="1:26" x14ac:dyDescent="0.3">
      <c r="A123" t="s">
        <v>423</v>
      </c>
      <c r="B123" s="1">
        <v>46048</v>
      </c>
      <c r="C123" t="s">
        <v>424</v>
      </c>
      <c r="D123" t="s">
        <v>3608</v>
      </c>
      <c r="E123" s="1">
        <v>46055</v>
      </c>
      <c r="F123" t="s">
        <v>56</v>
      </c>
      <c r="G123" t="s">
        <v>54</v>
      </c>
      <c r="H123" t="s">
        <v>55</v>
      </c>
      <c r="I123" t="s">
        <v>2627</v>
      </c>
      <c r="J123" t="s">
        <v>2717</v>
      </c>
      <c r="K123" t="s">
        <v>25</v>
      </c>
      <c r="L123">
        <v>55</v>
      </c>
      <c r="M123">
        <v>5</v>
      </c>
      <c r="N123">
        <v>25</v>
      </c>
      <c r="O123" t="s">
        <v>425</v>
      </c>
      <c r="P123" t="s">
        <v>44</v>
      </c>
      <c r="Q123" t="s">
        <v>117</v>
      </c>
      <c r="R123" t="s">
        <v>43</v>
      </c>
      <c r="S123" t="s">
        <v>57</v>
      </c>
      <c r="T123">
        <v>3</v>
      </c>
      <c r="U123">
        <v>451.63</v>
      </c>
      <c r="V123">
        <v>1011.27</v>
      </c>
      <c r="W123">
        <v>7</v>
      </c>
      <c r="X123" t="str">
        <f>TEXT(cleaneddata[[#This Row],[Order Date]],"mmm")</f>
        <v>Jan</v>
      </c>
      <c r="Y123">
        <f>cleaneddata[[#This Row],[Unit Price]]*cleaneddata[[#This Row],[Quantity]]*(1-cleaneddata[[#This Row],[Discount %]]/100)</f>
        <v>1693.6125000000002</v>
      </c>
      <c r="Z123">
        <f>cleaneddata[[#This Row],[sales]]-cleaneddata[[#This Row],[Cost]]</f>
        <v>682.3425000000002</v>
      </c>
    </row>
    <row r="124" spans="1:26" x14ac:dyDescent="0.3">
      <c r="A124" t="s">
        <v>426</v>
      </c>
      <c r="B124" s="1">
        <v>45811</v>
      </c>
      <c r="C124" t="s">
        <v>427</v>
      </c>
      <c r="D124" t="s">
        <v>3607</v>
      </c>
      <c r="E124" s="1">
        <v>45813</v>
      </c>
      <c r="F124" t="s">
        <v>100</v>
      </c>
      <c r="G124" t="s">
        <v>98</v>
      </c>
      <c r="H124" t="s">
        <v>99</v>
      </c>
      <c r="I124" t="s">
        <v>2656</v>
      </c>
      <c r="J124" t="s">
        <v>2683</v>
      </c>
      <c r="K124" t="s">
        <v>25</v>
      </c>
      <c r="L124">
        <v>28</v>
      </c>
      <c r="M124">
        <v>3</v>
      </c>
      <c r="N124">
        <v>15</v>
      </c>
      <c r="O124" t="s">
        <v>428</v>
      </c>
      <c r="P124" t="s">
        <v>33</v>
      </c>
      <c r="Q124" t="s">
        <v>31</v>
      </c>
      <c r="R124" t="s">
        <v>62</v>
      </c>
      <c r="S124" t="s">
        <v>101</v>
      </c>
      <c r="T124">
        <v>2</v>
      </c>
      <c r="U124">
        <v>13.21</v>
      </c>
      <c r="V124">
        <v>22.23</v>
      </c>
      <c r="W124">
        <v>2</v>
      </c>
      <c r="X124" t="str">
        <f>TEXT(cleaneddata[[#This Row],[Order Date]],"mmm")</f>
        <v>Jun</v>
      </c>
      <c r="Y124">
        <f>cleaneddata[[#This Row],[Unit Price]]*cleaneddata[[#This Row],[Quantity]]*(1-cleaneddata[[#This Row],[Discount %]]/100)</f>
        <v>33.685500000000005</v>
      </c>
      <c r="Z124">
        <f>cleaneddata[[#This Row],[sales]]-cleaneddata[[#This Row],[Cost]]</f>
        <v>11.455500000000004</v>
      </c>
    </row>
    <row r="125" spans="1:26" x14ac:dyDescent="0.3">
      <c r="A125" t="s">
        <v>429</v>
      </c>
      <c r="B125" s="1">
        <v>45773</v>
      </c>
      <c r="C125" t="s">
        <v>430</v>
      </c>
      <c r="D125" t="s">
        <v>3606</v>
      </c>
      <c r="E125" s="1">
        <v>45774</v>
      </c>
      <c r="F125" t="s">
        <v>115</v>
      </c>
      <c r="G125" t="s">
        <v>66</v>
      </c>
      <c r="H125" t="s">
        <v>114</v>
      </c>
      <c r="I125" t="s">
        <v>2654</v>
      </c>
      <c r="J125" t="s">
        <v>2655</v>
      </c>
      <c r="K125" t="s">
        <v>25</v>
      </c>
      <c r="L125">
        <v>53</v>
      </c>
      <c r="M125">
        <v>5</v>
      </c>
      <c r="N125">
        <v>5</v>
      </c>
      <c r="O125" t="s">
        <v>431</v>
      </c>
      <c r="P125" t="s">
        <v>44</v>
      </c>
      <c r="Q125" t="s">
        <v>117</v>
      </c>
      <c r="R125" t="s">
        <v>43</v>
      </c>
      <c r="S125" t="s">
        <v>116</v>
      </c>
      <c r="T125">
        <v>1</v>
      </c>
      <c r="U125">
        <v>773.09</v>
      </c>
      <c r="V125">
        <v>2088.58</v>
      </c>
      <c r="W125">
        <v>1</v>
      </c>
      <c r="X125" t="str">
        <f>TEXT(cleaneddata[[#This Row],[Order Date]],"mmm")</f>
        <v>Apr</v>
      </c>
      <c r="Y125">
        <f>cleaneddata[[#This Row],[Unit Price]]*cleaneddata[[#This Row],[Quantity]]*(1-cleaneddata[[#This Row],[Discount %]]/100)</f>
        <v>3672.1775000000002</v>
      </c>
      <c r="Z125">
        <f>cleaneddata[[#This Row],[sales]]-cleaneddata[[#This Row],[Cost]]</f>
        <v>1583.5975000000003</v>
      </c>
    </row>
    <row r="126" spans="1:26" x14ac:dyDescent="0.3">
      <c r="A126" t="s">
        <v>432</v>
      </c>
      <c r="B126" s="1">
        <v>46123</v>
      </c>
      <c r="C126" t="s">
        <v>433</v>
      </c>
      <c r="D126" t="s">
        <v>3605</v>
      </c>
      <c r="E126" s="1">
        <v>46125</v>
      </c>
      <c r="F126" t="s">
        <v>140</v>
      </c>
      <c r="G126" t="s">
        <v>38</v>
      </c>
      <c r="H126" t="s">
        <v>139</v>
      </c>
      <c r="I126" t="s">
        <v>2675</v>
      </c>
      <c r="J126" t="s">
        <v>2710</v>
      </c>
      <c r="K126" t="s">
        <v>25</v>
      </c>
      <c r="L126">
        <v>54</v>
      </c>
      <c r="M126">
        <v>4</v>
      </c>
      <c r="N126">
        <v>30</v>
      </c>
      <c r="O126" t="s">
        <v>434</v>
      </c>
      <c r="P126" t="s">
        <v>44</v>
      </c>
      <c r="Q126" t="s">
        <v>70</v>
      </c>
      <c r="R126" t="s">
        <v>43</v>
      </c>
      <c r="S126" t="s">
        <v>141</v>
      </c>
      <c r="T126">
        <v>1</v>
      </c>
      <c r="U126">
        <v>952.95</v>
      </c>
      <c r="V126">
        <v>1921.72</v>
      </c>
      <c r="W126">
        <v>2</v>
      </c>
      <c r="X126" t="str">
        <f>TEXT(cleaneddata[[#This Row],[Order Date]],"mmm")</f>
        <v>Apr</v>
      </c>
      <c r="Y126">
        <f>cleaneddata[[#This Row],[Unit Price]]*cleaneddata[[#This Row],[Quantity]]*(1-cleaneddata[[#This Row],[Discount %]]/100)</f>
        <v>2668.2599999999998</v>
      </c>
      <c r="Z126">
        <f>cleaneddata[[#This Row],[sales]]-cleaneddata[[#This Row],[Cost]]</f>
        <v>746.53999999999974</v>
      </c>
    </row>
    <row r="127" spans="1:26" x14ac:dyDescent="0.3">
      <c r="A127" t="s">
        <v>435</v>
      </c>
      <c r="B127" s="1">
        <v>45431</v>
      </c>
      <c r="C127" t="s">
        <v>436</v>
      </c>
      <c r="D127" t="s">
        <v>3604</v>
      </c>
      <c r="E127" s="1">
        <v>45433</v>
      </c>
      <c r="F127" t="s">
        <v>100</v>
      </c>
      <c r="G127" t="s">
        <v>98</v>
      </c>
      <c r="H127" t="s">
        <v>99</v>
      </c>
      <c r="I127" t="s">
        <v>2625</v>
      </c>
      <c r="J127" t="s">
        <v>2651</v>
      </c>
      <c r="K127" t="s">
        <v>25</v>
      </c>
      <c r="L127">
        <v>29</v>
      </c>
      <c r="M127">
        <v>1</v>
      </c>
      <c r="N127">
        <v>20</v>
      </c>
      <c r="O127" t="s">
        <v>437</v>
      </c>
      <c r="P127" t="s">
        <v>33</v>
      </c>
      <c r="Q127" t="s">
        <v>42</v>
      </c>
      <c r="R127" t="s">
        <v>62</v>
      </c>
      <c r="S127" t="s">
        <v>101</v>
      </c>
      <c r="T127">
        <v>5</v>
      </c>
      <c r="U127">
        <v>307.58999999999997</v>
      </c>
      <c r="V127">
        <v>135.82</v>
      </c>
      <c r="W127">
        <v>2</v>
      </c>
      <c r="X127" t="str">
        <f>TEXT(cleaneddata[[#This Row],[Order Date]],"mmm")</f>
        <v>May</v>
      </c>
      <c r="Y127">
        <f>cleaneddata[[#This Row],[Unit Price]]*cleaneddata[[#This Row],[Quantity]]*(1-cleaneddata[[#This Row],[Discount %]]/100)</f>
        <v>246.072</v>
      </c>
      <c r="Z127">
        <f>cleaneddata[[#This Row],[sales]]-cleaneddata[[#This Row],[Cost]]</f>
        <v>110.25200000000001</v>
      </c>
    </row>
    <row r="128" spans="1:26" x14ac:dyDescent="0.3">
      <c r="A128" t="s">
        <v>438</v>
      </c>
      <c r="B128" s="1">
        <v>45613</v>
      </c>
      <c r="C128" t="s">
        <v>439</v>
      </c>
      <c r="D128" t="s">
        <v>3603</v>
      </c>
      <c r="E128" s="1">
        <v>45617</v>
      </c>
      <c r="F128" t="s">
        <v>140</v>
      </c>
      <c r="G128" t="s">
        <v>38</v>
      </c>
      <c r="H128" t="s">
        <v>139</v>
      </c>
      <c r="I128" t="s">
        <v>2654</v>
      </c>
      <c r="J128" t="s">
        <v>2684</v>
      </c>
      <c r="K128" t="s">
        <v>52</v>
      </c>
      <c r="L128">
        <v>52</v>
      </c>
      <c r="M128">
        <v>3</v>
      </c>
      <c r="N128">
        <v>15</v>
      </c>
      <c r="O128" t="s">
        <v>440</v>
      </c>
      <c r="P128" t="s">
        <v>75</v>
      </c>
      <c r="Q128" t="s">
        <v>42</v>
      </c>
      <c r="R128" t="s">
        <v>32</v>
      </c>
      <c r="S128" t="s">
        <v>141</v>
      </c>
      <c r="T128">
        <v>4</v>
      </c>
      <c r="U128">
        <v>818.3</v>
      </c>
      <c r="V128">
        <v>1080.3599999999999</v>
      </c>
      <c r="W128">
        <v>4</v>
      </c>
      <c r="X128" t="str">
        <f>TEXT(cleaneddata[[#This Row],[Order Date]],"mmm")</f>
        <v>Nov</v>
      </c>
      <c r="Y128">
        <f>cleaneddata[[#This Row],[Unit Price]]*cleaneddata[[#This Row],[Quantity]]*(1-cleaneddata[[#This Row],[Discount %]]/100)</f>
        <v>2086.6649999999995</v>
      </c>
      <c r="Z128">
        <f>cleaneddata[[#This Row],[sales]]-cleaneddata[[#This Row],[Cost]]</f>
        <v>1006.3049999999996</v>
      </c>
    </row>
    <row r="129" spans="1:26" x14ac:dyDescent="0.3">
      <c r="A129" t="s">
        <v>441</v>
      </c>
      <c r="B129" s="1">
        <v>45647</v>
      </c>
      <c r="C129" t="s">
        <v>442</v>
      </c>
      <c r="D129" t="s">
        <v>3602</v>
      </c>
      <c r="E129" s="1">
        <v>45652</v>
      </c>
      <c r="F129" t="s">
        <v>140</v>
      </c>
      <c r="G129" t="s">
        <v>38</v>
      </c>
      <c r="H129" t="s">
        <v>139</v>
      </c>
      <c r="I129" t="s">
        <v>2635</v>
      </c>
      <c r="J129" t="s">
        <v>2677</v>
      </c>
      <c r="K129" t="s">
        <v>25</v>
      </c>
      <c r="L129">
        <v>23</v>
      </c>
      <c r="M129">
        <v>1</v>
      </c>
      <c r="N129">
        <v>10</v>
      </c>
      <c r="O129" t="s">
        <v>443</v>
      </c>
      <c r="P129" t="s">
        <v>75</v>
      </c>
      <c r="Q129" t="s">
        <v>117</v>
      </c>
      <c r="R129" t="s">
        <v>62</v>
      </c>
      <c r="S129" t="s">
        <v>141</v>
      </c>
      <c r="T129">
        <v>5</v>
      </c>
      <c r="U129">
        <v>310.38</v>
      </c>
      <c r="V129">
        <v>225.49</v>
      </c>
      <c r="W129">
        <v>5</v>
      </c>
      <c r="X129" t="str">
        <f>TEXT(cleaneddata[[#This Row],[Order Date]],"mmm")</f>
        <v>Dec</v>
      </c>
      <c r="Y129">
        <f>cleaneddata[[#This Row],[Unit Price]]*cleaneddata[[#This Row],[Quantity]]*(1-cleaneddata[[#This Row],[Discount %]]/100)</f>
        <v>279.34199999999998</v>
      </c>
      <c r="Z129">
        <f>cleaneddata[[#This Row],[sales]]-cleaneddata[[#This Row],[Cost]]</f>
        <v>53.851999999999975</v>
      </c>
    </row>
    <row r="130" spans="1:26" x14ac:dyDescent="0.3">
      <c r="A130" t="s">
        <v>444</v>
      </c>
      <c r="B130" s="1">
        <v>45632</v>
      </c>
      <c r="C130" t="s">
        <v>445</v>
      </c>
      <c r="D130" t="s">
        <v>3601</v>
      </c>
      <c r="E130" s="1">
        <v>45638</v>
      </c>
      <c r="F130" t="s">
        <v>56</v>
      </c>
      <c r="G130" t="s">
        <v>54</v>
      </c>
      <c r="H130" t="s">
        <v>55</v>
      </c>
      <c r="I130" t="s">
        <v>2665</v>
      </c>
      <c r="J130" t="s">
        <v>2666</v>
      </c>
      <c r="K130" t="s">
        <v>25</v>
      </c>
      <c r="L130">
        <v>63</v>
      </c>
      <c r="M130">
        <v>3</v>
      </c>
      <c r="N130">
        <v>25</v>
      </c>
      <c r="O130" t="s">
        <v>446</v>
      </c>
      <c r="P130" t="s">
        <v>75</v>
      </c>
      <c r="Q130" t="s">
        <v>42</v>
      </c>
      <c r="R130" t="s">
        <v>43</v>
      </c>
      <c r="S130" t="s">
        <v>57</v>
      </c>
      <c r="T130">
        <v>4</v>
      </c>
      <c r="U130">
        <v>903.29</v>
      </c>
      <c r="V130">
        <v>1427.85</v>
      </c>
      <c r="W130">
        <v>6</v>
      </c>
      <c r="X130" t="str">
        <f>TEXT(cleaneddata[[#This Row],[Order Date]],"mmm")</f>
        <v>Dec</v>
      </c>
      <c r="Y130">
        <f>cleaneddata[[#This Row],[Unit Price]]*cleaneddata[[#This Row],[Quantity]]*(1-cleaneddata[[#This Row],[Discount %]]/100)</f>
        <v>2032.4024999999999</v>
      </c>
      <c r="Z130">
        <f>cleaneddata[[#This Row],[sales]]-cleaneddata[[#This Row],[Cost]]</f>
        <v>604.55250000000001</v>
      </c>
    </row>
    <row r="131" spans="1:26" x14ac:dyDescent="0.3">
      <c r="A131" t="s">
        <v>447</v>
      </c>
      <c r="B131" s="1">
        <v>45992</v>
      </c>
      <c r="C131" t="s">
        <v>448</v>
      </c>
      <c r="D131" t="s">
        <v>3600</v>
      </c>
      <c r="E131" s="1">
        <v>45994</v>
      </c>
      <c r="F131" t="s">
        <v>128</v>
      </c>
      <c r="G131" t="s">
        <v>98</v>
      </c>
      <c r="H131" t="s">
        <v>127</v>
      </c>
      <c r="I131" t="s">
        <v>2629</v>
      </c>
      <c r="J131" t="s">
        <v>2630</v>
      </c>
      <c r="K131" t="s">
        <v>25</v>
      </c>
      <c r="L131">
        <v>20</v>
      </c>
      <c r="M131">
        <v>2</v>
      </c>
      <c r="N131">
        <v>5</v>
      </c>
      <c r="O131" t="s">
        <v>449</v>
      </c>
      <c r="P131" t="s">
        <v>44</v>
      </c>
      <c r="Q131" t="s">
        <v>70</v>
      </c>
      <c r="R131" t="s">
        <v>71</v>
      </c>
      <c r="S131" t="s">
        <v>129</v>
      </c>
      <c r="T131">
        <v>2</v>
      </c>
      <c r="U131">
        <v>356.72</v>
      </c>
      <c r="V131">
        <v>562.77</v>
      </c>
      <c r="W131">
        <v>2</v>
      </c>
      <c r="X131" t="str">
        <f>TEXT(cleaneddata[[#This Row],[Order Date]],"mmm")</f>
        <v>Dec</v>
      </c>
      <c r="Y131">
        <f>cleaneddata[[#This Row],[Unit Price]]*cleaneddata[[#This Row],[Quantity]]*(1-cleaneddata[[#This Row],[Discount %]]/100)</f>
        <v>677.76800000000003</v>
      </c>
      <c r="Z131">
        <f>cleaneddata[[#This Row],[sales]]-cleaneddata[[#This Row],[Cost]]</f>
        <v>114.99800000000005</v>
      </c>
    </row>
    <row r="132" spans="1:26" x14ac:dyDescent="0.3">
      <c r="A132" t="s">
        <v>450</v>
      </c>
      <c r="B132" s="1">
        <v>45760</v>
      </c>
      <c r="C132" t="s">
        <v>451</v>
      </c>
      <c r="D132" t="s">
        <v>3599</v>
      </c>
      <c r="E132" s="1">
        <v>45764</v>
      </c>
      <c r="F132" t="s">
        <v>115</v>
      </c>
      <c r="G132" t="s">
        <v>66</v>
      </c>
      <c r="H132" t="s">
        <v>114</v>
      </c>
      <c r="I132" t="s">
        <v>2629</v>
      </c>
      <c r="J132" t="s">
        <v>2630</v>
      </c>
      <c r="K132" t="s">
        <v>52</v>
      </c>
      <c r="L132">
        <v>29</v>
      </c>
      <c r="M132">
        <v>3</v>
      </c>
      <c r="N132">
        <v>15</v>
      </c>
      <c r="O132" t="s">
        <v>452</v>
      </c>
      <c r="P132" t="s">
        <v>33</v>
      </c>
      <c r="Q132" t="s">
        <v>42</v>
      </c>
      <c r="R132" t="s">
        <v>32</v>
      </c>
      <c r="S132" t="s">
        <v>116</v>
      </c>
      <c r="T132">
        <v>5</v>
      </c>
      <c r="U132">
        <v>346.09</v>
      </c>
      <c r="V132">
        <v>480.72</v>
      </c>
      <c r="W132">
        <v>4</v>
      </c>
      <c r="X132" t="str">
        <f>TEXT(cleaneddata[[#This Row],[Order Date]],"mmm")</f>
        <v>Apr</v>
      </c>
      <c r="Y132">
        <f>cleaneddata[[#This Row],[Unit Price]]*cleaneddata[[#This Row],[Quantity]]*(1-cleaneddata[[#This Row],[Discount %]]/100)</f>
        <v>882.52949999999998</v>
      </c>
      <c r="Z132">
        <f>cleaneddata[[#This Row],[sales]]-cleaneddata[[#This Row],[Cost]]</f>
        <v>401.80949999999996</v>
      </c>
    </row>
    <row r="133" spans="1:26" x14ac:dyDescent="0.3">
      <c r="A133" t="s">
        <v>453</v>
      </c>
      <c r="B133" s="1">
        <v>45958</v>
      </c>
      <c r="C133" t="s">
        <v>454</v>
      </c>
      <c r="D133" t="s">
        <v>3598</v>
      </c>
      <c r="E133" s="1">
        <v>45963</v>
      </c>
      <c r="F133" t="s">
        <v>122</v>
      </c>
      <c r="G133" t="s">
        <v>120</v>
      </c>
      <c r="H133" t="s">
        <v>121</v>
      </c>
      <c r="I133" t="s">
        <v>2623</v>
      </c>
      <c r="J133" t="s">
        <v>2624</v>
      </c>
      <c r="K133" t="s">
        <v>52</v>
      </c>
      <c r="L133">
        <v>60</v>
      </c>
      <c r="M133">
        <v>3</v>
      </c>
      <c r="N133">
        <v>20</v>
      </c>
      <c r="O133" t="s">
        <v>455</v>
      </c>
      <c r="P133" t="s">
        <v>44</v>
      </c>
      <c r="Q133" t="s">
        <v>31</v>
      </c>
      <c r="R133" t="s">
        <v>71</v>
      </c>
      <c r="S133" t="s">
        <v>123</v>
      </c>
      <c r="T133">
        <v>3</v>
      </c>
      <c r="U133">
        <v>257.86</v>
      </c>
      <c r="V133">
        <v>371.99</v>
      </c>
      <c r="W133">
        <v>5</v>
      </c>
      <c r="X133" t="str">
        <f>TEXT(cleaneddata[[#This Row],[Order Date]],"mmm")</f>
        <v>Oct</v>
      </c>
      <c r="Y133">
        <f>cleaneddata[[#This Row],[Unit Price]]*cleaneddata[[#This Row],[Quantity]]*(1-cleaneddata[[#This Row],[Discount %]]/100)</f>
        <v>618.86400000000003</v>
      </c>
      <c r="Z133">
        <f>cleaneddata[[#This Row],[sales]]-cleaneddata[[#This Row],[Cost]]</f>
        <v>246.87400000000002</v>
      </c>
    </row>
    <row r="134" spans="1:26" x14ac:dyDescent="0.3">
      <c r="A134" t="s">
        <v>456</v>
      </c>
      <c r="B134" s="1">
        <v>46056</v>
      </c>
      <c r="C134" t="s">
        <v>457</v>
      </c>
      <c r="D134" t="s">
        <v>3597</v>
      </c>
      <c r="E134" s="1">
        <v>46061</v>
      </c>
      <c r="F134" t="s">
        <v>100</v>
      </c>
      <c r="G134" t="s">
        <v>98</v>
      </c>
      <c r="H134" t="s">
        <v>99</v>
      </c>
      <c r="I134" t="s">
        <v>2622</v>
      </c>
      <c r="J134" t="s">
        <v>2705</v>
      </c>
      <c r="K134" t="s">
        <v>52</v>
      </c>
      <c r="L134">
        <v>21</v>
      </c>
      <c r="M134">
        <v>3</v>
      </c>
      <c r="N134">
        <v>0</v>
      </c>
      <c r="O134" t="s">
        <v>458</v>
      </c>
      <c r="P134" t="s">
        <v>75</v>
      </c>
      <c r="Q134" t="s">
        <v>58</v>
      </c>
      <c r="R134" t="s">
        <v>62</v>
      </c>
      <c r="S134" t="s">
        <v>101</v>
      </c>
      <c r="T134">
        <v>5</v>
      </c>
      <c r="U134">
        <v>566.97</v>
      </c>
      <c r="V134">
        <v>921.05</v>
      </c>
      <c r="W134">
        <v>5</v>
      </c>
      <c r="X134" t="str">
        <f>TEXT(cleaneddata[[#This Row],[Order Date]],"mmm")</f>
        <v>Feb</v>
      </c>
      <c r="Y134">
        <f>cleaneddata[[#This Row],[Unit Price]]*cleaneddata[[#This Row],[Quantity]]*(1-cleaneddata[[#This Row],[Discount %]]/100)</f>
        <v>1700.91</v>
      </c>
      <c r="Z134">
        <f>cleaneddata[[#This Row],[sales]]-cleaneddata[[#This Row],[Cost]]</f>
        <v>779.86000000000013</v>
      </c>
    </row>
    <row r="135" spans="1:26" x14ac:dyDescent="0.3">
      <c r="A135" t="s">
        <v>459</v>
      </c>
      <c r="B135" s="1">
        <v>45557</v>
      </c>
      <c r="C135" t="s">
        <v>460</v>
      </c>
      <c r="D135" t="s">
        <v>3596</v>
      </c>
      <c r="E135" s="1">
        <v>45564</v>
      </c>
      <c r="F135" t="s">
        <v>115</v>
      </c>
      <c r="G135" t="s">
        <v>66</v>
      </c>
      <c r="H135" t="s">
        <v>114</v>
      </c>
      <c r="I135" t="s">
        <v>2629</v>
      </c>
      <c r="J135" t="s">
        <v>2709</v>
      </c>
      <c r="K135" t="s">
        <v>52</v>
      </c>
      <c r="L135">
        <v>56</v>
      </c>
      <c r="M135">
        <v>1</v>
      </c>
      <c r="N135">
        <v>25</v>
      </c>
      <c r="O135" t="s">
        <v>461</v>
      </c>
      <c r="P135" t="s">
        <v>75</v>
      </c>
      <c r="Q135" t="s">
        <v>31</v>
      </c>
      <c r="R135" t="s">
        <v>43</v>
      </c>
      <c r="S135" t="s">
        <v>116</v>
      </c>
      <c r="T135">
        <v>2</v>
      </c>
      <c r="U135">
        <v>109.69</v>
      </c>
      <c r="V135">
        <v>42.25</v>
      </c>
      <c r="W135">
        <v>7</v>
      </c>
      <c r="X135" t="str">
        <f>TEXT(cleaneddata[[#This Row],[Order Date]],"mmm")</f>
        <v>Sep</v>
      </c>
      <c r="Y135">
        <f>cleaneddata[[#This Row],[Unit Price]]*cleaneddata[[#This Row],[Quantity]]*(1-cleaneddata[[#This Row],[Discount %]]/100)</f>
        <v>82.267499999999998</v>
      </c>
      <c r="Z135">
        <f>cleaneddata[[#This Row],[sales]]-cleaneddata[[#This Row],[Cost]]</f>
        <v>40.017499999999998</v>
      </c>
    </row>
    <row r="136" spans="1:26" x14ac:dyDescent="0.3">
      <c r="A136" t="s">
        <v>462</v>
      </c>
      <c r="B136" s="1">
        <v>45849</v>
      </c>
      <c r="C136" t="s">
        <v>463</v>
      </c>
      <c r="D136" t="s">
        <v>3595</v>
      </c>
      <c r="E136" s="1">
        <v>45855</v>
      </c>
      <c r="F136" t="s">
        <v>128</v>
      </c>
      <c r="G136" t="s">
        <v>98</v>
      </c>
      <c r="H136" t="s">
        <v>127</v>
      </c>
      <c r="I136" t="s">
        <v>2637</v>
      </c>
      <c r="J136" t="s">
        <v>2649</v>
      </c>
      <c r="K136" t="s">
        <v>52</v>
      </c>
      <c r="L136">
        <v>45</v>
      </c>
      <c r="M136">
        <v>5</v>
      </c>
      <c r="N136">
        <v>10</v>
      </c>
      <c r="O136" t="s">
        <v>464</v>
      </c>
      <c r="P136" t="s">
        <v>33</v>
      </c>
      <c r="Q136" t="s">
        <v>31</v>
      </c>
      <c r="R136" t="s">
        <v>43</v>
      </c>
      <c r="S136" t="s">
        <v>129</v>
      </c>
      <c r="T136">
        <v>5</v>
      </c>
      <c r="U136">
        <v>694.87</v>
      </c>
      <c r="V136">
        <v>2472.0700000000002</v>
      </c>
      <c r="W136">
        <v>6</v>
      </c>
      <c r="X136" t="str">
        <f>TEXT(cleaneddata[[#This Row],[Order Date]],"mmm")</f>
        <v>Jul</v>
      </c>
      <c r="Y136">
        <f>cleaneddata[[#This Row],[Unit Price]]*cleaneddata[[#This Row],[Quantity]]*(1-cleaneddata[[#This Row],[Discount %]]/100)</f>
        <v>3126.915</v>
      </c>
      <c r="Z136">
        <f>cleaneddata[[#This Row],[sales]]-cleaneddata[[#This Row],[Cost]]</f>
        <v>654.8449999999998</v>
      </c>
    </row>
    <row r="137" spans="1:26" x14ac:dyDescent="0.3">
      <c r="A137" t="s">
        <v>465</v>
      </c>
      <c r="B137" s="1">
        <v>46129</v>
      </c>
      <c r="C137" t="s">
        <v>466</v>
      </c>
      <c r="D137" t="s">
        <v>3594</v>
      </c>
      <c r="E137" s="1">
        <v>46133</v>
      </c>
      <c r="F137" t="s">
        <v>68</v>
      </c>
      <c r="G137" t="s">
        <v>66</v>
      </c>
      <c r="H137" t="s">
        <v>67</v>
      </c>
      <c r="I137" t="s">
        <v>2663</v>
      </c>
      <c r="J137" t="s">
        <v>2670</v>
      </c>
      <c r="K137" t="s">
        <v>52</v>
      </c>
      <c r="L137">
        <v>37</v>
      </c>
      <c r="M137">
        <v>3</v>
      </c>
      <c r="N137">
        <v>0</v>
      </c>
      <c r="O137" t="s">
        <v>467</v>
      </c>
      <c r="P137" t="s">
        <v>44</v>
      </c>
      <c r="Q137" t="s">
        <v>70</v>
      </c>
      <c r="R137" t="s">
        <v>71</v>
      </c>
      <c r="S137" t="s">
        <v>69</v>
      </c>
      <c r="T137">
        <v>4</v>
      </c>
      <c r="U137">
        <v>867.99</v>
      </c>
      <c r="V137">
        <v>1798.51</v>
      </c>
      <c r="W137">
        <v>4</v>
      </c>
      <c r="X137" t="str">
        <f>TEXT(cleaneddata[[#This Row],[Order Date]],"mmm")</f>
        <v>Apr</v>
      </c>
      <c r="Y137">
        <f>cleaneddata[[#This Row],[Unit Price]]*cleaneddata[[#This Row],[Quantity]]*(1-cleaneddata[[#This Row],[Discount %]]/100)</f>
        <v>2603.9700000000003</v>
      </c>
      <c r="Z137">
        <f>cleaneddata[[#This Row],[sales]]-cleaneddata[[#This Row],[Cost]]</f>
        <v>805.46000000000026</v>
      </c>
    </row>
    <row r="138" spans="1:26" x14ac:dyDescent="0.3">
      <c r="A138" t="s">
        <v>468</v>
      </c>
      <c r="B138" s="1">
        <v>45876</v>
      </c>
      <c r="C138" t="s">
        <v>469</v>
      </c>
      <c r="D138" t="s">
        <v>3593</v>
      </c>
      <c r="E138" s="1">
        <v>45878</v>
      </c>
      <c r="F138" t="s">
        <v>115</v>
      </c>
      <c r="G138" t="s">
        <v>66</v>
      </c>
      <c r="H138" t="s">
        <v>114</v>
      </c>
      <c r="I138" t="s">
        <v>2625</v>
      </c>
      <c r="J138" t="s">
        <v>2651</v>
      </c>
      <c r="K138" t="s">
        <v>52</v>
      </c>
      <c r="L138">
        <v>38</v>
      </c>
      <c r="M138">
        <v>2</v>
      </c>
      <c r="N138">
        <v>10</v>
      </c>
      <c r="O138" t="s">
        <v>470</v>
      </c>
      <c r="P138" t="s">
        <v>75</v>
      </c>
      <c r="Q138" t="s">
        <v>58</v>
      </c>
      <c r="R138" t="s">
        <v>62</v>
      </c>
      <c r="S138" t="s">
        <v>116</v>
      </c>
      <c r="T138">
        <v>1</v>
      </c>
      <c r="U138">
        <v>533.57000000000005</v>
      </c>
      <c r="V138">
        <v>737.78</v>
      </c>
      <c r="W138">
        <v>2</v>
      </c>
      <c r="X138" t="str">
        <f>TEXT(cleaneddata[[#This Row],[Order Date]],"mmm")</f>
        <v>Aug</v>
      </c>
      <c r="Y138">
        <f>cleaneddata[[#This Row],[Unit Price]]*cleaneddata[[#This Row],[Quantity]]*(1-cleaneddata[[#This Row],[Discount %]]/100)</f>
        <v>960.42600000000016</v>
      </c>
      <c r="Z138">
        <f>cleaneddata[[#This Row],[sales]]-cleaneddata[[#This Row],[Cost]]</f>
        <v>222.64600000000019</v>
      </c>
    </row>
    <row r="139" spans="1:26" x14ac:dyDescent="0.3">
      <c r="A139" t="s">
        <v>471</v>
      </c>
      <c r="B139" s="1">
        <v>46036</v>
      </c>
      <c r="C139" t="s">
        <v>472</v>
      </c>
      <c r="D139" t="s">
        <v>3592</v>
      </c>
      <c r="E139" s="1">
        <v>46039</v>
      </c>
      <c r="F139" t="s">
        <v>140</v>
      </c>
      <c r="G139" t="s">
        <v>38</v>
      </c>
      <c r="H139" t="s">
        <v>139</v>
      </c>
      <c r="I139" t="s">
        <v>2623</v>
      </c>
      <c r="J139" t="s">
        <v>2701</v>
      </c>
      <c r="K139" t="s">
        <v>52</v>
      </c>
      <c r="L139">
        <v>22</v>
      </c>
      <c r="M139">
        <v>4</v>
      </c>
      <c r="N139">
        <v>15</v>
      </c>
      <c r="O139" t="s">
        <v>473</v>
      </c>
      <c r="P139" t="s">
        <v>75</v>
      </c>
      <c r="Q139" t="s">
        <v>70</v>
      </c>
      <c r="R139" t="s">
        <v>32</v>
      </c>
      <c r="S139" t="s">
        <v>141</v>
      </c>
      <c r="T139">
        <v>1</v>
      </c>
      <c r="U139">
        <v>119.08</v>
      </c>
      <c r="V139">
        <v>288.19</v>
      </c>
      <c r="W139">
        <v>3</v>
      </c>
      <c r="X139" t="str">
        <f>TEXT(cleaneddata[[#This Row],[Order Date]],"mmm")</f>
        <v>Jan</v>
      </c>
      <c r="Y139">
        <f>cleaneddata[[#This Row],[Unit Price]]*cleaneddata[[#This Row],[Quantity]]*(1-cleaneddata[[#This Row],[Discount %]]/100)</f>
        <v>404.87199999999996</v>
      </c>
      <c r="Z139">
        <f>cleaneddata[[#This Row],[sales]]-cleaneddata[[#This Row],[Cost]]</f>
        <v>116.68199999999996</v>
      </c>
    </row>
    <row r="140" spans="1:26" x14ac:dyDescent="0.3">
      <c r="A140" t="s">
        <v>474</v>
      </c>
      <c r="B140" s="1">
        <v>46040</v>
      </c>
      <c r="C140" t="s">
        <v>475</v>
      </c>
      <c r="D140" t="s">
        <v>3591</v>
      </c>
      <c r="E140" s="1">
        <v>46041</v>
      </c>
      <c r="F140" t="s">
        <v>56</v>
      </c>
      <c r="G140" t="s">
        <v>54</v>
      </c>
      <c r="H140" t="s">
        <v>55</v>
      </c>
      <c r="I140" t="s">
        <v>2625</v>
      </c>
      <c r="J140" t="s">
        <v>2626</v>
      </c>
      <c r="K140" t="s">
        <v>52</v>
      </c>
      <c r="L140">
        <v>19</v>
      </c>
      <c r="M140">
        <v>5</v>
      </c>
      <c r="N140">
        <v>30</v>
      </c>
      <c r="O140" t="s">
        <v>476</v>
      </c>
      <c r="P140" t="s">
        <v>44</v>
      </c>
      <c r="Q140" t="s">
        <v>42</v>
      </c>
      <c r="R140" t="s">
        <v>62</v>
      </c>
      <c r="S140" t="s">
        <v>57</v>
      </c>
      <c r="T140">
        <v>4</v>
      </c>
      <c r="U140">
        <v>852.41</v>
      </c>
      <c r="V140">
        <v>2157.14</v>
      </c>
      <c r="W140">
        <v>1</v>
      </c>
      <c r="X140" t="str">
        <f>TEXT(cleaneddata[[#This Row],[Order Date]],"mmm")</f>
        <v>Jan</v>
      </c>
      <c r="Y140">
        <f>cleaneddata[[#This Row],[Unit Price]]*cleaneddata[[#This Row],[Quantity]]*(1-cleaneddata[[#This Row],[Discount %]]/100)</f>
        <v>2983.4349999999999</v>
      </c>
      <c r="Z140">
        <f>cleaneddata[[#This Row],[sales]]-cleaneddata[[#This Row],[Cost]]</f>
        <v>826.29500000000007</v>
      </c>
    </row>
    <row r="141" spans="1:26" x14ac:dyDescent="0.3">
      <c r="A141" t="s">
        <v>477</v>
      </c>
      <c r="B141" s="1">
        <v>45761</v>
      </c>
      <c r="C141" t="s">
        <v>478</v>
      </c>
      <c r="D141" t="s">
        <v>3590</v>
      </c>
      <c r="E141" s="1">
        <v>45763</v>
      </c>
      <c r="F141" t="s">
        <v>40</v>
      </c>
      <c r="G141" t="s">
        <v>38</v>
      </c>
      <c r="H141" t="s">
        <v>39</v>
      </c>
      <c r="I141" t="s">
        <v>2679</v>
      </c>
      <c r="J141" t="s">
        <v>2680</v>
      </c>
      <c r="K141" t="s">
        <v>25</v>
      </c>
      <c r="L141">
        <v>50</v>
      </c>
      <c r="M141">
        <v>5</v>
      </c>
      <c r="N141">
        <v>25</v>
      </c>
      <c r="O141" t="s">
        <v>479</v>
      </c>
      <c r="P141" t="s">
        <v>33</v>
      </c>
      <c r="Q141" t="s">
        <v>70</v>
      </c>
      <c r="R141" t="s">
        <v>43</v>
      </c>
      <c r="S141" t="s">
        <v>41</v>
      </c>
      <c r="T141">
        <v>3</v>
      </c>
      <c r="U141">
        <v>508.13</v>
      </c>
      <c r="V141">
        <v>1020.7</v>
      </c>
      <c r="W141">
        <v>2</v>
      </c>
      <c r="X141" t="str">
        <f>TEXT(cleaneddata[[#This Row],[Order Date]],"mmm")</f>
        <v>Apr</v>
      </c>
      <c r="Y141">
        <f>cleaneddata[[#This Row],[Unit Price]]*cleaneddata[[#This Row],[Quantity]]*(1-cleaneddata[[#This Row],[Discount %]]/100)</f>
        <v>1905.4875000000002</v>
      </c>
      <c r="Z141">
        <f>cleaneddata[[#This Row],[sales]]-cleaneddata[[#This Row],[Cost]]</f>
        <v>884.78750000000014</v>
      </c>
    </row>
    <row r="142" spans="1:26" x14ac:dyDescent="0.3">
      <c r="A142" t="s">
        <v>480</v>
      </c>
      <c r="B142" s="1">
        <v>46190</v>
      </c>
      <c r="C142" t="s">
        <v>481</v>
      </c>
      <c r="D142" t="s">
        <v>3589</v>
      </c>
      <c r="E142" s="1">
        <v>46195</v>
      </c>
      <c r="F142" t="s">
        <v>122</v>
      </c>
      <c r="G142" t="s">
        <v>120</v>
      </c>
      <c r="H142" t="s">
        <v>121</v>
      </c>
      <c r="I142" t="s">
        <v>2627</v>
      </c>
      <c r="J142" t="s">
        <v>2717</v>
      </c>
      <c r="K142" t="s">
        <v>25</v>
      </c>
      <c r="L142">
        <v>27</v>
      </c>
      <c r="M142">
        <v>4</v>
      </c>
      <c r="N142">
        <v>0</v>
      </c>
      <c r="O142" t="s">
        <v>81</v>
      </c>
      <c r="P142" t="s">
        <v>44</v>
      </c>
      <c r="Q142" t="s">
        <v>70</v>
      </c>
      <c r="R142" t="s">
        <v>43</v>
      </c>
      <c r="S142" t="s">
        <v>123</v>
      </c>
      <c r="T142">
        <v>3</v>
      </c>
      <c r="U142">
        <v>582.79</v>
      </c>
      <c r="V142">
        <v>1416.81</v>
      </c>
      <c r="W142">
        <v>5</v>
      </c>
      <c r="X142" t="str">
        <f>TEXT(cleaneddata[[#This Row],[Order Date]],"mmm")</f>
        <v>Jun</v>
      </c>
      <c r="Y142">
        <f>cleaneddata[[#This Row],[Unit Price]]*cleaneddata[[#This Row],[Quantity]]*(1-cleaneddata[[#This Row],[Discount %]]/100)</f>
        <v>2331.16</v>
      </c>
      <c r="Z142">
        <f>cleaneddata[[#This Row],[sales]]-cleaneddata[[#This Row],[Cost]]</f>
        <v>914.34999999999991</v>
      </c>
    </row>
    <row r="143" spans="1:26" x14ac:dyDescent="0.3">
      <c r="A143" t="s">
        <v>482</v>
      </c>
      <c r="B143" s="1">
        <v>45369</v>
      </c>
      <c r="C143" t="s">
        <v>483</v>
      </c>
      <c r="D143" t="s">
        <v>3588</v>
      </c>
      <c r="E143" s="1">
        <v>45373</v>
      </c>
      <c r="F143" t="s">
        <v>2617</v>
      </c>
      <c r="G143" t="s">
        <v>27</v>
      </c>
      <c r="H143" t="s">
        <v>28</v>
      </c>
      <c r="I143" t="s">
        <v>2661</v>
      </c>
      <c r="J143" t="s">
        <v>2671</v>
      </c>
      <c r="K143" t="s">
        <v>52</v>
      </c>
      <c r="L143">
        <v>28</v>
      </c>
      <c r="M143">
        <v>3</v>
      </c>
      <c r="N143">
        <v>25</v>
      </c>
      <c r="O143" t="s">
        <v>484</v>
      </c>
      <c r="P143" t="s">
        <v>75</v>
      </c>
      <c r="Q143" t="s">
        <v>42</v>
      </c>
      <c r="R143" t="s">
        <v>43</v>
      </c>
      <c r="S143" t="s">
        <v>30</v>
      </c>
      <c r="T143">
        <v>4</v>
      </c>
      <c r="U143">
        <v>123.99</v>
      </c>
      <c r="V143">
        <v>212.47</v>
      </c>
      <c r="W143">
        <v>4</v>
      </c>
      <c r="X143" t="str">
        <f>TEXT(cleaneddata[[#This Row],[Order Date]],"mmm")</f>
        <v>Mar</v>
      </c>
      <c r="Y143">
        <f>cleaneddata[[#This Row],[Unit Price]]*cleaneddata[[#This Row],[Quantity]]*(1-cleaneddata[[#This Row],[Discount %]]/100)</f>
        <v>278.97749999999996</v>
      </c>
      <c r="Z143">
        <f>cleaneddata[[#This Row],[sales]]-cleaneddata[[#This Row],[Cost]]</f>
        <v>66.507499999999965</v>
      </c>
    </row>
    <row r="144" spans="1:26" x14ac:dyDescent="0.3">
      <c r="A144" t="s">
        <v>485</v>
      </c>
      <c r="B144" s="1">
        <v>45864</v>
      </c>
      <c r="C144" t="s">
        <v>486</v>
      </c>
      <c r="D144" t="s">
        <v>3587</v>
      </c>
      <c r="E144" s="1">
        <v>45868</v>
      </c>
      <c r="F144" t="s">
        <v>40</v>
      </c>
      <c r="G144" t="s">
        <v>38</v>
      </c>
      <c r="H144" t="s">
        <v>39</v>
      </c>
      <c r="I144" t="s">
        <v>2668</v>
      </c>
      <c r="J144" t="s">
        <v>2669</v>
      </c>
      <c r="K144" t="s">
        <v>25</v>
      </c>
      <c r="L144">
        <v>61</v>
      </c>
      <c r="M144">
        <v>2</v>
      </c>
      <c r="N144">
        <v>15</v>
      </c>
      <c r="O144" t="s">
        <v>487</v>
      </c>
      <c r="P144" t="s">
        <v>75</v>
      </c>
      <c r="Q144" t="s">
        <v>70</v>
      </c>
      <c r="R144" t="s">
        <v>71</v>
      </c>
      <c r="S144" t="s">
        <v>41</v>
      </c>
      <c r="T144">
        <v>1</v>
      </c>
      <c r="U144">
        <v>189.72</v>
      </c>
      <c r="V144">
        <v>241.89</v>
      </c>
      <c r="W144">
        <v>4</v>
      </c>
      <c r="X144" t="str">
        <f>TEXT(cleaneddata[[#This Row],[Order Date]],"mmm")</f>
        <v>Jul</v>
      </c>
      <c r="Y144">
        <f>cleaneddata[[#This Row],[Unit Price]]*cleaneddata[[#This Row],[Quantity]]*(1-cleaneddata[[#This Row],[Discount %]]/100)</f>
        <v>322.524</v>
      </c>
      <c r="Z144">
        <f>cleaneddata[[#This Row],[sales]]-cleaneddata[[#This Row],[Cost]]</f>
        <v>80.634000000000015</v>
      </c>
    </row>
    <row r="145" spans="1:26" x14ac:dyDescent="0.3">
      <c r="A145" t="s">
        <v>488</v>
      </c>
      <c r="B145" s="1">
        <v>45810</v>
      </c>
      <c r="C145" t="s">
        <v>489</v>
      </c>
      <c r="D145" t="s">
        <v>3586</v>
      </c>
      <c r="E145" s="1">
        <v>45815</v>
      </c>
      <c r="F145" t="s">
        <v>100</v>
      </c>
      <c r="G145" t="s">
        <v>98</v>
      </c>
      <c r="H145" t="s">
        <v>99</v>
      </c>
      <c r="I145" t="s">
        <v>2668</v>
      </c>
      <c r="J145" t="s">
        <v>2669</v>
      </c>
      <c r="K145" t="s">
        <v>52</v>
      </c>
      <c r="L145">
        <v>23</v>
      </c>
      <c r="M145">
        <v>4</v>
      </c>
      <c r="N145">
        <v>30</v>
      </c>
      <c r="O145" t="s">
        <v>490</v>
      </c>
      <c r="P145" t="s">
        <v>44</v>
      </c>
      <c r="Q145" t="s">
        <v>31</v>
      </c>
      <c r="R145" t="s">
        <v>32</v>
      </c>
      <c r="S145" t="s">
        <v>101</v>
      </c>
      <c r="T145">
        <v>3</v>
      </c>
      <c r="U145">
        <v>301.04000000000002</v>
      </c>
      <c r="V145">
        <v>469.83</v>
      </c>
      <c r="W145">
        <v>5</v>
      </c>
      <c r="X145" t="str">
        <f>TEXT(cleaneddata[[#This Row],[Order Date]],"mmm")</f>
        <v>Jun</v>
      </c>
      <c r="Y145">
        <f>cleaneddata[[#This Row],[Unit Price]]*cleaneddata[[#This Row],[Quantity]]*(1-cleaneddata[[#This Row],[Discount %]]/100)</f>
        <v>842.91200000000003</v>
      </c>
      <c r="Z145">
        <f>cleaneddata[[#This Row],[sales]]-cleaneddata[[#This Row],[Cost]]</f>
        <v>373.08200000000005</v>
      </c>
    </row>
    <row r="146" spans="1:26" x14ac:dyDescent="0.3">
      <c r="A146" t="s">
        <v>491</v>
      </c>
      <c r="B146" s="1">
        <v>45867</v>
      </c>
      <c r="C146" t="s">
        <v>492</v>
      </c>
      <c r="D146" t="s">
        <v>3585</v>
      </c>
      <c r="E146" s="1">
        <v>45871</v>
      </c>
      <c r="F146" t="s">
        <v>128</v>
      </c>
      <c r="G146" t="s">
        <v>98</v>
      </c>
      <c r="H146" t="s">
        <v>127</v>
      </c>
      <c r="I146" t="s">
        <v>2622</v>
      </c>
      <c r="J146" t="s">
        <v>2622</v>
      </c>
      <c r="K146" t="s">
        <v>52</v>
      </c>
      <c r="L146">
        <v>38</v>
      </c>
      <c r="M146">
        <v>3</v>
      </c>
      <c r="N146">
        <v>15</v>
      </c>
      <c r="O146" t="s">
        <v>493</v>
      </c>
      <c r="P146" t="s">
        <v>75</v>
      </c>
      <c r="Q146" t="s">
        <v>58</v>
      </c>
      <c r="R146" t="s">
        <v>43</v>
      </c>
      <c r="S146" t="s">
        <v>129</v>
      </c>
      <c r="T146">
        <v>1</v>
      </c>
      <c r="U146">
        <v>164.59</v>
      </c>
      <c r="V146">
        <v>305.98</v>
      </c>
      <c r="W146">
        <v>4</v>
      </c>
      <c r="X146" t="str">
        <f>TEXT(cleaneddata[[#This Row],[Order Date]],"mmm")</f>
        <v>Jul</v>
      </c>
      <c r="Y146">
        <f>cleaneddata[[#This Row],[Unit Price]]*cleaneddata[[#This Row],[Quantity]]*(1-cleaneddata[[#This Row],[Discount %]]/100)</f>
        <v>419.7045</v>
      </c>
      <c r="Z146">
        <f>cleaneddata[[#This Row],[sales]]-cleaneddata[[#This Row],[Cost]]</f>
        <v>113.72449999999998</v>
      </c>
    </row>
    <row r="147" spans="1:26" x14ac:dyDescent="0.3">
      <c r="A147" t="s">
        <v>494</v>
      </c>
      <c r="B147" s="1">
        <v>46037</v>
      </c>
      <c r="C147" t="s">
        <v>495</v>
      </c>
      <c r="D147" t="s">
        <v>3584</v>
      </c>
      <c r="E147" s="1">
        <v>46038</v>
      </c>
      <c r="F147" t="s">
        <v>40</v>
      </c>
      <c r="G147" t="s">
        <v>38</v>
      </c>
      <c r="H147" t="s">
        <v>39</v>
      </c>
      <c r="I147" t="s">
        <v>2629</v>
      </c>
      <c r="J147" t="s">
        <v>2709</v>
      </c>
      <c r="K147" t="s">
        <v>52</v>
      </c>
      <c r="L147">
        <v>32</v>
      </c>
      <c r="M147">
        <v>3</v>
      </c>
      <c r="N147">
        <v>15</v>
      </c>
      <c r="O147" t="s">
        <v>496</v>
      </c>
      <c r="P147" t="s">
        <v>33</v>
      </c>
      <c r="Q147" t="s">
        <v>70</v>
      </c>
      <c r="R147" t="s">
        <v>62</v>
      </c>
      <c r="S147" t="s">
        <v>41</v>
      </c>
      <c r="T147">
        <v>3</v>
      </c>
      <c r="U147">
        <v>731.52</v>
      </c>
      <c r="V147">
        <v>1039.6099999999999</v>
      </c>
      <c r="W147">
        <v>1</v>
      </c>
      <c r="X147" t="str">
        <f>TEXT(cleaneddata[[#This Row],[Order Date]],"mmm")</f>
        <v>Jan</v>
      </c>
      <c r="Y147">
        <f>cleaneddata[[#This Row],[Unit Price]]*cleaneddata[[#This Row],[Quantity]]*(1-cleaneddata[[#This Row],[Discount %]]/100)</f>
        <v>1865.376</v>
      </c>
      <c r="Z147">
        <f>cleaneddata[[#This Row],[sales]]-cleaneddata[[#This Row],[Cost]]</f>
        <v>825.76600000000008</v>
      </c>
    </row>
    <row r="148" spans="1:26" x14ac:dyDescent="0.3">
      <c r="A148" t="s">
        <v>497</v>
      </c>
      <c r="B148" s="1">
        <v>45838</v>
      </c>
      <c r="C148" t="s">
        <v>498</v>
      </c>
      <c r="D148" t="s">
        <v>3583</v>
      </c>
      <c r="E148" s="1">
        <v>45843</v>
      </c>
      <c r="F148" t="s">
        <v>140</v>
      </c>
      <c r="G148" t="s">
        <v>38</v>
      </c>
      <c r="H148" t="s">
        <v>139</v>
      </c>
      <c r="I148" t="s">
        <v>2679</v>
      </c>
      <c r="J148" t="s">
        <v>2685</v>
      </c>
      <c r="K148" t="s">
        <v>52</v>
      </c>
      <c r="L148">
        <v>63</v>
      </c>
      <c r="M148">
        <v>4</v>
      </c>
      <c r="N148">
        <v>0</v>
      </c>
      <c r="O148" t="s">
        <v>499</v>
      </c>
      <c r="P148" t="s">
        <v>44</v>
      </c>
      <c r="Q148" t="s">
        <v>58</v>
      </c>
      <c r="R148" t="s">
        <v>71</v>
      </c>
      <c r="S148" t="s">
        <v>141</v>
      </c>
      <c r="T148">
        <v>3</v>
      </c>
      <c r="U148">
        <v>630.26</v>
      </c>
      <c r="V148">
        <v>1574.12</v>
      </c>
      <c r="W148">
        <v>5</v>
      </c>
      <c r="X148" t="str">
        <f>TEXT(cleaneddata[[#This Row],[Order Date]],"mmm")</f>
        <v>Jun</v>
      </c>
      <c r="Y148">
        <f>cleaneddata[[#This Row],[Unit Price]]*cleaneddata[[#This Row],[Quantity]]*(1-cleaneddata[[#This Row],[Discount %]]/100)</f>
        <v>2521.04</v>
      </c>
      <c r="Z148">
        <f>cleaneddata[[#This Row],[sales]]-cleaneddata[[#This Row],[Cost]]</f>
        <v>946.92000000000007</v>
      </c>
    </row>
    <row r="149" spans="1:26" x14ac:dyDescent="0.3">
      <c r="A149" t="s">
        <v>500</v>
      </c>
      <c r="B149" s="1">
        <v>46031</v>
      </c>
      <c r="C149" t="s">
        <v>501</v>
      </c>
      <c r="D149" t="s">
        <v>3582</v>
      </c>
      <c r="E149" s="1">
        <v>46036</v>
      </c>
      <c r="F149" t="s">
        <v>122</v>
      </c>
      <c r="G149" t="s">
        <v>120</v>
      </c>
      <c r="H149" t="s">
        <v>121</v>
      </c>
      <c r="I149" t="s">
        <v>2629</v>
      </c>
      <c r="J149" t="s">
        <v>2630</v>
      </c>
      <c r="K149" t="s">
        <v>25</v>
      </c>
      <c r="L149">
        <v>21</v>
      </c>
      <c r="M149">
        <v>3</v>
      </c>
      <c r="N149">
        <v>30</v>
      </c>
      <c r="O149" t="s">
        <v>226</v>
      </c>
      <c r="P149" t="s">
        <v>75</v>
      </c>
      <c r="Q149" t="s">
        <v>42</v>
      </c>
      <c r="R149" t="s">
        <v>43</v>
      </c>
      <c r="S149" t="s">
        <v>123</v>
      </c>
      <c r="T149">
        <v>1</v>
      </c>
      <c r="U149">
        <v>216.06</v>
      </c>
      <c r="V149">
        <v>228.23</v>
      </c>
      <c r="W149">
        <v>5</v>
      </c>
      <c r="X149" t="str">
        <f>TEXT(cleaneddata[[#This Row],[Order Date]],"mmm")</f>
        <v>Jan</v>
      </c>
      <c r="Y149">
        <f>cleaneddata[[#This Row],[Unit Price]]*cleaneddata[[#This Row],[Quantity]]*(1-cleaneddata[[#This Row],[Discount %]]/100)</f>
        <v>453.726</v>
      </c>
      <c r="Z149">
        <f>cleaneddata[[#This Row],[sales]]-cleaneddata[[#This Row],[Cost]]</f>
        <v>225.49600000000001</v>
      </c>
    </row>
    <row r="150" spans="1:26" x14ac:dyDescent="0.3">
      <c r="A150" t="s">
        <v>502</v>
      </c>
      <c r="B150" s="1">
        <v>46032</v>
      </c>
      <c r="C150" t="s">
        <v>503</v>
      </c>
      <c r="D150" t="s">
        <v>2789</v>
      </c>
      <c r="E150" s="1">
        <v>46038</v>
      </c>
      <c r="F150" t="s">
        <v>56</v>
      </c>
      <c r="G150" t="s">
        <v>54</v>
      </c>
      <c r="H150" t="s">
        <v>55</v>
      </c>
      <c r="I150" t="s">
        <v>2641</v>
      </c>
      <c r="J150" t="s">
        <v>2642</v>
      </c>
      <c r="K150" t="s">
        <v>25</v>
      </c>
      <c r="L150">
        <v>54</v>
      </c>
      <c r="M150">
        <v>3</v>
      </c>
      <c r="N150">
        <v>0</v>
      </c>
      <c r="O150" t="s">
        <v>223</v>
      </c>
      <c r="P150" t="s">
        <v>75</v>
      </c>
      <c r="Q150" t="s">
        <v>117</v>
      </c>
      <c r="R150" t="s">
        <v>62</v>
      </c>
      <c r="S150" t="s">
        <v>57</v>
      </c>
      <c r="T150">
        <v>5</v>
      </c>
      <c r="U150">
        <v>113.37</v>
      </c>
      <c r="V150">
        <v>202.51</v>
      </c>
      <c r="W150">
        <v>6</v>
      </c>
      <c r="X150" t="str">
        <f>TEXT(cleaneddata[[#This Row],[Order Date]],"mmm")</f>
        <v>Jan</v>
      </c>
      <c r="Y150">
        <f>cleaneddata[[#This Row],[Unit Price]]*cleaneddata[[#This Row],[Quantity]]*(1-cleaneddata[[#This Row],[Discount %]]/100)</f>
        <v>340.11</v>
      </c>
      <c r="Z150">
        <f>cleaneddata[[#This Row],[sales]]-cleaneddata[[#This Row],[Cost]]</f>
        <v>137.60000000000002</v>
      </c>
    </row>
    <row r="151" spans="1:26" x14ac:dyDescent="0.3">
      <c r="A151" t="s">
        <v>504</v>
      </c>
      <c r="B151" s="1">
        <v>45670</v>
      </c>
      <c r="C151" t="s">
        <v>505</v>
      </c>
      <c r="D151" t="s">
        <v>2788</v>
      </c>
      <c r="E151" s="1">
        <v>45675</v>
      </c>
      <c r="F151" t="s">
        <v>56</v>
      </c>
      <c r="G151" t="s">
        <v>54</v>
      </c>
      <c r="H151" t="s">
        <v>55</v>
      </c>
      <c r="I151" t="s">
        <v>2622</v>
      </c>
      <c r="J151" t="s">
        <v>2704</v>
      </c>
      <c r="K151" t="s">
        <v>25</v>
      </c>
      <c r="L151">
        <v>25</v>
      </c>
      <c r="M151">
        <v>1</v>
      </c>
      <c r="N151">
        <v>20</v>
      </c>
      <c r="O151" t="s">
        <v>506</v>
      </c>
      <c r="P151" t="s">
        <v>44</v>
      </c>
      <c r="Q151" t="s">
        <v>70</v>
      </c>
      <c r="R151" t="s">
        <v>71</v>
      </c>
      <c r="S151" t="s">
        <v>57</v>
      </c>
      <c r="T151">
        <v>2</v>
      </c>
      <c r="U151">
        <v>50.96</v>
      </c>
      <c r="V151">
        <v>28.02</v>
      </c>
      <c r="W151">
        <v>5</v>
      </c>
      <c r="X151" t="str">
        <f>TEXT(cleaneddata[[#This Row],[Order Date]],"mmm")</f>
        <v>Jan</v>
      </c>
      <c r="Y151">
        <f>cleaneddata[[#This Row],[Unit Price]]*cleaneddata[[#This Row],[Quantity]]*(1-cleaneddata[[#This Row],[Discount %]]/100)</f>
        <v>40.768000000000001</v>
      </c>
      <c r="Z151">
        <f>cleaneddata[[#This Row],[sales]]-cleaneddata[[#This Row],[Cost]]</f>
        <v>12.748000000000001</v>
      </c>
    </row>
    <row r="152" spans="1:26" x14ac:dyDescent="0.3">
      <c r="A152" t="s">
        <v>507</v>
      </c>
      <c r="B152" s="1">
        <v>45662</v>
      </c>
      <c r="C152" t="s">
        <v>508</v>
      </c>
      <c r="D152" t="s">
        <v>3581</v>
      </c>
      <c r="E152" s="1">
        <v>45668</v>
      </c>
      <c r="F152" t="s">
        <v>122</v>
      </c>
      <c r="G152" t="s">
        <v>120</v>
      </c>
      <c r="H152" t="s">
        <v>121</v>
      </c>
      <c r="I152" t="s">
        <v>2679</v>
      </c>
      <c r="J152" t="s">
        <v>2685</v>
      </c>
      <c r="K152" t="s">
        <v>52</v>
      </c>
      <c r="L152">
        <v>46</v>
      </c>
      <c r="M152">
        <v>2</v>
      </c>
      <c r="N152">
        <v>5</v>
      </c>
      <c r="O152" t="s">
        <v>509</v>
      </c>
      <c r="P152" t="s">
        <v>33</v>
      </c>
      <c r="Q152" t="s">
        <v>117</v>
      </c>
      <c r="R152" t="s">
        <v>62</v>
      </c>
      <c r="S152" t="s">
        <v>123</v>
      </c>
      <c r="T152">
        <v>1</v>
      </c>
      <c r="U152">
        <v>549.86</v>
      </c>
      <c r="V152">
        <v>643.83000000000004</v>
      </c>
      <c r="W152">
        <v>6</v>
      </c>
      <c r="X152" t="str">
        <f>TEXT(cleaneddata[[#This Row],[Order Date]],"mmm")</f>
        <v>Jan</v>
      </c>
      <c r="Y152">
        <f>cleaneddata[[#This Row],[Unit Price]]*cleaneddata[[#This Row],[Quantity]]*(1-cleaneddata[[#This Row],[Discount %]]/100)</f>
        <v>1044.7339999999999</v>
      </c>
      <c r="Z152">
        <f>cleaneddata[[#This Row],[sales]]-cleaneddata[[#This Row],[Cost]]</f>
        <v>400.90399999999988</v>
      </c>
    </row>
    <row r="153" spans="1:26" x14ac:dyDescent="0.3">
      <c r="A153" t="s">
        <v>510</v>
      </c>
      <c r="B153" s="1">
        <v>45473</v>
      </c>
      <c r="C153" t="s">
        <v>511</v>
      </c>
      <c r="D153" t="s">
        <v>2787</v>
      </c>
      <c r="E153" s="1">
        <v>45474</v>
      </c>
      <c r="F153" t="s">
        <v>100</v>
      </c>
      <c r="G153" t="s">
        <v>98</v>
      </c>
      <c r="H153" t="s">
        <v>99</v>
      </c>
      <c r="I153" t="s">
        <v>2622</v>
      </c>
      <c r="J153" t="s">
        <v>2704</v>
      </c>
      <c r="K153" t="s">
        <v>25</v>
      </c>
      <c r="L153">
        <v>30</v>
      </c>
      <c r="M153">
        <v>1</v>
      </c>
      <c r="N153">
        <v>0</v>
      </c>
      <c r="O153" t="s">
        <v>512</v>
      </c>
      <c r="P153" t="s">
        <v>75</v>
      </c>
      <c r="Q153" t="s">
        <v>70</v>
      </c>
      <c r="R153" t="s">
        <v>43</v>
      </c>
      <c r="S153" t="s">
        <v>101</v>
      </c>
      <c r="T153">
        <v>4</v>
      </c>
      <c r="U153">
        <v>84.19</v>
      </c>
      <c r="V153">
        <v>50.98</v>
      </c>
      <c r="W153">
        <v>1</v>
      </c>
      <c r="X153" t="str">
        <f>TEXT(cleaneddata[[#This Row],[Order Date]],"mmm")</f>
        <v>Jun</v>
      </c>
      <c r="Y153">
        <f>cleaneddata[[#This Row],[Unit Price]]*cleaneddata[[#This Row],[Quantity]]*(1-cleaneddata[[#This Row],[Discount %]]/100)</f>
        <v>84.19</v>
      </c>
      <c r="Z153">
        <f>cleaneddata[[#This Row],[sales]]-cleaneddata[[#This Row],[Cost]]</f>
        <v>33.21</v>
      </c>
    </row>
    <row r="154" spans="1:26" x14ac:dyDescent="0.3">
      <c r="A154" t="s">
        <v>513</v>
      </c>
      <c r="B154" s="1">
        <v>45307</v>
      </c>
      <c r="C154" t="s">
        <v>514</v>
      </c>
      <c r="D154" t="s">
        <v>3580</v>
      </c>
      <c r="E154" s="1">
        <v>45309</v>
      </c>
      <c r="F154" t="s">
        <v>40</v>
      </c>
      <c r="G154" t="s">
        <v>38</v>
      </c>
      <c r="H154" t="s">
        <v>39</v>
      </c>
      <c r="I154" t="s">
        <v>2625</v>
      </c>
      <c r="J154" t="s">
        <v>2703</v>
      </c>
      <c r="K154" t="s">
        <v>25</v>
      </c>
      <c r="L154">
        <v>44</v>
      </c>
      <c r="M154">
        <v>4</v>
      </c>
      <c r="N154">
        <v>30</v>
      </c>
      <c r="O154" t="s">
        <v>515</v>
      </c>
      <c r="P154" t="s">
        <v>33</v>
      </c>
      <c r="Q154" t="s">
        <v>42</v>
      </c>
      <c r="R154" t="s">
        <v>32</v>
      </c>
      <c r="S154" t="s">
        <v>41</v>
      </c>
      <c r="T154">
        <v>5</v>
      </c>
      <c r="U154">
        <v>574.45000000000005</v>
      </c>
      <c r="V154">
        <v>1099.54</v>
      </c>
      <c r="W154">
        <v>2</v>
      </c>
      <c r="X154" t="str">
        <f>TEXT(cleaneddata[[#This Row],[Order Date]],"mmm")</f>
        <v>Jan</v>
      </c>
      <c r="Y154">
        <f>cleaneddata[[#This Row],[Unit Price]]*cleaneddata[[#This Row],[Quantity]]*(1-cleaneddata[[#This Row],[Discount %]]/100)</f>
        <v>1608.46</v>
      </c>
      <c r="Z154">
        <f>cleaneddata[[#This Row],[sales]]-cleaneddata[[#This Row],[Cost]]</f>
        <v>508.92000000000007</v>
      </c>
    </row>
    <row r="155" spans="1:26" x14ac:dyDescent="0.3">
      <c r="A155" t="s">
        <v>516</v>
      </c>
      <c r="B155" s="1">
        <v>45753</v>
      </c>
      <c r="C155" t="s">
        <v>517</v>
      </c>
      <c r="D155" t="s">
        <v>3579</v>
      </c>
      <c r="E155" s="1">
        <v>45755</v>
      </c>
      <c r="F155" t="s">
        <v>56</v>
      </c>
      <c r="G155" t="s">
        <v>54</v>
      </c>
      <c r="H155" t="s">
        <v>55</v>
      </c>
      <c r="I155" t="s">
        <v>2625</v>
      </c>
      <c r="J155" t="s">
        <v>2626</v>
      </c>
      <c r="K155" t="s">
        <v>25</v>
      </c>
      <c r="L155">
        <v>55</v>
      </c>
      <c r="M155">
        <v>2</v>
      </c>
      <c r="N155">
        <v>25</v>
      </c>
      <c r="O155" t="s">
        <v>518</v>
      </c>
      <c r="P155" t="s">
        <v>44</v>
      </c>
      <c r="Q155" t="s">
        <v>42</v>
      </c>
      <c r="R155" t="s">
        <v>71</v>
      </c>
      <c r="S155" t="s">
        <v>57</v>
      </c>
      <c r="T155">
        <v>5</v>
      </c>
      <c r="U155">
        <v>736.56</v>
      </c>
      <c r="V155">
        <v>869.33</v>
      </c>
      <c r="W155">
        <v>2</v>
      </c>
      <c r="X155" t="str">
        <f>TEXT(cleaneddata[[#This Row],[Order Date]],"mmm")</f>
        <v>Apr</v>
      </c>
      <c r="Y155">
        <f>cleaneddata[[#This Row],[Unit Price]]*cleaneddata[[#This Row],[Quantity]]*(1-cleaneddata[[#This Row],[Discount %]]/100)</f>
        <v>1104.8399999999999</v>
      </c>
      <c r="Z155">
        <f>cleaneddata[[#This Row],[sales]]-cleaneddata[[#This Row],[Cost]]</f>
        <v>235.50999999999988</v>
      </c>
    </row>
    <row r="156" spans="1:26" x14ac:dyDescent="0.3">
      <c r="A156" t="s">
        <v>519</v>
      </c>
      <c r="B156" s="1">
        <v>45360</v>
      </c>
      <c r="C156" t="s">
        <v>520</v>
      </c>
      <c r="D156" t="s">
        <v>3578</v>
      </c>
      <c r="E156" s="1">
        <v>45365</v>
      </c>
      <c r="F156" t="s">
        <v>2617</v>
      </c>
      <c r="G156" t="s">
        <v>27</v>
      </c>
      <c r="H156" t="s">
        <v>28</v>
      </c>
      <c r="I156" t="s">
        <v>2631</v>
      </c>
      <c r="J156" t="s">
        <v>2694</v>
      </c>
      <c r="K156" t="s">
        <v>52</v>
      </c>
      <c r="L156">
        <v>57</v>
      </c>
      <c r="M156">
        <v>2</v>
      </c>
      <c r="N156">
        <v>5</v>
      </c>
      <c r="O156" t="s">
        <v>521</v>
      </c>
      <c r="P156" t="s">
        <v>33</v>
      </c>
      <c r="Q156" t="s">
        <v>31</v>
      </c>
      <c r="R156" t="s">
        <v>32</v>
      </c>
      <c r="S156" t="s">
        <v>30</v>
      </c>
      <c r="T156">
        <v>3</v>
      </c>
      <c r="U156">
        <v>891.05</v>
      </c>
      <c r="V156">
        <v>964.18</v>
      </c>
      <c r="W156">
        <v>5</v>
      </c>
      <c r="X156" t="str">
        <f>TEXT(cleaneddata[[#This Row],[Order Date]],"mmm")</f>
        <v>Mar</v>
      </c>
      <c r="Y156">
        <f>cleaneddata[[#This Row],[Unit Price]]*cleaneddata[[#This Row],[Quantity]]*(1-cleaneddata[[#This Row],[Discount %]]/100)</f>
        <v>1692.9949999999999</v>
      </c>
      <c r="Z156">
        <f>cleaneddata[[#This Row],[sales]]-cleaneddata[[#This Row],[Cost]]</f>
        <v>728.81499999999994</v>
      </c>
    </row>
    <row r="157" spans="1:26" x14ac:dyDescent="0.3">
      <c r="A157" t="s">
        <v>522</v>
      </c>
      <c r="B157" s="1">
        <v>45779</v>
      </c>
      <c r="C157" t="s">
        <v>523</v>
      </c>
      <c r="D157" t="s">
        <v>2786</v>
      </c>
      <c r="E157" s="1">
        <v>45785</v>
      </c>
      <c r="F157" t="s">
        <v>128</v>
      </c>
      <c r="G157" t="s">
        <v>98</v>
      </c>
      <c r="H157" t="s">
        <v>127</v>
      </c>
      <c r="I157" t="s">
        <v>2632</v>
      </c>
      <c r="J157" t="s">
        <v>2715</v>
      </c>
      <c r="K157" t="s">
        <v>25</v>
      </c>
      <c r="L157">
        <v>45</v>
      </c>
      <c r="M157">
        <v>2</v>
      </c>
      <c r="N157">
        <v>25</v>
      </c>
      <c r="O157" t="s">
        <v>267</v>
      </c>
      <c r="P157" t="s">
        <v>44</v>
      </c>
      <c r="Q157" t="s">
        <v>58</v>
      </c>
      <c r="R157" t="s">
        <v>71</v>
      </c>
      <c r="S157" t="s">
        <v>129</v>
      </c>
      <c r="T157">
        <v>2</v>
      </c>
      <c r="U157">
        <v>767.35</v>
      </c>
      <c r="V157">
        <v>878.65</v>
      </c>
      <c r="W157">
        <v>6</v>
      </c>
      <c r="X157" t="str">
        <f>TEXT(cleaneddata[[#This Row],[Order Date]],"mmm")</f>
        <v>May</v>
      </c>
      <c r="Y157">
        <f>cleaneddata[[#This Row],[Unit Price]]*cleaneddata[[#This Row],[Quantity]]*(1-cleaneddata[[#This Row],[Discount %]]/100)</f>
        <v>1151.0250000000001</v>
      </c>
      <c r="Z157">
        <f>cleaneddata[[#This Row],[sales]]-cleaneddata[[#This Row],[Cost]]</f>
        <v>272.37500000000011</v>
      </c>
    </row>
    <row r="158" spans="1:26" x14ac:dyDescent="0.3">
      <c r="A158" t="s">
        <v>524</v>
      </c>
      <c r="B158" s="1">
        <v>46033</v>
      </c>
      <c r="C158" t="s">
        <v>525</v>
      </c>
      <c r="D158" t="s">
        <v>3577</v>
      </c>
      <c r="E158" s="1">
        <v>46035</v>
      </c>
      <c r="F158" t="s">
        <v>2617</v>
      </c>
      <c r="G158" t="s">
        <v>27</v>
      </c>
      <c r="H158" t="s">
        <v>28</v>
      </c>
      <c r="I158" t="s">
        <v>2637</v>
      </c>
      <c r="J158" t="s">
        <v>99</v>
      </c>
      <c r="K158" t="s">
        <v>52</v>
      </c>
      <c r="L158">
        <v>22</v>
      </c>
      <c r="M158">
        <v>4</v>
      </c>
      <c r="N158">
        <v>5</v>
      </c>
      <c r="O158" t="s">
        <v>526</v>
      </c>
      <c r="P158" t="s">
        <v>75</v>
      </c>
      <c r="Q158" t="s">
        <v>70</v>
      </c>
      <c r="R158" t="s">
        <v>43</v>
      </c>
      <c r="S158" t="s">
        <v>30</v>
      </c>
      <c r="T158">
        <v>5</v>
      </c>
      <c r="U158">
        <v>509.87</v>
      </c>
      <c r="V158">
        <v>986.21</v>
      </c>
      <c r="W158">
        <v>2</v>
      </c>
      <c r="X158" t="str">
        <f>TEXT(cleaneddata[[#This Row],[Order Date]],"mmm")</f>
        <v>Jan</v>
      </c>
      <c r="Y158">
        <f>cleaneddata[[#This Row],[Unit Price]]*cleaneddata[[#This Row],[Quantity]]*(1-cleaneddata[[#This Row],[Discount %]]/100)</f>
        <v>1937.5059999999999</v>
      </c>
      <c r="Z158">
        <f>cleaneddata[[#This Row],[sales]]-cleaneddata[[#This Row],[Cost]]</f>
        <v>951.29599999999982</v>
      </c>
    </row>
    <row r="159" spans="1:26" x14ac:dyDescent="0.3">
      <c r="A159" t="s">
        <v>527</v>
      </c>
      <c r="B159" s="1">
        <v>45958</v>
      </c>
      <c r="C159" t="s">
        <v>528</v>
      </c>
      <c r="D159" t="s">
        <v>3576</v>
      </c>
      <c r="E159" s="1">
        <v>45961</v>
      </c>
      <c r="F159" t="s">
        <v>56</v>
      </c>
      <c r="G159" t="s">
        <v>54</v>
      </c>
      <c r="H159" t="s">
        <v>55</v>
      </c>
      <c r="I159" t="s">
        <v>2641</v>
      </c>
      <c r="J159" t="s">
        <v>2692</v>
      </c>
      <c r="K159" t="s">
        <v>25</v>
      </c>
      <c r="L159">
        <v>28</v>
      </c>
      <c r="M159">
        <v>1</v>
      </c>
      <c r="N159">
        <v>10</v>
      </c>
      <c r="O159" t="s">
        <v>529</v>
      </c>
      <c r="P159" t="s">
        <v>44</v>
      </c>
      <c r="Q159" t="s">
        <v>70</v>
      </c>
      <c r="R159" t="s">
        <v>71</v>
      </c>
      <c r="S159" t="s">
        <v>57</v>
      </c>
      <c r="T159">
        <v>3</v>
      </c>
      <c r="U159">
        <v>455.94</v>
      </c>
      <c r="V159">
        <v>265.67</v>
      </c>
      <c r="W159">
        <v>3</v>
      </c>
      <c r="X159" t="str">
        <f>TEXT(cleaneddata[[#This Row],[Order Date]],"mmm")</f>
        <v>Oct</v>
      </c>
      <c r="Y159">
        <f>cleaneddata[[#This Row],[Unit Price]]*cleaneddata[[#This Row],[Quantity]]*(1-cleaneddata[[#This Row],[Discount %]]/100)</f>
        <v>410.346</v>
      </c>
      <c r="Z159">
        <f>cleaneddata[[#This Row],[sales]]-cleaneddata[[#This Row],[Cost]]</f>
        <v>144.67599999999999</v>
      </c>
    </row>
    <row r="160" spans="1:26" x14ac:dyDescent="0.3">
      <c r="A160" t="s">
        <v>530</v>
      </c>
      <c r="B160" s="1">
        <v>45757</v>
      </c>
      <c r="C160" t="s">
        <v>531</v>
      </c>
      <c r="D160" t="s">
        <v>3575</v>
      </c>
      <c r="E160" s="1">
        <v>45760</v>
      </c>
      <c r="F160" t="s">
        <v>2617</v>
      </c>
      <c r="G160" t="s">
        <v>27</v>
      </c>
      <c r="H160" t="s">
        <v>28</v>
      </c>
      <c r="I160" t="s">
        <v>2625</v>
      </c>
      <c r="J160" t="s">
        <v>2667</v>
      </c>
      <c r="K160" t="s">
        <v>25</v>
      </c>
      <c r="L160">
        <v>37</v>
      </c>
      <c r="M160">
        <v>5</v>
      </c>
      <c r="N160">
        <v>20</v>
      </c>
      <c r="O160" t="s">
        <v>532</v>
      </c>
      <c r="P160" t="s">
        <v>44</v>
      </c>
      <c r="Q160" t="s">
        <v>31</v>
      </c>
      <c r="R160" t="s">
        <v>62</v>
      </c>
      <c r="S160" t="s">
        <v>30</v>
      </c>
      <c r="T160">
        <v>1</v>
      </c>
      <c r="U160">
        <v>889.39</v>
      </c>
      <c r="V160">
        <v>2565.1799999999998</v>
      </c>
      <c r="W160">
        <v>3</v>
      </c>
      <c r="X160" t="str">
        <f>TEXT(cleaneddata[[#This Row],[Order Date]],"mmm")</f>
        <v>Apr</v>
      </c>
      <c r="Y160">
        <f>cleaneddata[[#This Row],[Unit Price]]*cleaneddata[[#This Row],[Quantity]]*(1-cleaneddata[[#This Row],[Discount %]]/100)</f>
        <v>3557.56</v>
      </c>
      <c r="Z160">
        <f>cleaneddata[[#This Row],[sales]]-cleaneddata[[#This Row],[Cost]]</f>
        <v>992.38000000000011</v>
      </c>
    </row>
    <row r="161" spans="1:26" x14ac:dyDescent="0.3">
      <c r="A161" t="s">
        <v>533</v>
      </c>
      <c r="B161" s="1">
        <v>46118</v>
      </c>
      <c r="C161" t="s">
        <v>534</v>
      </c>
      <c r="D161" t="s">
        <v>3574</v>
      </c>
      <c r="E161" s="1">
        <v>46119</v>
      </c>
      <c r="F161" t="s">
        <v>56</v>
      </c>
      <c r="G161" t="s">
        <v>54</v>
      </c>
      <c r="H161" t="s">
        <v>55</v>
      </c>
      <c r="I161" t="s">
        <v>2679</v>
      </c>
      <c r="J161" t="s">
        <v>2707</v>
      </c>
      <c r="K161" t="s">
        <v>25</v>
      </c>
      <c r="L161">
        <v>35</v>
      </c>
      <c r="M161">
        <v>4</v>
      </c>
      <c r="N161">
        <v>0</v>
      </c>
      <c r="O161" t="s">
        <v>273</v>
      </c>
      <c r="P161" t="s">
        <v>33</v>
      </c>
      <c r="Q161" t="s">
        <v>58</v>
      </c>
      <c r="R161" t="s">
        <v>71</v>
      </c>
      <c r="S161" t="s">
        <v>57</v>
      </c>
      <c r="T161">
        <v>4</v>
      </c>
      <c r="U161">
        <v>265.55</v>
      </c>
      <c r="V161">
        <v>824.04</v>
      </c>
      <c r="W161">
        <v>1</v>
      </c>
      <c r="X161" t="str">
        <f>TEXT(cleaneddata[[#This Row],[Order Date]],"mmm")</f>
        <v>Apr</v>
      </c>
      <c r="Y161">
        <f>cleaneddata[[#This Row],[Unit Price]]*cleaneddata[[#This Row],[Quantity]]*(1-cleaneddata[[#This Row],[Discount %]]/100)</f>
        <v>1062.2</v>
      </c>
      <c r="Z161">
        <f>cleaneddata[[#This Row],[sales]]-cleaneddata[[#This Row],[Cost]]</f>
        <v>238.16000000000008</v>
      </c>
    </row>
    <row r="162" spans="1:26" x14ac:dyDescent="0.3">
      <c r="A162" t="s">
        <v>535</v>
      </c>
      <c r="B162" s="1">
        <v>45807</v>
      </c>
      <c r="C162" t="s">
        <v>536</v>
      </c>
      <c r="D162" t="s">
        <v>3573</v>
      </c>
      <c r="E162" s="1">
        <v>45811</v>
      </c>
      <c r="F162" t="s">
        <v>128</v>
      </c>
      <c r="G162" t="s">
        <v>98</v>
      </c>
      <c r="H162" t="s">
        <v>127</v>
      </c>
      <c r="I162" t="s">
        <v>2659</v>
      </c>
      <c r="J162" t="s">
        <v>2718</v>
      </c>
      <c r="K162" t="s">
        <v>25</v>
      </c>
      <c r="L162">
        <v>22</v>
      </c>
      <c r="M162">
        <v>2</v>
      </c>
      <c r="N162">
        <v>10</v>
      </c>
      <c r="O162" t="s">
        <v>537</v>
      </c>
      <c r="P162" t="s">
        <v>75</v>
      </c>
      <c r="Q162" t="s">
        <v>70</v>
      </c>
      <c r="R162" t="s">
        <v>71</v>
      </c>
      <c r="S162" t="s">
        <v>129</v>
      </c>
      <c r="T162">
        <v>5</v>
      </c>
      <c r="U162">
        <v>426.35</v>
      </c>
      <c r="V162">
        <v>629.63</v>
      </c>
      <c r="W162">
        <v>4</v>
      </c>
      <c r="X162" t="str">
        <f>TEXT(cleaneddata[[#This Row],[Order Date]],"mmm")</f>
        <v>May</v>
      </c>
      <c r="Y162">
        <f>cleaneddata[[#This Row],[Unit Price]]*cleaneddata[[#This Row],[Quantity]]*(1-cleaneddata[[#This Row],[Discount %]]/100)</f>
        <v>767.43000000000006</v>
      </c>
      <c r="Z162">
        <f>cleaneddata[[#This Row],[sales]]-cleaneddata[[#This Row],[Cost]]</f>
        <v>137.80000000000007</v>
      </c>
    </row>
    <row r="163" spans="1:26" x14ac:dyDescent="0.3">
      <c r="A163" t="s">
        <v>538</v>
      </c>
      <c r="B163" s="1">
        <v>45420</v>
      </c>
      <c r="C163" t="s">
        <v>539</v>
      </c>
      <c r="D163" t="s">
        <v>3572</v>
      </c>
      <c r="E163" s="1">
        <v>45422</v>
      </c>
      <c r="F163" t="s">
        <v>115</v>
      </c>
      <c r="G163" t="s">
        <v>66</v>
      </c>
      <c r="H163" t="s">
        <v>114</v>
      </c>
      <c r="I163" t="s">
        <v>2625</v>
      </c>
      <c r="J163" t="s">
        <v>2667</v>
      </c>
      <c r="K163" t="s">
        <v>52</v>
      </c>
      <c r="L163">
        <v>49</v>
      </c>
      <c r="M163">
        <v>5</v>
      </c>
      <c r="N163">
        <v>25</v>
      </c>
      <c r="O163" t="s">
        <v>540</v>
      </c>
      <c r="P163" t="s">
        <v>75</v>
      </c>
      <c r="Q163" t="s">
        <v>31</v>
      </c>
      <c r="R163" t="s">
        <v>32</v>
      </c>
      <c r="S163" t="s">
        <v>116</v>
      </c>
      <c r="T163">
        <v>4</v>
      </c>
      <c r="U163">
        <v>640.03</v>
      </c>
      <c r="V163">
        <v>1823.02</v>
      </c>
      <c r="W163">
        <v>2</v>
      </c>
      <c r="X163" t="str">
        <f>TEXT(cleaneddata[[#This Row],[Order Date]],"mmm")</f>
        <v>May</v>
      </c>
      <c r="Y163">
        <f>cleaneddata[[#This Row],[Unit Price]]*cleaneddata[[#This Row],[Quantity]]*(1-cleaneddata[[#This Row],[Discount %]]/100)</f>
        <v>2400.1124999999997</v>
      </c>
      <c r="Z163">
        <f>cleaneddata[[#This Row],[sales]]-cleaneddata[[#This Row],[Cost]]</f>
        <v>577.09249999999975</v>
      </c>
    </row>
    <row r="164" spans="1:26" x14ac:dyDescent="0.3">
      <c r="A164" t="s">
        <v>541</v>
      </c>
      <c r="B164" s="1">
        <v>45538</v>
      </c>
      <c r="C164" t="s">
        <v>542</v>
      </c>
      <c r="D164" t="s">
        <v>3571</v>
      </c>
      <c r="E164" s="1">
        <v>45540</v>
      </c>
      <c r="F164" t="s">
        <v>2617</v>
      </c>
      <c r="G164" t="s">
        <v>27</v>
      </c>
      <c r="H164" t="s">
        <v>28</v>
      </c>
      <c r="I164" t="s">
        <v>2631</v>
      </c>
      <c r="J164" t="s">
        <v>2694</v>
      </c>
      <c r="K164" t="s">
        <v>52</v>
      </c>
      <c r="L164">
        <v>56</v>
      </c>
      <c r="M164">
        <v>1</v>
      </c>
      <c r="N164">
        <v>15</v>
      </c>
      <c r="O164" t="s">
        <v>543</v>
      </c>
      <c r="P164" t="s">
        <v>75</v>
      </c>
      <c r="Q164" t="s">
        <v>31</v>
      </c>
      <c r="R164" t="s">
        <v>71</v>
      </c>
      <c r="S164" t="s">
        <v>30</v>
      </c>
      <c r="T164">
        <v>4</v>
      </c>
      <c r="U164">
        <v>652.05999999999995</v>
      </c>
      <c r="V164">
        <v>416.7</v>
      </c>
      <c r="W164">
        <v>2</v>
      </c>
      <c r="X164" t="str">
        <f>TEXT(cleaneddata[[#This Row],[Order Date]],"mmm")</f>
        <v>Sep</v>
      </c>
      <c r="Y164">
        <f>cleaneddata[[#This Row],[Unit Price]]*cleaneddata[[#This Row],[Quantity]]*(1-cleaneddata[[#This Row],[Discount %]]/100)</f>
        <v>554.25099999999998</v>
      </c>
      <c r="Z164">
        <f>cleaneddata[[#This Row],[sales]]-cleaneddata[[#This Row],[Cost]]</f>
        <v>137.55099999999999</v>
      </c>
    </row>
    <row r="165" spans="1:26" x14ac:dyDescent="0.3">
      <c r="A165" t="s">
        <v>544</v>
      </c>
      <c r="B165" s="1">
        <v>46110</v>
      </c>
      <c r="C165" t="s">
        <v>545</v>
      </c>
      <c r="D165" t="s">
        <v>3570</v>
      </c>
      <c r="E165" s="1">
        <v>46111</v>
      </c>
      <c r="F165" t="s">
        <v>115</v>
      </c>
      <c r="G165" t="s">
        <v>66</v>
      </c>
      <c r="H165" t="s">
        <v>114</v>
      </c>
      <c r="I165" t="s">
        <v>2665</v>
      </c>
      <c r="J165" t="s">
        <v>2719</v>
      </c>
      <c r="K165" t="s">
        <v>52</v>
      </c>
      <c r="L165">
        <v>46</v>
      </c>
      <c r="M165">
        <v>2</v>
      </c>
      <c r="N165">
        <v>20</v>
      </c>
      <c r="O165" t="s">
        <v>546</v>
      </c>
      <c r="P165" t="s">
        <v>33</v>
      </c>
      <c r="Q165" t="s">
        <v>58</v>
      </c>
      <c r="R165" t="s">
        <v>32</v>
      </c>
      <c r="S165" t="s">
        <v>116</v>
      </c>
      <c r="T165">
        <v>3</v>
      </c>
      <c r="U165">
        <v>592.5</v>
      </c>
      <c r="V165">
        <v>762.45</v>
      </c>
      <c r="W165">
        <v>1</v>
      </c>
      <c r="X165" t="str">
        <f>TEXT(cleaneddata[[#This Row],[Order Date]],"mmm")</f>
        <v>Mar</v>
      </c>
      <c r="Y165">
        <f>cleaneddata[[#This Row],[Unit Price]]*cleaneddata[[#This Row],[Quantity]]*(1-cleaneddata[[#This Row],[Discount %]]/100)</f>
        <v>948</v>
      </c>
      <c r="Z165">
        <f>cleaneddata[[#This Row],[sales]]-cleaneddata[[#This Row],[Cost]]</f>
        <v>185.54999999999995</v>
      </c>
    </row>
    <row r="166" spans="1:26" x14ac:dyDescent="0.3">
      <c r="A166" t="s">
        <v>547</v>
      </c>
      <c r="B166" s="1">
        <v>46169</v>
      </c>
      <c r="C166" t="s">
        <v>548</v>
      </c>
      <c r="D166" t="s">
        <v>3569</v>
      </c>
      <c r="E166" s="1">
        <v>46172</v>
      </c>
      <c r="F166" t="s">
        <v>2617</v>
      </c>
      <c r="G166" t="s">
        <v>27</v>
      </c>
      <c r="H166" t="s">
        <v>28</v>
      </c>
      <c r="I166" t="s">
        <v>2631</v>
      </c>
      <c r="J166" t="s">
        <v>2711</v>
      </c>
      <c r="K166" t="s">
        <v>25</v>
      </c>
      <c r="L166">
        <v>32</v>
      </c>
      <c r="M166">
        <v>3</v>
      </c>
      <c r="N166">
        <v>20</v>
      </c>
      <c r="O166" t="s">
        <v>549</v>
      </c>
      <c r="P166" t="s">
        <v>33</v>
      </c>
      <c r="Q166" t="s">
        <v>42</v>
      </c>
      <c r="R166" t="s">
        <v>32</v>
      </c>
      <c r="S166" t="s">
        <v>30</v>
      </c>
      <c r="T166">
        <v>5</v>
      </c>
      <c r="U166">
        <v>244.07</v>
      </c>
      <c r="V166">
        <v>486.7</v>
      </c>
      <c r="W166">
        <v>3</v>
      </c>
      <c r="X166" t="str">
        <f>TEXT(cleaneddata[[#This Row],[Order Date]],"mmm")</f>
        <v>May</v>
      </c>
      <c r="Y166">
        <f>cleaneddata[[#This Row],[Unit Price]]*cleaneddata[[#This Row],[Quantity]]*(1-cleaneddata[[#This Row],[Discount %]]/100)</f>
        <v>585.76800000000003</v>
      </c>
      <c r="Z166">
        <f>cleaneddata[[#This Row],[sales]]-cleaneddata[[#This Row],[Cost]]</f>
        <v>99.06800000000004</v>
      </c>
    </row>
    <row r="167" spans="1:26" x14ac:dyDescent="0.3">
      <c r="A167" t="s">
        <v>550</v>
      </c>
      <c r="B167" s="1">
        <v>45654</v>
      </c>
      <c r="C167" t="s">
        <v>551</v>
      </c>
      <c r="D167" t="s">
        <v>3568</v>
      </c>
      <c r="E167" s="1">
        <v>45655</v>
      </c>
      <c r="F167" t="s">
        <v>115</v>
      </c>
      <c r="G167" t="s">
        <v>66</v>
      </c>
      <c r="H167" t="s">
        <v>114</v>
      </c>
      <c r="I167" t="s">
        <v>2625</v>
      </c>
      <c r="J167" t="s">
        <v>2651</v>
      </c>
      <c r="K167" t="s">
        <v>52</v>
      </c>
      <c r="L167">
        <v>51</v>
      </c>
      <c r="M167">
        <v>5</v>
      </c>
      <c r="N167">
        <v>5</v>
      </c>
      <c r="O167" t="s">
        <v>552</v>
      </c>
      <c r="P167" t="s">
        <v>44</v>
      </c>
      <c r="Q167" t="s">
        <v>70</v>
      </c>
      <c r="R167" t="s">
        <v>71</v>
      </c>
      <c r="S167" t="s">
        <v>116</v>
      </c>
      <c r="T167">
        <v>5</v>
      </c>
      <c r="U167">
        <v>883.27</v>
      </c>
      <c r="V167">
        <v>3389.23</v>
      </c>
      <c r="W167">
        <v>1</v>
      </c>
      <c r="X167" t="str">
        <f>TEXT(cleaneddata[[#This Row],[Order Date]],"mmm")</f>
        <v>Dec</v>
      </c>
      <c r="Y167">
        <f>cleaneddata[[#This Row],[Unit Price]]*cleaneddata[[#This Row],[Quantity]]*(1-cleaneddata[[#This Row],[Discount %]]/100)</f>
        <v>4195.5325000000003</v>
      </c>
      <c r="Z167">
        <f>cleaneddata[[#This Row],[sales]]-cleaneddata[[#This Row],[Cost]]</f>
        <v>806.30250000000024</v>
      </c>
    </row>
    <row r="168" spans="1:26" x14ac:dyDescent="0.3">
      <c r="A168" t="s">
        <v>553</v>
      </c>
      <c r="B168" s="1">
        <v>46187</v>
      </c>
      <c r="C168" t="s">
        <v>554</v>
      </c>
      <c r="D168" t="s">
        <v>3567</v>
      </c>
      <c r="E168" s="1">
        <v>46191</v>
      </c>
      <c r="F168" t="s">
        <v>68</v>
      </c>
      <c r="G168" t="s">
        <v>66</v>
      </c>
      <c r="H168" t="s">
        <v>67</v>
      </c>
      <c r="I168" t="s">
        <v>2668</v>
      </c>
      <c r="J168" t="s">
        <v>2708</v>
      </c>
      <c r="K168" t="s">
        <v>52</v>
      </c>
      <c r="L168">
        <v>44</v>
      </c>
      <c r="M168">
        <v>5</v>
      </c>
      <c r="N168">
        <v>20</v>
      </c>
      <c r="O168" t="s">
        <v>555</v>
      </c>
      <c r="P168" t="s">
        <v>44</v>
      </c>
      <c r="Q168" t="s">
        <v>117</v>
      </c>
      <c r="R168" t="s">
        <v>71</v>
      </c>
      <c r="S168" t="s">
        <v>69</v>
      </c>
      <c r="T168">
        <v>3</v>
      </c>
      <c r="U168">
        <v>162.4</v>
      </c>
      <c r="V168">
        <v>451.27</v>
      </c>
      <c r="W168">
        <v>4</v>
      </c>
      <c r="X168" t="str">
        <f>TEXT(cleaneddata[[#This Row],[Order Date]],"mmm")</f>
        <v>Jun</v>
      </c>
      <c r="Y168">
        <f>cleaneddata[[#This Row],[Unit Price]]*cleaneddata[[#This Row],[Quantity]]*(1-cleaneddata[[#This Row],[Discount %]]/100)</f>
        <v>649.6</v>
      </c>
      <c r="Z168">
        <f>cleaneddata[[#This Row],[sales]]-cleaneddata[[#This Row],[Cost]]</f>
        <v>198.33000000000004</v>
      </c>
    </row>
    <row r="169" spans="1:26" x14ac:dyDescent="0.3">
      <c r="A169" t="s">
        <v>556</v>
      </c>
      <c r="B169" s="1">
        <v>45680</v>
      </c>
      <c r="C169" t="s">
        <v>557</v>
      </c>
      <c r="D169" t="s">
        <v>3566</v>
      </c>
      <c r="E169" s="1">
        <v>45686</v>
      </c>
      <c r="F169" t="s">
        <v>68</v>
      </c>
      <c r="G169" t="s">
        <v>66</v>
      </c>
      <c r="H169" t="s">
        <v>67</v>
      </c>
      <c r="I169" t="s">
        <v>2668</v>
      </c>
      <c r="J169" t="s">
        <v>2708</v>
      </c>
      <c r="K169" t="s">
        <v>25</v>
      </c>
      <c r="L169">
        <v>34</v>
      </c>
      <c r="M169">
        <v>5</v>
      </c>
      <c r="N169">
        <v>30</v>
      </c>
      <c r="O169" t="s">
        <v>558</v>
      </c>
      <c r="P169" t="s">
        <v>44</v>
      </c>
      <c r="Q169" t="s">
        <v>58</v>
      </c>
      <c r="R169" t="s">
        <v>71</v>
      </c>
      <c r="S169" t="s">
        <v>69</v>
      </c>
      <c r="T169">
        <v>2</v>
      </c>
      <c r="U169">
        <v>462</v>
      </c>
      <c r="V169">
        <v>1358.19</v>
      </c>
      <c r="W169">
        <v>6</v>
      </c>
      <c r="X169" t="str">
        <f>TEXT(cleaneddata[[#This Row],[Order Date]],"mmm")</f>
        <v>Jan</v>
      </c>
      <c r="Y169">
        <f>cleaneddata[[#This Row],[Unit Price]]*cleaneddata[[#This Row],[Quantity]]*(1-cleaneddata[[#This Row],[Discount %]]/100)</f>
        <v>1617</v>
      </c>
      <c r="Z169">
        <f>cleaneddata[[#This Row],[sales]]-cleaneddata[[#This Row],[Cost]]</f>
        <v>258.80999999999995</v>
      </c>
    </row>
    <row r="170" spans="1:26" x14ac:dyDescent="0.3">
      <c r="A170" t="s">
        <v>559</v>
      </c>
      <c r="B170" s="1">
        <v>46172</v>
      </c>
      <c r="C170" t="s">
        <v>560</v>
      </c>
      <c r="D170" t="s">
        <v>3565</v>
      </c>
      <c r="E170" s="1">
        <v>46178</v>
      </c>
      <c r="F170" t="s">
        <v>68</v>
      </c>
      <c r="G170" t="s">
        <v>66</v>
      </c>
      <c r="H170" t="s">
        <v>67</v>
      </c>
      <c r="I170" t="s">
        <v>2639</v>
      </c>
      <c r="J170" t="s">
        <v>2640</v>
      </c>
      <c r="K170" t="s">
        <v>52</v>
      </c>
      <c r="L170">
        <v>20</v>
      </c>
      <c r="M170">
        <v>2</v>
      </c>
      <c r="N170">
        <v>25</v>
      </c>
      <c r="O170" t="s">
        <v>223</v>
      </c>
      <c r="P170" t="s">
        <v>75</v>
      </c>
      <c r="Q170" t="s">
        <v>117</v>
      </c>
      <c r="R170" t="s">
        <v>43</v>
      </c>
      <c r="S170" t="s">
        <v>69</v>
      </c>
      <c r="T170">
        <v>3</v>
      </c>
      <c r="U170">
        <v>698.61</v>
      </c>
      <c r="V170">
        <v>649.41</v>
      </c>
      <c r="W170">
        <v>6</v>
      </c>
      <c r="X170" t="str">
        <f>TEXT(cleaneddata[[#This Row],[Order Date]],"mmm")</f>
        <v>May</v>
      </c>
      <c r="Y170">
        <f>cleaneddata[[#This Row],[Unit Price]]*cleaneddata[[#This Row],[Quantity]]*(1-cleaneddata[[#This Row],[Discount %]]/100)</f>
        <v>1047.915</v>
      </c>
      <c r="Z170">
        <f>cleaneddata[[#This Row],[sales]]-cleaneddata[[#This Row],[Cost]]</f>
        <v>398.505</v>
      </c>
    </row>
    <row r="171" spans="1:26" x14ac:dyDescent="0.3">
      <c r="A171" t="s">
        <v>561</v>
      </c>
      <c r="B171" s="1">
        <v>45466</v>
      </c>
      <c r="C171" t="s">
        <v>562</v>
      </c>
      <c r="D171" t="s">
        <v>3564</v>
      </c>
      <c r="E171" s="1">
        <v>45467</v>
      </c>
      <c r="F171" t="s">
        <v>56</v>
      </c>
      <c r="G171" t="s">
        <v>54</v>
      </c>
      <c r="H171" t="s">
        <v>55</v>
      </c>
      <c r="I171" t="s">
        <v>2652</v>
      </c>
      <c r="J171" t="s">
        <v>2688</v>
      </c>
      <c r="K171" t="s">
        <v>25</v>
      </c>
      <c r="L171">
        <v>64</v>
      </c>
      <c r="M171">
        <v>2</v>
      </c>
      <c r="N171">
        <v>5</v>
      </c>
      <c r="O171" t="s">
        <v>563</v>
      </c>
      <c r="P171" t="s">
        <v>44</v>
      </c>
      <c r="Q171" t="s">
        <v>70</v>
      </c>
      <c r="R171" t="s">
        <v>71</v>
      </c>
      <c r="S171" t="s">
        <v>57</v>
      </c>
      <c r="T171">
        <v>2</v>
      </c>
      <c r="U171">
        <v>210.75</v>
      </c>
      <c r="V171">
        <v>255.69</v>
      </c>
      <c r="W171">
        <v>1</v>
      </c>
      <c r="X171" t="str">
        <f>TEXT(cleaneddata[[#This Row],[Order Date]],"mmm")</f>
        <v>Jun</v>
      </c>
      <c r="Y171">
        <f>cleaneddata[[#This Row],[Unit Price]]*cleaneddata[[#This Row],[Quantity]]*(1-cleaneddata[[#This Row],[Discount %]]/100)</f>
        <v>400.42499999999995</v>
      </c>
      <c r="Z171">
        <f>cleaneddata[[#This Row],[sales]]-cleaneddata[[#This Row],[Cost]]</f>
        <v>144.73499999999996</v>
      </c>
    </row>
    <row r="172" spans="1:26" x14ac:dyDescent="0.3">
      <c r="A172" t="s">
        <v>564</v>
      </c>
      <c r="B172" s="1">
        <v>45641</v>
      </c>
      <c r="C172" t="s">
        <v>565</v>
      </c>
      <c r="D172" t="s">
        <v>3563</v>
      </c>
      <c r="E172" s="1">
        <v>45645</v>
      </c>
      <c r="F172" t="s">
        <v>56</v>
      </c>
      <c r="G172" t="s">
        <v>54</v>
      </c>
      <c r="H172" t="s">
        <v>55</v>
      </c>
      <c r="I172" t="s">
        <v>2625</v>
      </c>
      <c r="J172" t="s">
        <v>2626</v>
      </c>
      <c r="K172" t="s">
        <v>25</v>
      </c>
      <c r="L172">
        <v>39</v>
      </c>
      <c r="M172">
        <v>1</v>
      </c>
      <c r="N172">
        <v>25</v>
      </c>
      <c r="O172" t="s">
        <v>566</v>
      </c>
      <c r="P172" t="s">
        <v>44</v>
      </c>
      <c r="Q172" t="s">
        <v>58</v>
      </c>
      <c r="R172" t="s">
        <v>71</v>
      </c>
      <c r="S172" t="s">
        <v>57</v>
      </c>
      <c r="T172">
        <v>3</v>
      </c>
      <c r="U172">
        <v>477.02</v>
      </c>
      <c r="V172">
        <v>268.83</v>
      </c>
      <c r="W172">
        <v>4</v>
      </c>
      <c r="X172" t="str">
        <f>TEXT(cleaneddata[[#This Row],[Order Date]],"mmm")</f>
        <v>Dec</v>
      </c>
      <c r="Y172">
        <f>cleaneddata[[#This Row],[Unit Price]]*cleaneddata[[#This Row],[Quantity]]*(1-cleaneddata[[#This Row],[Discount %]]/100)</f>
        <v>357.76499999999999</v>
      </c>
      <c r="Z172">
        <f>cleaneddata[[#This Row],[sales]]-cleaneddata[[#This Row],[Cost]]</f>
        <v>88.935000000000002</v>
      </c>
    </row>
    <row r="173" spans="1:26" x14ac:dyDescent="0.3">
      <c r="A173" t="s">
        <v>567</v>
      </c>
      <c r="B173" s="1">
        <v>45664</v>
      </c>
      <c r="C173" t="s">
        <v>568</v>
      </c>
      <c r="D173" t="s">
        <v>3562</v>
      </c>
      <c r="E173" s="1">
        <v>45667</v>
      </c>
      <c r="F173" t="s">
        <v>2617</v>
      </c>
      <c r="G173" t="s">
        <v>27</v>
      </c>
      <c r="H173" t="s">
        <v>28</v>
      </c>
      <c r="I173" t="s">
        <v>2675</v>
      </c>
      <c r="J173" t="s">
        <v>2710</v>
      </c>
      <c r="K173" t="s">
        <v>25</v>
      </c>
      <c r="L173">
        <v>50</v>
      </c>
      <c r="M173">
        <v>2</v>
      </c>
      <c r="N173">
        <v>10</v>
      </c>
      <c r="O173" t="s">
        <v>569</v>
      </c>
      <c r="P173" t="s">
        <v>44</v>
      </c>
      <c r="Q173" t="s">
        <v>117</v>
      </c>
      <c r="R173" t="s">
        <v>62</v>
      </c>
      <c r="S173" t="s">
        <v>30</v>
      </c>
      <c r="T173">
        <v>5</v>
      </c>
      <c r="U173">
        <v>26.27</v>
      </c>
      <c r="V173">
        <v>27.59</v>
      </c>
      <c r="W173">
        <v>3</v>
      </c>
      <c r="X173" t="str">
        <f>TEXT(cleaneddata[[#This Row],[Order Date]],"mmm")</f>
        <v>Jan</v>
      </c>
      <c r="Y173">
        <f>cleaneddata[[#This Row],[Unit Price]]*cleaneddata[[#This Row],[Quantity]]*(1-cleaneddata[[#This Row],[Discount %]]/100)</f>
        <v>47.286000000000001</v>
      </c>
      <c r="Z173">
        <f>cleaneddata[[#This Row],[sales]]-cleaneddata[[#This Row],[Cost]]</f>
        <v>19.696000000000002</v>
      </c>
    </row>
    <row r="174" spans="1:26" x14ac:dyDescent="0.3">
      <c r="A174" t="s">
        <v>570</v>
      </c>
      <c r="B174" s="1">
        <v>45530</v>
      </c>
      <c r="C174" t="s">
        <v>571</v>
      </c>
      <c r="D174" t="s">
        <v>3561</v>
      </c>
      <c r="E174" s="1">
        <v>45534</v>
      </c>
      <c r="F174" t="s">
        <v>56</v>
      </c>
      <c r="G174" t="s">
        <v>54</v>
      </c>
      <c r="H174" t="s">
        <v>55</v>
      </c>
      <c r="I174" t="s">
        <v>2659</v>
      </c>
      <c r="J174" t="s">
        <v>2660</v>
      </c>
      <c r="K174" t="s">
        <v>25</v>
      </c>
      <c r="L174">
        <v>18</v>
      </c>
      <c r="M174">
        <v>5</v>
      </c>
      <c r="N174">
        <v>5</v>
      </c>
      <c r="O174" t="s">
        <v>572</v>
      </c>
      <c r="P174" t="s">
        <v>75</v>
      </c>
      <c r="Q174" t="s">
        <v>117</v>
      </c>
      <c r="R174" t="s">
        <v>43</v>
      </c>
      <c r="S174" t="s">
        <v>57</v>
      </c>
      <c r="T174">
        <v>5</v>
      </c>
      <c r="U174">
        <v>808.15</v>
      </c>
      <c r="V174">
        <v>2312.4899999999998</v>
      </c>
      <c r="W174">
        <v>4</v>
      </c>
      <c r="X174" t="str">
        <f>TEXT(cleaneddata[[#This Row],[Order Date]],"mmm")</f>
        <v>Aug</v>
      </c>
      <c r="Y174">
        <f>cleaneddata[[#This Row],[Unit Price]]*cleaneddata[[#This Row],[Quantity]]*(1-cleaneddata[[#This Row],[Discount %]]/100)</f>
        <v>3838.7124999999996</v>
      </c>
      <c r="Z174">
        <f>cleaneddata[[#This Row],[sales]]-cleaneddata[[#This Row],[Cost]]</f>
        <v>1526.2224999999999</v>
      </c>
    </row>
    <row r="175" spans="1:26" x14ac:dyDescent="0.3">
      <c r="A175" t="s">
        <v>573</v>
      </c>
      <c r="B175" s="1">
        <v>46179</v>
      </c>
      <c r="C175" t="s">
        <v>574</v>
      </c>
      <c r="D175" t="s">
        <v>3560</v>
      </c>
      <c r="E175" s="1">
        <v>46182</v>
      </c>
      <c r="F175" t="s">
        <v>128</v>
      </c>
      <c r="G175" t="s">
        <v>98</v>
      </c>
      <c r="H175" t="s">
        <v>127</v>
      </c>
      <c r="I175" t="s">
        <v>2647</v>
      </c>
      <c r="J175" t="s">
        <v>2648</v>
      </c>
      <c r="K175" t="s">
        <v>52</v>
      </c>
      <c r="L175">
        <v>44</v>
      </c>
      <c r="M175">
        <v>1</v>
      </c>
      <c r="N175">
        <v>25</v>
      </c>
      <c r="O175" t="s">
        <v>443</v>
      </c>
      <c r="P175" t="s">
        <v>75</v>
      </c>
      <c r="Q175" t="s">
        <v>31</v>
      </c>
      <c r="R175" t="s">
        <v>43</v>
      </c>
      <c r="S175" t="s">
        <v>129</v>
      </c>
      <c r="T175">
        <v>4</v>
      </c>
      <c r="U175">
        <v>524.5</v>
      </c>
      <c r="V175">
        <v>199.37</v>
      </c>
      <c r="W175">
        <v>3</v>
      </c>
      <c r="X175" t="str">
        <f>TEXT(cleaneddata[[#This Row],[Order Date]],"mmm")</f>
        <v>Jun</v>
      </c>
      <c r="Y175">
        <f>cleaneddata[[#This Row],[Unit Price]]*cleaneddata[[#This Row],[Quantity]]*(1-cleaneddata[[#This Row],[Discount %]]/100)</f>
        <v>393.375</v>
      </c>
      <c r="Z175">
        <f>cleaneddata[[#This Row],[sales]]-cleaneddata[[#This Row],[Cost]]</f>
        <v>194.005</v>
      </c>
    </row>
    <row r="176" spans="1:26" x14ac:dyDescent="0.3">
      <c r="A176" t="s">
        <v>575</v>
      </c>
      <c r="B176" s="1">
        <v>45874</v>
      </c>
      <c r="C176" t="s">
        <v>576</v>
      </c>
      <c r="D176" t="s">
        <v>3559</v>
      </c>
      <c r="E176" s="1">
        <v>45875</v>
      </c>
      <c r="F176" t="s">
        <v>2617</v>
      </c>
      <c r="G176" t="s">
        <v>27</v>
      </c>
      <c r="H176" t="s">
        <v>28</v>
      </c>
      <c r="I176" t="s">
        <v>2629</v>
      </c>
      <c r="J176" t="s">
        <v>2709</v>
      </c>
      <c r="K176" t="s">
        <v>52</v>
      </c>
      <c r="L176">
        <v>57</v>
      </c>
      <c r="M176">
        <v>1</v>
      </c>
      <c r="N176">
        <v>5</v>
      </c>
      <c r="O176" t="s">
        <v>577</v>
      </c>
      <c r="P176" t="s">
        <v>44</v>
      </c>
      <c r="Q176" t="s">
        <v>31</v>
      </c>
      <c r="R176" t="s">
        <v>71</v>
      </c>
      <c r="S176" t="s">
        <v>30</v>
      </c>
      <c r="T176">
        <v>3</v>
      </c>
      <c r="U176">
        <v>332.27</v>
      </c>
      <c r="V176">
        <v>266.27999999999997</v>
      </c>
      <c r="W176">
        <v>1</v>
      </c>
      <c r="X176" t="str">
        <f>TEXT(cleaneddata[[#This Row],[Order Date]],"mmm")</f>
        <v>Aug</v>
      </c>
      <c r="Y176">
        <f>cleaneddata[[#This Row],[Unit Price]]*cleaneddata[[#This Row],[Quantity]]*(1-cleaneddata[[#This Row],[Discount %]]/100)</f>
        <v>315.65649999999999</v>
      </c>
      <c r="Z176">
        <f>cleaneddata[[#This Row],[sales]]-cleaneddata[[#This Row],[Cost]]</f>
        <v>49.376500000000021</v>
      </c>
    </row>
    <row r="177" spans="1:26" x14ac:dyDescent="0.3">
      <c r="A177" t="s">
        <v>578</v>
      </c>
      <c r="B177" s="1">
        <v>46121</v>
      </c>
      <c r="C177" t="s">
        <v>579</v>
      </c>
      <c r="D177" t="s">
        <v>3558</v>
      </c>
      <c r="E177" s="1">
        <v>46126</v>
      </c>
      <c r="F177" t="s">
        <v>115</v>
      </c>
      <c r="G177" t="s">
        <v>66</v>
      </c>
      <c r="H177" t="s">
        <v>114</v>
      </c>
      <c r="I177" t="s">
        <v>2634</v>
      </c>
      <c r="J177" t="s">
        <v>2650</v>
      </c>
      <c r="K177" t="s">
        <v>25</v>
      </c>
      <c r="L177">
        <v>64</v>
      </c>
      <c r="M177">
        <v>3</v>
      </c>
      <c r="N177">
        <v>5</v>
      </c>
      <c r="O177" t="s">
        <v>580</v>
      </c>
      <c r="P177" t="s">
        <v>44</v>
      </c>
      <c r="Q177" t="s">
        <v>58</v>
      </c>
      <c r="R177" t="s">
        <v>43</v>
      </c>
      <c r="S177" t="s">
        <v>116</v>
      </c>
      <c r="T177">
        <v>3</v>
      </c>
      <c r="U177">
        <v>706.53</v>
      </c>
      <c r="V177">
        <v>1164.83</v>
      </c>
      <c r="W177">
        <v>5</v>
      </c>
      <c r="X177" t="str">
        <f>TEXT(cleaneddata[[#This Row],[Order Date]],"mmm")</f>
        <v>Apr</v>
      </c>
      <c r="Y177">
        <f>cleaneddata[[#This Row],[Unit Price]]*cleaneddata[[#This Row],[Quantity]]*(1-cleaneddata[[#This Row],[Discount %]]/100)</f>
        <v>2013.6105</v>
      </c>
      <c r="Z177">
        <f>cleaneddata[[#This Row],[sales]]-cleaneddata[[#This Row],[Cost]]</f>
        <v>848.78050000000007</v>
      </c>
    </row>
    <row r="178" spans="1:26" x14ac:dyDescent="0.3">
      <c r="A178" t="s">
        <v>581</v>
      </c>
      <c r="B178" s="1">
        <v>45713</v>
      </c>
      <c r="C178" t="s">
        <v>582</v>
      </c>
      <c r="D178" t="s">
        <v>3557</v>
      </c>
      <c r="E178" s="1">
        <v>45719</v>
      </c>
      <c r="F178" t="s">
        <v>40</v>
      </c>
      <c r="G178" t="s">
        <v>38</v>
      </c>
      <c r="H178" t="s">
        <v>39</v>
      </c>
      <c r="I178" t="s">
        <v>2654</v>
      </c>
      <c r="J178" t="s">
        <v>2702</v>
      </c>
      <c r="K178" t="s">
        <v>25</v>
      </c>
      <c r="L178">
        <v>38</v>
      </c>
      <c r="M178">
        <v>5</v>
      </c>
      <c r="N178">
        <v>5</v>
      </c>
      <c r="O178" t="s">
        <v>583</v>
      </c>
      <c r="P178" t="s">
        <v>33</v>
      </c>
      <c r="Q178" t="s">
        <v>31</v>
      </c>
      <c r="R178" t="s">
        <v>71</v>
      </c>
      <c r="S178" t="s">
        <v>41</v>
      </c>
      <c r="T178">
        <v>4</v>
      </c>
      <c r="U178">
        <v>629.22</v>
      </c>
      <c r="V178">
        <v>2432.9899999999998</v>
      </c>
      <c r="W178">
        <v>6</v>
      </c>
      <c r="X178" t="str">
        <f>TEXT(cleaneddata[[#This Row],[Order Date]],"mmm")</f>
        <v>Feb</v>
      </c>
      <c r="Y178">
        <f>cleaneddata[[#This Row],[Unit Price]]*cleaneddata[[#This Row],[Quantity]]*(1-cleaneddata[[#This Row],[Discount %]]/100)</f>
        <v>2988.7950000000001</v>
      </c>
      <c r="Z178">
        <f>cleaneddata[[#This Row],[sales]]-cleaneddata[[#This Row],[Cost]]</f>
        <v>555.80500000000029</v>
      </c>
    </row>
    <row r="179" spans="1:26" x14ac:dyDescent="0.3">
      <c r="A179" t="s">
        <v>584</v>
      </c>
      <c r="B179" s="1">
        <v>45810</v>
      </c>
      <c r="C179" t="s">
        <v>585</v>
      </c>
      <c r="D179" t="s">
        <v>3556</v>
      </c>
      <c r="E179" s="1">
        <v>45816</v>
      </c>
      <c r="F179" t="s">
        <v>100</v>
      </c>
      <c r="G179" t="s">
        <v>98</v>
      </c>
      <c r="H179" t="s">
        <v>99</v>
      </c>
      <c r="I179" t="s">
        <v>2633</v>
      </c>
      <c r="J179" t="s">
        <v>2636</v>
      </c>
      <c r="K179" t="s">
        <v>52</v>
      </c>
      <c r="L179">
        <v>46</v>
      </c>
      <c r="M179">
        <v>2</v>
      </c>
      <c r="N179">
        <v>30</v>
      </c>
      <c r="O179" t="s">
        <v>586</v>
      </c>
      <c r="P179" t="s">
        <v>44</v>
      </c>
      <c r="Q179" t="s">
        <v>117</v>
      </c>
      <c r="R179" t="s">
        <v>43</v>
      </c>
      <c r="S179" t="s">
        <v>101</v>
      </c>
      <c r="T179">
        <v>5</v>
      </c>
      <c r="U179">
        <v>103.74</v>
      </c>
      <c r="V179">
        <v>114.32</v>
      </c>
      <c r="W179">
        <v>6</v>
      </c>
      <c r="X179" t="str">
        <f>TEXT(cleaneddata[[#This Row],[Order Date]],"mmm")</f>
        <v>Jun</v>
      </c>
      <c r="Y179">
        <f>cleaneddata[[#This Row],[Unit Price]]*cleaneddata[[#This Row],[Quantity]]*(1-cleaneddata[[#This Row],[Discount %]]/100)</f>
        <v>145.23599999999999</v>
      </c>
      <c r="Z179">
        <f>cleaneddata[[#This Row],[sales]]-cleaneddata[[#This Row],[Cost]]</f>
        <v>30.915999999999997</v>
      </c>
    </row>
    <row r="180" spans="1:26" x14ac:dyDescent="0.3">
      <c r="A180" t="s">
        <v>587</v>
      </c>
      <c r="B180" s="1">
        <v>46137</v>
      </c>
      <c r="C180" t="s">
        <v>588</v>
      </c>
      <c r="D180" t="s">
        <v>3555</v>
      </c>
      <c r="E180" s="1">
        <v>46143</v>
      </c>
      <c r="F180" t="s">
        <v>122</v>
      </c>
      <c r="G180" t="s">
        <v>120</v>
      </c>
      <c r="H180" t="s">
        <v>121</v>
      </c>
      <c r="I180" t="s">
        <v>2625</v>
      </c>
      <c r="J180" t="s">
        <v>2626</v>
      </c>
      <c r="K180" t="s">
        <v>25</v>
      </c>
      <c r="L180">
        <v>34</v>
      </c>
      <c r="M180">
        <v>2</v>
      </c>
      <c r="N180">
        <v>30</v>
      </c>
      <c r="O180" t="s">
        <v>589</v>
      </c>
      <c r="P180" t="s">
        <v>33</v>
      </c>
      <c r="Q180" t="s">
        <v>42</v>
      </c>
      <c r="R180" t="s">
        <v>32</v>
      </c>
      <c r="S180" t="s">
        <v>123</v>
      </c>
      <c r="T180">
        <v>1</v>
      </c>
      <c r="U180">
        <v>564.77</v>
      </c>
      <c r="V180">
        <v>566.70000000000005</v>
      </c>
      <c r="W180">
        <v>6</v>
      </c>
      <c r="X180" t="str">
        <f>TEXT(cleaneddata[[#This Row],[Order Date]],"mmm")</f>
        <v>Apr</v>
      </c>
      <c r="Y180">
        <f>cleaneddata[[#This Row],[Unit Price]]*cleaneddata[[#This Row],[Quantity]]*(1-cleaneddata[[#This Row],[Discount %]]/100)</f>
        <v>790.67799999999988</v>
      </c>
      <c r="Z180">
        <f>cleaneddata[[#This Row],[sales]]-cleaneddata[[#This Row],[Cost]]</f>
        <v>223.97799999999984</v>
      </c>
    </row>
    <row r="181" spans="1:26" x14ac:dyDescent="0.3">
      <c r="A181" t="s">
        <v>590</v>
      </c>
      <c r="B181" s="1">
        <v>45318</v>
      </c>
      <c r="C181" t="s">
        <v>591</v>
      </c>
      <c r="D181" t="s">
        <v>3554</v>
      </c>
      <c r="E181" s="1">
        <v>45320</v>
      </c>
      <c r="F181" t="s">
        <v>2617</v>
      </c>
      <c r="G181" t="s">
        <v>27</v>
      </c>
      <c r="H181" t="s">
        <v>28</v>
      </c>
      <c r="I181" t="s">
        <v>2631</v>
      </c>
      <c r="J181" t="s">
        <v>2694</v>
      </c>
      <c r="K181" t="s">
        <v>52</v>
      </c>
      <c r="L181">
        <v>19</v>
      </c>
      <c r="M181">
        <v>1</v>
      </c>
      <c r="N181">
        <v>0</v>
      </c>
      <c r="O181" t="s">
        <v>592</v>
      </c>
      <c r="P181" t="s">
        <v>33</v>
      </c>
      <c r="Q181" t="s">
        <v>58</v>
      </c>
      <c r="R181" t="s">
        <v>32</v>
      </c>
      <c r="S181" t="s">
        <v>30</v>
      </c>
      <c r="T181">
        <v>1</v>
      </c>
      <c r="U181">
        <v>458.46</v>
      </c>
      <c r="V181">
        <v>355.28</v>
      </c>
      <c r="W181">
        <v>2</v>
      </c>
      <c r="X181" t="str">
        <f>TEXT(cleaneddata[[#This Row],[Order Date]],"mmm")</f>
        <v>Jan</v>
      </c>
      <c r="Y181">
        <f>cleaneddata[[#This Row],[Unit Price]]*cleaneddata[[#This Row],[Quantity]]*(1-cleaneddata[[#This Row],[Discount %]]/100)</f>
        <v>458.46</v>
      </c>
      <c r="Z181">
        <f>cleaneddata[[#This Row],[sales]]-cleaneddata[[#This Row],[Cost]]</f>
        <v>103.18</v>
      </c>
    </row>
    <row r="182" spans="1:26" x14ac:dyDescent="0.3">
      <c r="A182" t="s">
        <v>593</v>
      </c>
      <c r="B182" s="1">
        <v>45465</v>
      </c>
      <c r="C182" t="s">
        <v>594</v>
      </c>
      <c r="D182" t="s">
        <v>3553</v>
      </c>
      <c r="E182" s="1">
        <v>45468</v>
      </c>
      <c r="F182" t="s">
        <v>2617</v>
      </c>
      <c r="G182" t="s">
        <v>27</v>
      </c>
      <c r="H182" t="s">
        <v>28</v>
      </c>
      <c r="I182" t="s">
        <v>2672</v>
      </c>
      <c r="J182" t="s">
        <v>2690</v>
      </c>
      <c r="K182" t="s">
        <v>52</v>
      </c>
      <c r="L182">
        <v>55</v>
      </c>
      <c r="M182">
        <v>2</v>
      </c>
      <c r="N182">
        <v>20</v>
      </c>
      <c r="O182" t="s">
        <v>595</v>
      </c>
      <c r="P182" t="s">
        <v>44</v>
      </c>
      <c r="Q182" t="s">
        <v>70</v>
      </c>
      <c r="R182" t="s">
        <v>43</v>
      </c>
      <c r="S182" t="s">
        <v>30</v>
      </c>
      <c r="T182">
        <v>5</v>
      </c>
      <c r="U182">
        <v>62.56</v>
      </c>
      <c r="V182">
        <v>50.41</v>
      </c>
      <c r="W182">
        <v>3</v>
      </c>
      <c r="X182" t="str">
        <f>TEXT(cleaneddata[[#This Row],[Order Date]],"mmm")</f>
        <v>Jun</v>
      </c>
      <c r="Y182">
        <f>cleaneddata[[#This Row],[Unit Price]]*cleaneddata[[#This Row],[Quantity]]*(1-cleaneddata[[#This Row],[Discount %]]/100)</f>
        <v>100.096</v>
      </c>
      <c r="Z182">
        <f>cleaneddata[[#This Row],[sales]]-cleaneddata[[#This Row],[Cost]]</f>
        <v>49.686000000000007</v>
      </c>
    </row>
    <row r="183" spans="1:26" x14ac:dyDescent="0.3">
      <c r="A183" t="s">
        <v>596</v>
      </c>
      <c r="B183" s="1">
        <v>46085</v>
      </c>
      <c r="C183" t="s">
        <v>597</v>
      </c>
      <c r="D183" t="s">
        <v>3552</v>
      </c>
      <c r="E183" s="1">
        <v>46087</v>
      </c>
      <c r="F183" t="s">
        <v>122</v>
      </c>
      <c r="G183" t="s">
        <v>120</v>
      </c>
      <c r="H183" t="s">
        <v>121</v>
      </c>
      <c r="I183" t="s">
        <v>2639</v>
      </c>
      <c r="J183" t="s">
        <v>2704</v>
      </c>
      <c r="K183" t="s">
        <v>52</v>
      </c>
      <c r="L183">
        <v>59</v>
      </c>
      <c r="M183">
        <v>5</v>
      </c>
      <c r="N183">
        <v>25</v>
      </c>
      <c r="O183" t="s">
        <v>156</v>
      </c>
      <c r="P183" t="s">
        <v>33</v>
      </c>
      <c r="Q183" t="s">
        <v>58</v>
      </c>
      <c r="R183" t="s">
        <v>62</v>
      </c>
      <c r="S183" t="s">
        <v>123</v>
      </c>
      <c r="T183">
        <v>4</v>
      </c>
      <c r="U183">
        <v>950.02</v>
      </c>
      <c r="V183">
        <v>2639.37</v>
      </c>
      <c r="W183">
        <v>2</v>
      </c>
      <c r="X183" t="str">
        <f>TEXT(cleaneddata[[#This Row],[Order Date]],"mmm")</f>
        <v>Mar</v>
      </c>
      <c r="Y183">
        <f>cleaneddata[[#This Row],[Unit Price]]*cleaneddata[[#This Row],[Quantity]]*(1-cleaneddata[[#This Row],[Discount %]]/100)</f>
        <v>3562.5750000000003</v>
      </c>
      <c r="Z183">
        <f>cleaneddata[[#This Row],[sales]]-cleaneddata[[#This Row],[Cost]]</f>
        <v>923.20500000000038</v>
      </c>
    </row>
    <row r="184" spans="1:26" x14ac:dyDescent="0.3">
      <c r="A184" t="s">
        <v>598</v>
      </c>
      <c r="B184" s="1">
        <v>45706</v>
      </c>
      <c r="C184" t="s">
        <v>599</v>
      </c>
      <c r="D184" t="s">
        <v>3551</v>
      </c>
      <c r="E184" s="1">
        <v>45712</v>
      </c>
      <c r="F184" t="s">
        <v>122</v>
      </c>
      <c r="G184" t="s">
        <v>120</v>
      </c>
      <c r="H184" t="s">
        <v>121</v>
      </c>
      <c r="I184" t="s">
        <v>2623</v>
      </c>
      <c r="J184" t="s">
        <v>2624</v>
      </c>
      <c r="K184" t="s">
        <v>52</v>
      </c>
      <c r="L184">
        <v>28</v>
      </c>
      <c r="M184">
        <v>4</v>
      </c>
      <c r="N184">
        <v>5</v>
      </c>
      <c r="O184" t="s">
        <v>600</v>
      </c>
      <c r="P184" t="s">
        <v>33</v>
      </c>
      <c r="Q184" t="s">
        <v>117</v>
      </c>
      <c r="R184" t="s">
        <v>62</v>
      </c>
      <c r="S184" t="s">
        <v>123</v>
      </c>
      <c r="T184">
        <v>5</v>
      </c>
      <c r="U184">
        <v>971.62</v>
      </c>
      <c r="V184">
        <v>2710.17</v>
      </c>
      <c r="W184">
        <v>6</v>
      </c>
      <c r="X184" t="str">
        <f>TEXT(cleaneddata[[#This Row],[Order Date]],"mmm")</f>
        <v>Feb</v>
      </c>
      <c r="Y184">
        <f>cleaneddata[[#This Row],[Unit Price]]*cleaneddata[[#This Row],[Quantity]]*(1-cleaneddata[[#This Row],[Discount %]]/100)</f>
        <v>3692.1559999999999</v>
      </c>
      <c r="Z184">
        <f>cleaneddata[[#This Row],[sales]]-cleaneddata[[#This Row],[Cost]]</f>
        <v>981.98599999999988</v>
      </c>
    </row>
    <row r="185" spans="1:26" x14ac:dyDescent="0.3">
      <c r="A185" t="s">
        <v>601</v>
      </c>
      <c r="B185" s="1">
        <v>45877</v>
      </c>
      <c r="C185" t="s">
        <v>602</v>
      </c>
      <c r="D185" t="s">
        <v>3550</v>
      </c>
      <c r="E185" s="1">
        <v>45883</v>
      </c>
      <c r="F185" t="s">
        <v>56</v>
      </c>
      <c r="G185" t="s">
        <v>54</v>
      </c>
      <c r="H185" t="s">
        <v>55</v>
      </c>
      <c r="I185" t="s">
        <v>2627</v>
      </c>
      <c r="J185" t="s">
        <v>2717</v>
      </c>
      <c r="K185" t="s">
        <v>25</v>
      </c>
      <c r="L185">
        <v>50</v>
      </c>
      <c r="M185">
        <v>3</v>
      </c>
      <c r="N185">
        <v>5</v>
      </c>
      <c r="O185" t="s">
        <v>603</v>
      </c>
      <c r="P185" t="s">
        <v>33</v>
      </c>
      <c r="Q185" t="s">
        <v>31</v>
      </c>
      <c r="R185" t="s">
        <v>32</v>
      </c>
      <c r="S185" t="s">
        <v>57</v>
      </c>
      <c r="T185">
        <v>3</v>
      </c>
      <c r="U185">
        <v>392.23</v>
      </c>
      <c r="V185">
        <v>887.96</v>
      </c>
      <c r="W185">
        <v>6</v>
      </c>
      <c r="X185" t="str">
        <f>TEXT(cleaneddata[[#This Row],[Order Date]],"mmm")</f>
        <v>Aug</v>
      </c>
      <c r="Y185">
        <f>cleaneddata[[#This Row],[Unit Price]]*cleaneddata[[#This Row],[Quantity]]*(1-cleaneddata[[#This Row],[Discount %]]/100)</f>
        <v>1117.8554999999999</v>
      </c>
      <c r="Z185">
        <f>cleaneddata[[#This Row],[sales]]-cleaneddata[[#This Row],[Cost]]</f>
        <v>229.89549999999986</v>
      </c>
    </row>
    <row r="186" spans="1:26" x14ac:dyDescent="0.3">
      <c r="A186" t="s">
        <v>604</v>
      </c>
      <c r="B186" s="1">
        <v>45318</v>
      </c>
      <c r="C186" t="s">
        <v>605</v>
      </c>
      <c r="D186" t="s">
        <v>3549</v>
      </c>
      <c r="E186" s="1">
        <v>45325</v>
      </c>
      <c r="F186" t="s">
        <v>68</v>
      </c>
      <c r="G186" t="s">
        <v>66</v>
      </c>
      <c r="H186" t="s">
        <v>67</v>
      </c>
      <c r="I186" t="s">
        <v>2672</v>
      </c>
      <c r="J186" t="s">
        <v>2716</v>
      </c>
      <c r="K186" t="s">
        <v>52</v>
      </c>
      <c r="L186">
        <v>30</v>
      </c>
      <c r="M186">
        <v>4</v>
      </c>
      <c r="N186">
        <v>0</v>
      </c>
      <c r="O186" t="s">
        <v>156</v>
      </c>
      <c r="P186" t="s">
        <v>75</v>
      </c>
      <c r="Q186" t="s">
        <v>70</v>
      </c>
      <c r="R186" t="s">
        <v>32</v>
      </c>
      <c r="S186" t="s">
        <v>69</v>
      </c>
      <c r="T186">
        <v>5</v>
      </c>
      <c r="U186">
        <v>636.87</v>
      </c>
      <c r="V186">
        <v>1543.83</v>
      </c>
      <c r="W186">
        <v>7</v>
      </c>
      <c r="X186" t="str">
        <f>TEXT(cleaneddata[[#This Row],[Order Date]],"mmm")</f>
        <v>Jan</v>
      </c>
      <c r="Y186">
        <f>cleaneddata[[#This Row],[Unit Price]]*cleaneddata[[#This Row],[Quantity]]*(1-cleaneddata[[#This Row],[Discount %]]/100)</f>
        <v>2547.48</v>
      </c>
      <c r="Z186">
        <f>cleaneddata[[#This Row],[sales]]-cleaneddata[[#This Row],[Cost]]</f>
        <v>1003.6500000000001</v>
      </c>
    </row>
    <row r="187" spans="1:26" x14ac:dyDescent="0.3">
      <c r="A187" t="s">
        <v>606</v>
      </c>
      <c r="B187" s="1">
        <v>46069</v>
      </c>
      <c r="C187" t="s">
        <v>607</v>
      </c>
      <c r="D187" t="s">
        <v>3548</v>
      </c>
      <c r="E187" s="1">
        <v>46072</v>
      </c>
      <c r="F187" t="s">
        <v>128</v>
      </c>
      <c r="G187" t="s">
        <v>98</v>
      </c>
      <c r="H187" t="s">
        <v>127</v>
      </c>
      <c r="I187" t="s">
        <v>2627</v>
      </c>
      <c r="J187" t="s">
        <v>2698</v>
      </c>
      <c r="K187" t="s">
        <v>25</v>
      </c>
      <c r="L187">
        <v>30</v>
      </c>
      <c r="M187">
        <v>5</v>
      </c>
      <c r="N187">
        <v>20</v>
      </c>
      <c r="O187" t="s">
        <v>608</v>
      </c>
      <c r="P187" t="s">
        <v>44</v>
      </c>
      <c r="Q187" t="s">
        <v>31</v>
      </c>
      <c r="R187" t="s">
        <v>43</v>
      </c>
      <c r="S187" t="s">
        <v>129</v>
      </c>
      <c r="T187">
        <v>5</v>
      </c>
      <c r="U187">
        <v>140.29</v>
      </c>
      <c r="V187">
        <v>332.32</v>
      </c>
      <c r="W187">
        <v>3</v>
      </c>
      <c r="X187" t="str">
        <f>TEXT(cleaneddata[[#This Row],[Order Date]],"mmm")</f>
        <v>Feb</v>
      </c>
      <c r="Y187">
        <f>cleaneddata[[#This Row],[Unit Price]]*cleaneddata[[#This Row],[Quantity]]*(1-cleaneddata[[#This Row],[Discount %]]/100)</f>
        <v>561.16</v>
      </c>
      <c r="Z187">
        <f>cleaneddata[[#This Row],[sales]]-cleaneddata[[#This Row],[Cost]]</f>
        <v>228.83999999999997</v>
      </c>
    </row>
    <row r="188" spans="1:26" x14ac:dyDescent="0.3">
      <c r="A188" t="s">
        <v>609</v>
      </c>
      <c r="B188" s="1">
        <v>45302</v>
      </c>
      <c r="C188" t="s">
        <v>610</v>
      </c>
      <c r="D188" t="s">
        <v>3547</v>
      </c>
      <c r="E188" s="1">
        <v>45306</v>
      </c>
      <c r="F188" t="s">
        <v>68</v>
      </c>
      <c r="G188" t="s">
        <v>66</v>
      </c>
      <c r="H188" t="s">
        <v>67</v>
      </c>
      <c r="I188" t="s">
        <v>2652</v>
      </c>
      <c r="J188" t="s">
        <v>2706</v>
      </c>
      <c r="K188" t="s">
        <v>25</v>
      </c>
      <c r="L188">
        <v>21</v>
      </c>
      <c r="M188">
        <v>5</v>
      </c>
      <c r="N188">
        <v>0</v>
      </c>
      <c r="O188" t="s">
        <v>371</v>
      </c>
      <c r="P188" t="s">
        <v>75</v>
      </c>
      <c r="Q188" t="s">
        <v>70</v>
      </c>
      <c r="R188" t="s">
        <v>71</v>
      </c>
      <c r="S188" t="s">
        <v>69</v>
      </c>
      <c r="T188">
        <v>2</v>
      </c>
      <c r="U188">
        <v>589.05999999999995</v>
      </c>
      <c r="V188">
        <v>1891.44</v>
      </c>
      <c r="W188">
        <v>4</v>
      </c>
      <c r="X188" t="str">
        <f>TEXT(cleaneddata[[#This Row],[Order Date]],"mmm")</f>
        <v>Jan</v>
      </c>
      <c r="Y188">
        <f>cleaneddata[[#This Row],[Unit Price]]*cleaneddata[[#This Row],[Quantity]]*(1-cleaneddata[[#This Row],[Discount %]]/100)</f>
        <v>2945.2999999999997</v>
      </c>
      <c r="Z188">
        <f>cleaneddata[[#This Row],[sales]]-cleaneddata[[#This Row],[Cost]]</f>
        <v>1053.8599999999997</v>
      </c>
    </row>
    <row r="189" spans="1:26" x14ac:dyDescent="0.3">
      <c r="A189" t="s">
        <v>611</v>
      </c>
      <c r="B189" s="1">
        <v>45369</v>
      </c>
      <c r="C189" t="s">
        <v>612</v>
      </c>
      <c r="D189" t="s">
        <v>3546</v>
      </c>
      <c r="E189" s="1">
        <v>45372</v>
      </c>
      <c r="F189" t="s">
        <v>128</v>
      </c>
      <c r="G189" t="s">
        <v>98</v>
      </c>
      <c r="H189" t="s">
        <v>127</v>
      </c>
      <c r="I189" t="s">
        <v>2622</v>
      </c>
      <c r="J189" t="s">
        <v>2704</v>
      </c>
      <c r="K189" t="s">
        <v>25</v>
      </c>
      <c r="L189">
        <v>57</v>
      </c>
      <c r="M189">
        <v>3</v>
      </c>
      <c r="N189">
        <v>0</v>
      </c>
      <c r="O189" t="s">
        <v>613</v>
      </c>
      <c r="P189" t="s">
        <v>44</v>
      </c>
      <c r="Q189" t="s">
        <v>42</v>
      </c>
      <c r="R189" t="s">
        <v>62</v>
      </c>
      <c r="S189" t="s">
        <v>129</v>
      </c>
      <c r="T189">
        <v>1</v>
      </c>
      <c r="U189">
        <v>764.86</v>
      </c>
      <c r="V189">
        <v>1623.84</v>
      </c>
      <c r="W189">
        <v>3</v>
      </c>
      <c r="X189" t="str">
        <f>TEXT(cleaneddata[[#This Row],[Order Date]],"mmm")</f>
        <v>Mar</v>
      </c>
      <c r="Y189">
        <f>cleaneddata[[#This Row],[Unit Price]]*cleaneddata[[#This Row],[Quantity]]*(1-cleaneddata[[#This Row],[Discount %]]/100)</f>
        <v>2294.58</v>
      </c>
      <c r="Z189">
        <f>cleaneddata[[#This Row],[sales]]-cleaneddata[[#This Row],[Cost]]</f>
        <v>670.74</v>
      </c>
    </row>
    <row r="190" spans="1:26" x14ac:dyDescent="0.3">
      <c r="A190" t="s">
        <v>614</v>
      </c>
      <c r="B190" s="1">
        <v>45974</v>
      </c>
      <c r="C190" t="s">
        <v>615</v>
      </c>
      <c r="D190" t="s">
        <v>3545</v>
      </c>
      <c r="E190" s="1">
        <v>45980</v>
      </c>
      <c r="F190" t="s">
        <v>128</v>
      </c>
      <c r="G190" t="s">
        <v>98</v>
      </c>
      <c r="H190" t="s">
        <v>127</v>
      </c>
      <c r="I190" t="s">
        <v>2623</v>
      </c>
      <c r="J190" t="s">
        <v>2701</v>
      </c>
      <c r="K190" t="s">
        <v>52</v>
      </c>
      <c r="L190">
        <v>24</v>
      </c>
      <c r="M190">
        <v>4</v>
      </c>
      <c r="N190">
        <v>20</v>
      </c>
      <c r="O190" t="s">
        <v>616</v>
      </c>
      <c r="P190" t="s">
        <v>44</v>
      </c>
      <c r="Q190" t="s">
        <v>42</v>
      </c>
      <c r="R190" t="s">
        <v>71</v>
      </c>
      <c r="S190" t="s">
        <v>129</v>
      </c>
      <c r="T190">
        <v>2</v>
      </c>
      <c r="U190">
        <v>346.58</v>
      </c>
      <c r="V190">
        <v>940.76</v>
      </c>
      <c r="W190">
        <v>6</v>
      </c>
      <c r="X190" t="str">
        <f>TEXT(cleaneddata[[#This Row],[Order Date]],"mmm")</f>
        <v>Nov</v>
      </c>
      <c r="Y190">
        <f>cleaneddata[[#This Row],[Unit Price]]*cleaneddata[[#This Row],[Quantity]]*(1-cleaneddata[[#This Row],[Discount %]]/100)</f>
        <v>1109.056</v>
      </c>
      <c r="Z190">
        <f>cleaneddata[[#This Row],[sales]]-cleaneddata[[#This Row],[Cost]]</f>
        <v>168.29600000000005</v>
      </c>
    </row>
    <row r="191" spans="1:26" x14ac:dyDescent="0.3">
      <c r="A191" t="s">
        <v>617</v>
      </c>
      <c r="B191" s="1">
        <v>45923</v>
      </c>
      <c r="C191" t="s">
        <v>618</v>
      </c>
      <c r="D191" t="s">
        <v>3544</v>
      </c>
      <c r="E191" s="1">
        <v>45925</v>
      </c>
      <c r="F191" t="s">
        <v>122</v>
      </c>
      <c r="G191" t="s">
        <v>120</v>
      </c>
      <c r="H191" t="s">
        <v>121</v>
      </c>
      <c r="I191" t="s">
        <v>2631</v>
      </c>
      <c r="J191" t="s">
        <v>2711</v>
      </c>
      <c r="K191" t="s">
        <v>52</v>
      </c>
      <c r="L191">
        <v>42</v>
      </c>
      <c r="M191">
        <v>1</v>
      </c>
      <c r="N191">
        <v>0</v>
      </c>
      <c r="O191" t="s">
        <v>619</v>
      </c>
      <c r="P191" t="s">
        <v>75</v>
      </c>
      <c r="Q191" t="s">
        <v>58</v>
      </c>
      <c r="R191" t="s">
        <v>62</v>
      </c>
      <c r="S191" t="s">
        <v>123</v>
      </c>
      <c r="T191">
        <v>5</v>
      </c>
      <c r="U191">
        <v>992.73</v>
      </c>
      <c r="V191">
        <v>835.49</v>
      </c>
      <c r="W191">
        <v>2</v>
      </c>
      <c r="X191" t="str">
        <f>TEXT(cleaneddata[[#This Row],[Order Date]],"mmm")</f>
        <v>Sep</v>
      </c>
      <c r="Y191">
        <f>cleaneddata[[#This Row],[Unit Price]]*cleaneddata[[#This Row],[Quantity]]*(1-cleaneddata[[#This Row],[Discount %]]/100)</f>
        <v>992.73</v>
      </c>
      <c r="Z191">
        <f>cleaneddata[[#This Row],[sales]]-cleaneddata[[#This Row],[Cost]]</f>
        <v>157.24</v>
      </c>
    </row>
    <row r="192" spans="1:26" x14ac:dyDescent="0.3">
      <c r="A192" t="s">
        <v>620</v>
      </c>
      <c r="B192" s="1">
        <v>45540</v>
      </c>
      <c r="C192" t="s">
        <v>621</v>
      </c>
      <c r="D192" t="s">
        <v>3543</v>
      </c>
      <c r="E192" s="1">
        <v>45541</v>
      </c>
      <c r="F192" t="s">
        <v>122</v>
      </c>
      <c r="G192" t="s">
        <v>120</v>
      </c>
      <c r="H192" t="s">
        <v>121</v>
      </c>
      <c r="I192" t="s">
        <v>2634</v>
      </c>
      <c r="J192" t="s">
        <v>2714</v>
      </c>
      <c r="K192" t="s">
        <v>52</v>
      </c>
      <c r="L192">
        <v>26</v>
      </c>
      <c r="M192">
        <v>5</v>
      </c>
      <c r="N192">
        <v>15</v>
      </c>
      <c r="O192" t="s">
        <v>622</v>
      </c>
      <c r="P192" t="s">
        <v>75</v>
      </c>
      <c r="Q192" t="s">
        <v>58</v>
      </c>
      <c r="R192" t="s">
        <v>62</v>
      </c>
      <c r="S192" t="s">
        <v>123</v>
      </c>
      <c r="T192">
        <v>4</v>
      </c>
      <c r="U192">
        <v>239.36</v>
      </c>
      <c r="V192">
        <v>725.35</v>
      </c>
      <c r="W192">
        <v>1</v>
      </c>
      <c r="X192" t="str">
        <f>TEXT(cleaneddata[[#This Row],[Order Date]],"mmm")</f>
        <v>Sep</v>
      </c>
      <c r="Y192">
        <f>cleaneddata[[#This Row],[Unit Price]]*cleaneddata[[#This Row],[Quantity]]*(1-cleaneddata[[#This Row],[Discount %]]/100)</f>
        <v>1017.2800000000001</v>
      </c>
      <c r="Z192">
        <f>cleaneddata[[#This Row],[sales]]-cleaneddata[[#This Row],[Cost]]</f>
        <v>291.93000000000006</v>
      </c>
    </row>
    <row r="193" spans="1:26" x14ac:dyDescent="0.3">
      <c r="A193" t="s">
        <v>623</v>
      </c>
      <c r="B193" s="1">
        <v>46185</v>
      </c>
      <c r="C193" t="s">
        <v>624</v>
      </c>
      <c r="D193" t="s">
        <v>3542</v>
      </c>
      <c r="E193" s="1">
        <v>46190</v>
      </c>
      <c r="F193" t="s">
        <v>140</v>
      </c>
      <c r="G193" t="s">
        <v>38</v>
      </c>
      <c r="H193" t="s">
        <v>139</v>
      </c>
      <c r="I193" t="s">
        <v>2629</v>
      </c>
      <c r="J193" t="s">
        <v>2697</v>
      </c>
      <c r="K193" t="s">
        <v>52</v>
      </c>
      <c r="L193">
        <v>62</v>
      </c>
      <c r="M193">
        <v>2</v>
      </c>
      <c r="N193">
        <v>5</v>
      </c>
      <c r="O193" t="s">
        <v>625</v>
      </c>
      <c r="P193" t="s">
        <v>44</v>
      </c>
      <c r="Q193" t="s">
        <v>70</v>
      </c>
      <c r="R193" t="s">
        <v>32</v>
      </c>
      <c r="S193" t="s">
        <v>141</v>
      </c>
      <c r="T193">
        <v>3</v>
      </c>
      <c r="U193">
        <v>193.23</v>
      </c>
      <c r="V193">
        <v>209.06</v>
      </c>
      <c r="W193">
        <v>5</v>
      </c>
      <c r="X193" t="str">
        <f>TEXT(cleaneddata[[#This Row],[Order Date]],"mmm")</f>
        <v>Jun</v>
      </c>
      <c r="Y193">
        <f>cleaneddata[[#This Row],[Unit Price]]*cleaneddata[[#This Row],[Quantity]]*(1-cleaneddata[[#This Row],[Discount %]]/100)</f>
        <v>367.13699999999994</v>
      </c>
      <c r="Z193">
        <f>cleaneddata[[#This Row],[sales]]-cleaneddata[[#This Row],[Cost]]</f>
        <v>158.07699999999994</v>
      </c>
    </row>
    <row r="194" spans="1:26" x14ac:dyDescent="0.3">
      <c r="A194" t="s">
        <v>626</v>
      </c>
      <c r="B194" s="1">
        <v>45788</v>
      </c>
      <c r="C194" t="s">
        <v>627</v>
      </c>
      <c r="D194" t="s">
        <v>3541</v>
      </c>
      <c r="E194" s="1">
        <v>45793</v>
      </c>
      <c r="F194" t="s">
        <v>2617</v>
      </c>
      <c r="G194" t="s">
        <v>27</v>
      </c>
      <c r="H194" t="s">
        <v>28</v>
      </c>
      <c r="I194" t="s">
        <v>2635</v>
      </c>
      <c r="J194" t="s">
        <v>2720</v>
      </c>
      <c r="K194" t="s">
        <v>25</v>
      </c>
      <c r="L194">
        <v>30</v>
      </c>
      <c r="M194">
        <v>5</v>
      </c>
      <c r="N194">
        <v>25</v>
      </c>
      <c r="O194" t="s">
        <v>628</v>
      </c>
      <c r="P194" t="s">
        <v>33</v>
      </c>
      <c r="Q194" t="s">
        <v>117</v>
      </c>
      <c r="R194" t="s">
        <v>43</v>
      </c>
      <c r="S194" t="s">
        <v>30</v>
      </c>
      <c r="T194">
        <v>2</v>
      </c>
      <c r="U194">
        <v>457.4</v>
      </c>
      <c r="V194">
        <v>1387.55</v>
      </c>
      <c r="W194">
        <v>5</v>
      </c>
      <c r="X194" t="str">
        <f>TEXT(cleaneddata[[#This Row],[Order Date]],"mmm")</f>
        <v>May</v>
      </c>
      <c r="Y194">
        <f>cleaneddata[[#This Row],[Unit Price]]*cleaneddata[[#This Row],[Quantity]]*(1-cleaneddata[[#This Row],[Discount %]]/100)</f>
        <v>1715.25</v>
      </c>
      <c r="Z194">
        <f>cleaneddata[[#This Row],[sales]]-cleaneddata[[#This Row],[Cost]]</f>
        <v>327.70000000000005</v>
      </c>
    </row>
    <row r="195" spans="1:26" x14ac:dyDescent="0.3">
      <c r="A195" t="s">
        <v>629</v>
      </c>
      <c r="B195" s="1">
        <v>45685</v>
      </c>
      <c r="C195" t="s">
        <v>630</v>
      </c>
      <c r="D195" t="s">
        <v>3540</v>
      </c>
      <c r="E195" s="1">
        <v>45688</v>
      </c>
      <c r="F195" t="s">
        <v>2617</v>
      </c>
      <c r="G195" t="s">
        <v>27</v>
      </c>
      <c r="H195" t="s">
        <v>28</v>
      </c>
      <c r="I195" t="s">
        <v>2623</v>
      </c>
      <c r="J195" t="s">
        <v>2701</v>
      </c>
      <c r="K195" t="s">
        <v>52</v>
      </c>
      <c r="L195">
        <v>42</v>
      </c>
      <c r="M195">
        <v>2</v>
      </c>
      <c r="N195">
        <v>25</v>
      </c>
      <c r="O195" t="s">
        <v>631</v>
      </c>
      <c r="P195" t="s">
        <v>75</v>
      </c>
      <c r="Q195" t="s">
        <v>31</v>
      </c>
      <c r="R195" t="s">
        <v>71</v>
      </c>
      <c r="S195" t="s">
        <v>30</v>
      </c>
      <c r="T195">
        <v>2</v>
      </c>
      <c r="U195">
        <v>138.41</v>
      </c>
      <c r="V195">
        <v>169.14</v>
      </c>
      <c r="W195">
        <v>3</v>
      </c>
      <c r="X195" t="str">
        <f>TEXT(cleaneddata[[#This Row],[Order Date]],"mmm")</f>
        <v>Jan</v>
      </c>
      <c r="Y195">
        <f>cleaneddata[[#This Row],[Unit Price]]*cleaneddata[[#This Row],[Quantity]]*(1-cleaneddata[[#This Row],[Discount %]]/100)</f>
        <v>207.61500000000001</v>
      </c>
      <c r="Z195">
        <f>cleaneddata[[#This Row],[sales]]-cleaneddata[[#This Row],[Cost]]</f>
        <v>38.475000000000023</v>
      </c>
    </row>
    <row r="196" spans="1:26" x14ac:dyDescent="0.3">
      <c r="A196" t="s">
        <v>632</v>
      </c>
      <c r="B196" s="1">
        <v>45694</v>
      </c>
      <c r="C196" t="s">
        <v>633</v>
      </c>
      <c r="D196" t="s">
        <v>3539</v>
      </c>
      <c r="E196" s="1">
        <v>45701</v>
      </c>
      <c r="F196" t="s">
        <v>100</v>
      </c>
      <c r="G196" t="s">
        <v>98</v>
      </c>
      <c r="H196" t="s">
        <v>99</v>
      </c>
      <c r="I196" t="s">
        <v>2625</v>
      </c>
      <c r="J196" t="s">
        <v>2703</v>
      </c>
      <c r="K196" t="s">
        <v>25</v>
      </c>
      <c r="L196">
        <v>45</v>
      </c>
      <c r="M196">
        <v>1</v>
      </c>
      <c r="N196">
        <v>0</v>
      </c>
      <c r="O196" t="s">
        <v>634</v>
      </c>
      <c r="P196" t="s">
        <v>44</v>
      </c>
      <c r="Q196" t="s">
        <v>58</v>
      </c>
      <c r="R196" t="s">
        <v>32</v>
      </c>
      <c r="S196" t="s">
        <v>101</v>
      </c>
      <c r="T196">
        <v>4</v>
      </c>
      <c r="U196">
        <v>393.64</v>
      </c>
      <c r="V196">
        <v>225.7</v>
      </c>
      <c r="W196">
        <v>7</v>
      </c>
      <c r="X196" t="str">
        <f>TEXT(cleaneddata[[#This Row],[Order Date]],"mmm")</f>
        <v>Feb</v>
      </c>
      <c r="Y196">
        <f>cleaneddata[[#This Row],[Unit Price]]*cleaneddata[[#This Row],[Quantity]]*(1-cleaneddata[[#This Row],[Discount %]]/100)</f>
        <v>393.64</v>
      </c>
      <c r="Z196">
        <f>cleaneddata[[#This Row],[sales]]-cleaneddata[[#This Row],[Cost]]</f>
        <v>167.94</v>
      </c>
    </row>
    <row r="197" spans="1:26" x14ac:dyDescent="0.3">
      <c r="A197" t="s">
        <v>635</v>
      </c>
      <c r="B197" s="1">
        <v>45962</v>
      </c>
      <c r="C197" t="s">
        <v>636</v>
      </c>
      <c r="D197" t="s">
        <v>3538</v>
      </c>
      <c r="E197" s="1">
        <v>45967</v>
      </c>
      <c r="F197" t="s">
        <v>2617</v>
      </c>
      <c r="G197" t="s">
        <v>27</v>
      </c>
      <c r="H197" t="s">
        <v>28</v>
      </c>
      <c r="I197" t="s">
        <v>2633</v>
      </c>
      <c r="J197" t="s">
        <v>2678</v>
      </c>
      <c r="K197" t="s">
        <v>25</v>
      </c>
      <c r="L197">
        <v>45</v>
      </c>
      <c r="M197">
        <v>2</v>
      </c>
      <c r="N197">
        <v>15</v>
      </c>
      <c r="O197" t="s">
        <v>637</v>
      </c>
      <c r="P197" t="s">
        <v>33</v>
      </c>
      <c r="Q197" t="s">
        <v>31</v>
      </c>
      <c r="R197" t="s">
        <v>32</v>
      </c>
      <c r="S197" t="s">
        <v>30</v>
      </c>
      <c r="T197">
        <v>1</v>
      </c>
      <c r="U197">
        <v>773.2</v>
      </c>
      <c r="V197">
        <v>662.65</v>
      </c>
      <c r="W197">
        <v>5</v>
      </c>
      <c r="X197" t="str">
        <f>TEXT(cleaneddata[[#This Row],[Order Date]],"mmm")</f>
        <v>Nov</v>
      </c>
      <c r="Y197">
        <f>cleaneddata[[#This Row],[Unit Price]]*cleaneddata[[#This Row],[Quantity]]*(1-cleaneddata[[#This Row],[Discount %]]/100)</f>
        <v>1314.44</v>
      </c>
      <c r="Z197">
        <f>cleaneddata[[#This Row],[sales]]-cleaneddata[[#This Row],[Cost]]</f>
        <v>651.79000000000008</v>
      </c>
    </row>
    <row r="198" spans="1:26" x14ac:dyDescent="0.3">
      <c r="A198" t="s">
        <v>638</v>
      </c>
      <c r="B198" s="1">
        <v>45304</v>
      </c>
      <c r="C198" t="s">
        <v>639</v>
      </c>
      <c r="D198" t="s">
        <v>3537</v>
      </c>
      <c r="E198" s="1">
        <v>45310</v>
      </c>
      <c r="F198" t="s">
        <v>68</v>
      </c>
      <c r="G198" t="s">
        <v>66</v>
      </c>
      <c r="H198" t="s">
        <v>67</v>
      </c>
      <c r="I198" t="s">
        <v>2629</v>
      </c>
      <c r="J198" t="s">
        <v>2689</v>
      </c>
      <c r="K198" t="s">
        <v>25</v>
      </c>
      <c r="L198">
        <v>65</v>
      </c>
      <c r="M198">
        <v>1</v>
      </c>
      <c r="N198">
        <v>15</v>
      </c>
      <c r="O198" t="s">
        <v>640</v>
      </c>
      <c r="P198" t="s">
        <v>75</v>
      </c>
      <c r="Q198" t="s">
        <v>117</v>
      </c>
      <c r="R198" t="s">
        <v>43</v>
      </c>
      <c r="S198" t="s">
        <v>69</v>
      </c>
      <c r="T198">
        <v>4</v>
      </c>
      <c r="U198">
        <v>537.58000000000004</v>
      </c>
      <c r="V198">
        <v>245.76</v>
      </c>
      <c r="W198">
        <v>6</v>
      </c>
      <c r="X198" t="str">
        <f>TEXT(cleaneddata[[#This Row],[Order Date]],"mmm")</f>
        <v>Jan</v>
      </c>
      <c r="Y198">
        <f>cleaneddata[[#This Row],[Unit Price]]*cleaneddata[[#This Row],[Quantity]]*(1-cleaneddata[[#This Row],[Discount %]]/100)</f>
        <v>456.94300000000004</v>
      </c>
      <c r="Z198">
        <f>cleaneddata[[#This Row],[sales]]-cleaneddata[[#This Row],[Cost]]</f>
        <v>211.18300000000005</v>
      </c>
    </row>
    <row r="199" spans="1:26" x14ac:dyDescent="0.3">
      <c r="A199" t="s">
        <v>641</v>
      </c>
      <c r="B199" s="1">
        <v>45504</v>
      </c>
      <c r="C199" t="s">
        <v>642</v>
      </c>
      <c r="D199" t="s">
        <v>3536</v>
      </c>
      <c r="E199" s="1">
        <v>45509</v>
      </c>
      <c r="F199" t="s">
        <v>68</v>
      </c>
      <c r="G199" t="s">
        <v>66</v>
      </c>
      <c r="H199" t="s">
        <v>67</v>
      </c>
      <c r="I199" t="s">
        <v>2654</v>
      </c>
      <c r="J199" t="s">
        <v>2684</v>
      </c>
      <c r="K199" t="s">
        <v>52</v>
      </c>
      <c r="L199">
        <v>56</v>
      </c>
      <c r="M199">
        <v>4</v>
      </c>
      <c r="N199">
        <v>10</v>
      </c>
      <c r="O199" t="s">
        <v>643</v>
      </c>
      <c r="P199" t="s">
        <v>33</v>
      </c>
      <c r="Q199" t="s">
        <v>117</v>
      </c>
      <c r="R199" t="s">
        <v>71</v>
      </c>
      <c r="S199" t="s">
        <v>69</v>
      </c>
      <c r="T199">
        <v>5</v>
      </c>
      <c r="U199">
        <v>283.67</v>
      </c>
      <c r="V199">
        <v>656.08</v>
      </c>
      <c r="W199">
        <v>5</v>
      </c>
      <c r="X199" t="str">
        <f>TEXT(cleaneddata[[#This Row],[Order Date]],"mmm")</f>
        <v>Jul</v>
      </c>
      <c r="Y199">
        <f>cleaneddata[[#This Row],[Unit Price]]*cleaneddata[[#This Row],[Quantity]]*(1-cleaneddata[[#This Row],[Discount %]]/100)</f>
        <v>1021.2120000000001</v>
      </c>
      <c r="Z199">
        <f>cleaneddata[[#This Row],[sales]]-cleaneddata[[#This Row],[Cost]]</f>
        <v>365.13200000000006</v>
      </c>
    </row>
    <row r="200" spans="1:26" x14ac:dyDescent="0.3">
      <c r="A200" t="s">
        <v>644</v>
      </c>
      <c r="B200" s="1">
        <v>46047</v>
      </c>
      <c r="C200" t="s">
        <v>645</v>
      </c>
      <c r="D200" t="s">
        <v>3535</v>
      </c>
      <c r="E200" s="1">
        <v>46050</v>
      </c>
      <c r="F200" t="s">
        <v>128</v>
      </c>
      <c r="G200" t="s">
        <v>98</v>
      </c>
      <c r="H200" t="s">
        <v>127</v>
      </c>
      <c r="I200" t="s">
        <v>2627</v>
      </c>
      <c r="J200" t="s">
        <v>2628</v>
      </c>
      <c r="K200" t="s">
        <v>52</v>
      </c>
      <c r="L200">
        <v>64</v>
      </c>
      <c r="M200">
        <v>2</v>
      </c>
      <c r="N200">
        <v>30</v>
      </c>
      <c r="O200" t="s">
        <v>646</v>
      </c>
      <c r="P200" t="s">
        <v>75</v>
      </c>
      <c r="Q200" t="s">
        <v>31</v>
      </c>
      <c r="R200" t="s">
        <v>43</v>
      </c>
      <c r="S200" t="s">
        <v>129</v>
      </c>
      <c r="T200">
        <v>4</v>
      </c>
      <c r="U200">
        <v>902.22</v>
      </c>
      <c r="V200">
        <v>853.55</v>
      </c>
      <c r="W200">
        <v>3</v>
      </c>
      <c r="X200" t="str">
        <f>TEXT(cleaneddata[[#This Row],[Order Date]],"mmm")</f>
        <v>Jan</v>
      </c>
      <c r="Y200">
        <f>cleaneddata[[#This Row],[Unit Price]]*cleaneddata[[#This Row],[Quantity]]*(1-cleaneddata[[#This Row],[Discount %]]/100)</f>
        <v>1263.1079999999999</v>
      </c>
      <c r="Z200">
        <f>cleaneddata[[#This Row],[sales]]-cleaneddata[[#This Row],[Cost]]</f>
        <v>409.55799999999999</v>
      </c>
    </row>
    <row r="201" spans="1:26" x14ac:dyDescent="0.3">
      <c r="A201" t="s">
        <v>647</v>
      </c>
      <c r="B201" s="1">
        <v>45870</v>
      </c>
      <c r="C201" t="s">
        <v>648</v>
      </c>
      <c r="D201" t="s">
        <v>3534</v>
      </c>
      <c r="E201" s="1">
        <v>45877</v>
      </c>
      <c r="F201" t="s">
        <v>68</v>
      </c>
      <c r="G201" t="s">
        <v>66</v>
      </c>
      <c r="H201" t="s">
        <v>67</v>
      </c>
      <c r="I201" t="s">
        <v>2631</v>
      </c>
      <c r="J201" t="s">
        <v>2711</v>
      </c>
      <c r="K201" t="s">
        <v>52</v>
      </c>
      <c r="L201">
        <v>42</v>
      </c>
      <c r="M201">
        <v>2</v>
      </c>
      <c r="N201">
        <v>25</v>
      </c>
      <c r="O201" t="s">
        <v>649</v>
      </c>
      <c r="P201" t="s">
        <v>44</v>
      </c>
      <c r="Q201" t="s">
        <v>58</v>
      </c>
      <c r="R201" t="s">
        <v>43</v>
      </c>
      <c r="S201" t="s">
        <v>69</v>
      </c>
      <c r="T201">
        <v>1</v>
      </c>
      <c r="U201">
        <v>632.14</v>
      </c>
      <c r="V201">
        <v>789.49</v>
      </c>
      <c r="W201">
        <v>7</v>
      </c>
      <c r="X201" t="str">
        <f>TEXT(cleaneddata[[#This Row],[Order Date]],"mmm")</f>
        <v>Aug</v>
      </c>
      <c r="Y201">
        <f>cleaneddata[[#This Row],[Unit Price]]*cleaneddata[[#This Row],[Quantity]]*(1-cleaneddata[[#This Row],[Discount %]]/100)</f>
        <v>948.21</v>
      </c>
      <c r="Z201">
        <f>cleaneddata[[#This Row],[sales]]-cleaneddata[[#This Row],[Cost]]</f>
        <v>158.72000000000003</v>
      </c>
    </row>
    <row r="202" spans="1:26" x14ac:dyDescent="0.3">
      <c r="A202" t="s">
        <v>650</v>
      </c>
      <c r="B202" s="1">
        <v>45657</v>
      </c>
      <c r="C202" t="s">
        <v>651</v>
      </c>
      <c r="D202" t="s">
        <v>3533</v>
      </c>
      <c r="E202" s="1">
        <v>45660</v>
      </c>
      <c r="F202" t="s">
        <v>2617</v>
      </c>
      <c r="G202" t="s">
        <v>27</v>
      </c>
      <c r="H202" t="s">
        <v>28</v>
      </c>
      <c r="I202" t="s">
        <v>2629</v>
      </c>
      <c r="J202" t="s">
        <v>2709</v>
      </c>
      <c r="K202" t="s">
        <v>52</v>
      </c>
      <c r="L202">
        <v>18</v>
      </c>
      <c r="M202">
        <v>1</v>
      </c>
      <c r="N202">
        <v>15</v>
      </c>
      <c r="O202" t="s">
        <v>652</v>
      </c>
      <c r="P202" t="s">
        <v>44</v>
      </c>
      <c r="Q202" t="s">
        <v>58</v>
      </c>
      <c r="R202" t="s">
        <v>71</v>
      </c>
      <c r="S202" t="s">
        <v>30</v>
      </c>
      <c r="T202">
        <v>4</v>
      </c>
      <c r="U202">
        <v>810.04</v>
      </c>
      <c r="V202">
        <v>583.44000000000005</v>
      </c>
      <c r="W202">
        <v>3</v>
      </c>
      <c r="X202" t="str">
        <f>TEXT(cleaneddata[[#This Row],[Order Date]],"mmm")</f>
        <v>Dec</v>
      </c>
      <c r="Y202">
        <f>cleaneddata[[#This Row],[Unit Price]]*cleaneddata[[#This Row],[Quantity]]*(1-cleaneddata[[#This Row],[Discount %]]/100)</f>
        <v>688.53399999999999</v>
      </c>
      <c r="Z202">
        <f>cleaneddata[[#This Row],[sales]]-cleaneddata[[#This Row],[Cost]]</f>
        <v>105.09399999999994</v>
      </c>
    </row>
    <row r="203" spans="1:26" x14ac:dyDescent="0.3">
      <c r="A203" t="s">
        <v>653</v>
      </c>
      <c r="B203" s="1">
        <v>46109</v>
      </c>
      <c r="C203" t="s">
        <v>654</v>
      </c>
      <c r="D203" t="s">
        <v>3532</v>
      </c>
      <c r="E203" s="1">
        <v>46110</v>
      </c>
      <c r="F203" t="s">
        <v>56</v>
      </c>
      <c r="G203" t="s">
        <v>54</v>
      </c>
      <c r="H203" t="s">
        <v>55</v>
      </c>
      <c r="I203" t="s">
        <v>2634</v>
      </c>
      <c r="J203" t="s">
        <v>2714</v>
      </c>
      <c r="K203" t="s">
        <v>25</v>
      </c>
      <c r="L203">
        <v>62</v>
      </c>
      <c r="M203">
        <v>5</v>
      </c>
      <c r="N203">
        <v>20</v>
      </c>
      <c r="O203" t="s">
        <v>655</v>
      </c>
      <c r="P203" t="s">
        <v>75</v>
      </c>
      <c r="Q203" t="s">
        <v>117</v>
      </c>
      <c r="R203" t="s">
        <v>71</v>
      </c>
      <c r="S203" t="s">
        <v>57</v>
      </c>
      <c r="T203">
        <v>4</v>
      </c>
      <c r="U203">
        <v>341.26</v>
      </c>
      <c r="V203">
        <v>886.45</v>
      </c>
      <c r="W203">
        <v>1</v>
      </c>
      <c r="X203" t="str">
        <f>TEXT(cleaneddata[[#This Row],[Order Date]],"mmm")</f>
        <v>Mar</v>
      </c>
      <c r="Y203">
        <f>cleaneddata[[#This Row],[Unit Price]]*cleaneddata[[#This Row],[Quantity]]*(1-cleaneddata[[#This Row],[Discount %]]/100)</f>
        <v>1365.04</v>
      </c>
      <c r="Z203">
        <f>cleaneddata[[#This Row],[sales]]-cleaneddata[[#This Row],[Cost]]</f>
        <v>478.58999999999992</v>
      </c>
    </row>
    <row r="204" spans="1:26" x14ac:dyDescent="0.3">
      <c r="A204" t="s">
        <v>656</v>
      </c>
      <c r="B204" s="1">
        <v>45711</v>
      </c>
      <c r="C204" t="s">
        <v>657</v>
      </c>
      <c r="D204" t="s">
        <v>3531</v>
      </c>
      <c r="E204" s="1">
        <v>45713</v>
      </c>
      <c r="F204" t="s">
        <v>140</v>
      </c>
      <c r="G204" t="s">
        <v>38</v>
      </c>
      <c r="H204" t="s">
        <v>139</v>
      </c>
      <c r="I204" t="s">
        <v>2633</v>
      </c>
      <c r="J204" t="s">
        <v>2695</v>
      </c>
      <c r="K204" t="s">
        <v>25</v>
      </c>
      <c r="L204">
        <v>38</v>
      </c>
      <c r="M204">
        <v>4</v>
      </c>
      <c r="N204">
        <v>20</v>
      </c>
      <c r="O204" t="s">
        <v>658</v>
      </c>
      <c r="P204" t="s">
        <v>75</v>
      </c>
      <c r="Q204" t="s">
        <v>42</v>
      </c>
      <c r="R204" t="s">
        <v>71</v>
      </c>
      <c r="S204" t="s">
        <v>141</v>
      </c>
      <c r="T204">
        <v>2</v>
      </c>
      <c r="U204">
        <v>453.11</v>
      </c>
      <c r="V204">
        <v>763.3</v>
      </c>
      <c r="W204">
        <v>2</v>
      </c>
      <c r="X204" t="str">
        <f>TEXT(cleaneddata[[#This Row],[Order Date]],"mmm")</f>
        <v>Feb</v>
      </c>
      <c r="Y204">
        <f>cleaneddata[[#This Row],[Unit Price]]*cleaneddata[[#This Row],[Quantity]]*(1-cleaneddata[[#This Row],[Discount %]]/100)</f>
        <v>1449.9520000000002</v>
      </c>
      <c r="Z204">
        <f>cleaneddata[[#This Row],[sales]]-cleaneddata[[#This Row],[Cost]]</f>
        <v>686.65200000000027</v>
      </c>
    </row>
    <row r="205" spans="1:26" x14ac:dyDescent="0.3">
      <c r="A205" t="s">
        <v>659</v>
      </c>
      <c r="B205" s="1">
        <v>45876</v>
      </c>
      <c r="C205" t="s">
        <v>660</v>
      </c>
      <c r="D205" t="s">
        <v>3530</v>
      </c>
      <c r="E205" s="1">
        <v>45877</v>
      </c>
      <c r="F205" t="s">
        <v>2617</v>
      </c>
      <c r="G205" t="s">
        <v>27</v>
      </c>
      <c r="H205" t="s">
        <v>28</v>
      </c>
      <c r="I205" t="s">
        <v>2629</v>
      </c>
      <c r="J205" t="s">
        <v>2709</v>
      </c>
      <c r="K205" t="s">
        <v>25</v>
      </c>
      <c r="L205">
        <v>64</v>
      </c>
      <c r="M205">
        <v>1</v>
      </c>
      <c r="N205">
        <v>0</v>
      </c>
      <c r="O205" t="s">
        <v>586</v>
      </c>
      <c r="P205" t="s">
        <v>44</v>
      </c>
      <c r="Q205" t="s">
        <v>31</v>
      </c>
      <c r="R205" t="s">
        <v>71</v>
      </c>
      <c r="S205" t="s">
        <v>30</v>
      </c>
      <c r="T205">
        <v>1</v>
      </c>
      <c r="U205">
        <v>383.92</v>
      </c>
      <c r="V205">
        <v>279.76</v>
      </c>
      <c r="W205">
        <v>1</v>
      </c>
      <c r="X205" t="str">
        <f>TEXT(cleaneddata[[#This Row],[Order Date]],"mmm")</f>
        <v>Aug</v>
      </c>
      <c r="Y205">
        <f>cleaneddata[[#This Row],[Unit Price]]*cleaneddata[[#This Row],[Quantity]]*(1-cleaneddata[[#This Row],[Discount %]]/100)</f>
        <v>383.92</v>
      </c>
      <c r="Z205">
        <f>cleaneddata[[#This Row],[sales]]-cleaneddata[[#This Row],[Cost]]</f>
        <v>104.16000000000003</v>
      </c>
    </row>
    <row r="206" spans="1:26" x14ac:dyDescent="0.3">
      <c r="A206" t="s">
        <v>661</v>
      </c>
      <c r="B206" s="1">
        <v>46178</v>
      </c>
      <c r="C206" t="s">
        <v>662</v>
      </c>
      <c r="D206" t="s">
        <v>3529</v>
      </c>
      <c r="E206" s="1">
        <v>46184</v>
      </c>
      <c r="F206" t="s">
        <v>122</v>
      </c>
      <c r="G206" t="s">
        <v>120</v>
      </c>
      <c r="H206" t="s">
        <v>121</v>
      </c>
      <c r="I206" t="s">
        <v>2634</v>
      </c>
      <c r="J206" t="s">
        <v>2650</v>
      </c>
      <c r="K206" t="s">
        <v>52</v>
      </c>
      <c r="L206">
        <v>46</v>
      </c>
      <c r="M206">
        <v>4</v>
      </c>
      <c r="N206">
        <v>15</v>
      </c>
      <c r="O206" t="s">
        <v>663</v>
      </c>
      <c r="P206" t="s">
        <v>44</v>
      </c>
      <c r="Q206" t="s">
        <v>70</v>
      </c>
      <c r="R206" t="s">
        <v>71</v>
      </c>
      <c r="S206" t="s">
        <v>123</v>
      </c>
      <c r="T206">
        <v>4</v>
      </c>
      <c r="U206">
        <v>214.65</v>
      </c>
      <c r="V206">
        <v>410.64</v>
      </c>
      <c r="W206">
        <v>6</v>
      </c>
      <c r="X206" t="str">
        <f>TEXT(cleaneddata[[#This Row],[Order Date]],"mmm")</f>
        <v>Jun</v>
      </c>
      <c r="Y206">
        <f>cleaneddata[[#This Row],[Unit Price]]*cleaneddata[[#This Row],[Quantity]]*(1-cleaneddata[[#This Row],[Discount %]]/100)</f>
        <v>729.81</v>
      </c>
      <c r="Z206">
        <f>cleaneddata[[#This Row],[sales]]-cleaneddata[[#This Row],[Cost]]</f>
        <v>319.16999999999996</v>
      </c>
    </row>
    <row r="207" spans="1:26" x14ac:dyDescent="0.3">
      <c r="A207" t="s">
        <v>664</v>
      </c>
      <c r="B207" s="1">
        <v>45926</v>
      </c>
      <c r="C207" t="s">
        <v>665</v>
      </c>
      <c r="D207" t="s">
        <v>3528</v>
      </c>
      <c r="E207" s="1">
        <v>45930</v>
      </c>
      <c r="F207" t="s">
        <v>40</v>
      </c>
      <c r="G207" t="s">
        <v>38</v>
      </c>
      <c r="H207" t="s">
        <v>39</v>
      </c>
      <c r="I207" t="s">
        <v>2654</v>
      </c>
      <c r="J207" t="s">
        <v>2655</v>
      </c>
      <c r="K207" t="s">
        <v>52</v>
      </c>
      <c r="L207">
        <v>42</v>
      </c>
      <c r="M207">
        <v>2</v>
      </c>
      <c r="N207">
        <v>0</v>
      </c>
      <c r="O207" t="s">
        <v>666</v>
      </c>
      <c r="P207" t="s">
        <v>44</v>
      </c>
      <c r="Q207" t="s">
        <v>58</v>
      </c>
      <c r="R207" t="s">
        <v>71</v>
      </c>
      <c r="S207" t="s">
        <v>41</v>
      </c>
      <c r="T207">
        <v>5</v>
      </c>
      <c r="U207">
        <v>602.55999999999995</v>
      </c>
      <c r="V207">
        <v>867.98</v>
      </c>
      <c r="W207">
        <v>4</v>
      </c>
      <c r="X207" t="str">
        <f>TEXT(cleaneddata[[#This Row],[Order Date]],"mmm")</f>
        <v>Sep</v>
      </c>
      <c r="Y207">
        <f>cleaneddata[[#This Row],[Unit Price]]*cleaneddata[[#This Row],[Quantity]]*(1-cleaneddata[[#This Row],[Discount %]]/100)</f>
        <v>1205.1199999999999</v>
      </c>
      <c r="Z207">
        <f>cleaneddata[[#This Row],[sales]]-cleaneddata[[#This Row],[Cost]]</f>
        <v>337.13999999999987</v>
      </c>
    </row>
    <row r="208" spans="1:26" x14ac:dyDescent="0.3">
      <c r="A208" t="s">
        <v>667</v>
      </c>
      <c r="B208" s="1">
        <v>46128</v>
      </c>
      <c r="C208" t="s">
        <v>668</v>
      </c>
      <c r="D208" t="s">
        <v>3527</v>
      </c>
      <c r="E208" s="1">
        <v>46133</v>
      </c>
      <c r="F208" t="s">
        <v>140</v>
      </c>
      <c r="G208" t="s">
        <v>38</v>
      </c>
      <c r="H208" t="s">
        <v>139</v>
      </c>
      <c r="I208" t="s">
        <v>2625</v>
      </c>
      <c r="J208" t="s">
        <v>2703</v>
      </c>
      <c r="K208" t="s">
        <v>25</v>
      </c>
      <c r="L208">
        <v>38</v>
      </c>
      <c r="M208">
        <v>2</v>
      </c>
      <c r="N208">
        <v>20</v>
      </c>
      <c r="O208" t="s">
        <v>385</v>
      </c>
      <c r="P208" t="s">
        <v>44</v>
      </c>
      <c r="Q208" t="s">
        <v>117</v>
      </c>
      <c r="R208" t="s">
        <v>62</v>
      </c>
      <c r="S208" t="s">
        <v>141</v>
      </c>
      <c r="T208">
        <v>5</v>
      </c>
      <c r="U208">
        <v>797.45</v>
      </c>
      <c r="V208">
        <v>998.71</v>
      </c>
      <c r="W208">
        <v>5</v>
      </c>
      <c r="X208" t="str">
        <f>TEXT(cleaneddata[[#This Row],[Order Date]],"mmm")</f>
        <v>Apr</v>
      </c>
      <c r="Y208">
        <f>cleaneddata[[#This Row],[Unit Price]]*cleaneddata[[#This Row],[Quantity]]*(1-cleaneddata[[#This Row],[Discount %]]/100)</f>
        <v>1275.92</v>
      </c>
      <c r="Z208">
        <f>cleaneddata[[#This Row],[sales]]-cleaneddata[[#This Row],[Cost]]</f>
        <v>277.21000000000004</v>
      </c>
    </row>
    <row r="209" spans="1:26" x14ac:dyDescent="0.3">
      <c r="A209" t="s">
        <v>669</v>
      </c>
      <c r="B209" s="1">
        <v>46187</v>
      </c>
      <c r="C209" t="s">
        <v>670</v>
      </c>
      <c r="D209" t="s">
        <v>3526</v>
      </c>
      <c r="E209" s="1">
        <v>46194</v>
      </c>
      <c r="F209" t="s">
        <v>2617</v>
      </c>
      <c r="G209" t="s">
        <v>27</v>
      </c>
      <c r="H209" t="s">
        <v>28</v>
      </c>
      <c r="I209" t="s">
        <v>2654</v>
      </c>
      <c r="J209" t="s">
        <v>2655</v>
      </c>
      <c r="K209" t="s">
        <v>52</v>
      </c>
      <c r="L209">
        <v>24</v>
      </c>
      <c r="M209">
        <v>3</v>
      </c>
      <c r="N209">
        <v>30</v>
      </c>
      <c r="O209" t="s">
        <v>671</v>
      </c>
      <c r="P209" t="s">
        <v>33</v>
      </c>
      <c r="Q209" t="s">
        <v>31</v>
      </c>
      <c r="R209" t="s">
        <v>43</v>
      </c>
      <c r="S209" t="s">
        <v>30</v>
      </c>
      <c r="T209">
        <v>2</v>
      </c>
      <c r="U209">
        <v>44.32</v>
      </c>
      <c r="V209">
        <v>52.43</v>
      </c>
      <c r="W209">
        <v>7</v>
      </c>
      <c r="X209" t="str">
        <f>TEXT(cleaneddata[[#This Row],[Order Date]],"mmm")</f>
        <v>Jun</v>
      </c>
      <c r="Y209">
        <f>cleaneddata[[#This Row],[Unit Price]]*cleaneddata[[#This Row],[Quantity]]*(1-cleaneddata[[#This Row],[Discount %]]/100)</f>
        <v>93.072000000000003</v>
      </c>
      <c r="Z209">
        <f>cleaneddata[[#This Row],[sales]]-cleaneddata[[#This Row],[Cost]]</f>
        <v>40.642000000000003</v>
      </c>
    </row>
    <row r="210" spans="1:26" x14ac:dyDescent="0.3">
      <c r="A210" t="s">
        <v>672</v>
      </c>
      <c r="B210" s="1">
        <v>46124</v>
      </c>
      <c r="C210" t="s">
        <v>673</v>
      </c>
      <c r="D210" t="s">
        <v>3525</v>
      </c>
      <c r="E210" s="1">
        <v>46128</v>
      </c>
      <c r="F210" t="s">
        <v>100</v>
      </c>
      <c r="G210" t="s">
        <v>98</v>
      </c>
      <c r="H210" t="s">
        <v>99</v>
      </c>
      <c r="I210" t="s">
        <v>2661</v>
      </c>
      <c r="J210" t="s">
        <v>2700</v>
      </c>
      <c r="K210" t="s">
        <v>25</v>
      </c>
      <c r="L210">
        <v>61</v>
      </c>
      <c r="M210">
        <v>5</v>
      </c>
      <c r="N210">
        <v>30</v>
      </c>
      <c r="O210" t="s">
        <v>674</v>
      </c>
      <c r="P210" t="s">
        <v>33</v>
      </c>
      <c r="Q210" t="s">
        <v>70</v>
      </c>
      <c r="R210" t="s">
        <v>32</v>
      </c>
      <c r="S210" t="s">
        <v>101</v>
      </c>
      <c r="T210">
        <v>4</v>
      </c>
      <c r="U210">
        <v>130.47999999999999</v>
      </c>
      <c r="V210">
        <v>322.89</v>
      </c>
      <c r="W210">
        <v>4</v>
      </c>
      <c r="X210" t="str">
        <f>TEXT(cleaneddata[[#This Row],[Order Date]],"mmm")</f>
        <v>Apr</v>
      </c>
      <c r="Y210">
        <f>cleaneddata[[#This Row],[Unit Price]]*cleaneddata[[#This Row],[Quantity]]*(1-cleaneddata[[#This Row],[Discount %]]/100)</f>
        <v>456.67999999999995</v>
      </c>
      <c r="Z210">
        <f>cleaneddata[[#This Row],[sales]]-cleaneddata[[#This Row],[Cost]]</f>
        <v>133.78999999999996</v>
      </c>
    </row>
    <row r="211" spans="1:26" x14ac:dyDescent="0.3">
      <c r="A211" t="s">
        <v>675</v>
      </c>
      <c r="B211" s="1">
        <v>45506</v>
      </c>
      <c r="C211" t="s">
        <v>676</v>
      </c>
      <c r="D211" t="s">
        <v>3524</v>
      </c>
      <c r="E211" s="1">
        <v>45512</v>
      </c>
      <c r="F211" t="s">
        <v>115</v>
      </c>
      <c r="G211" t="s">
        <v>66</v>
      </c>
      <c r="H211" t="s">
        <v>114</v>
      </c>
      <c r="I211" t="s">
        <v>2637</v>
      </c>
      <c r="J211" t="s">
        <v>2649</v>
      </c>
      <c r="K211" t="s">
        <v>25</v>
      </c>
      <c r="L211">
        <v>48</v>
      </c>
      <c r="M211">
        <v>2</v>
      </c>
      <c r="N211">
        <v>25</v>
      </c>
      <c r="O211" t="s">
        <v>677</v>
      </c>
      <c r="P211" t="s">
        <v>44</v>
      </c>
      <c r="Q211" t="s">
        <v>70</v>
      </c>
      <c r="R211" t="s">
        <v>62</v>
      </c>
      <c r="S211" t="s">
        <v>116</v>
      </c>
      <c r="T211">
        <v>2</v>
      </c>
      <c r="U211">
        <v>658.99</v>
      </c>
      <c r="V211">
        <v>732.75</v>
      </c>
      <c r="W211">
        <v>6</v>
      </c>
      <c r="X211" t="str">
        <f>TEXT(cleaneddata[[#This Row],[Order Date]],"mmm")</f>
        <v>Aug</v>
      </c>
      <c r="Y211">
        <f>cleaneddata[[#This Row],[Unit Price]]*cleaneddata[[#This Row],[Quantity]]*(1-cleaneddata[[#This Row],[Discount %]]/100)</f>
        <v>988.48500000000001</v>
      </c>
      <c r="Z211">
        <f>cleaneddata[[#This Row],[sales]]-cleaneddata[[#This Row],[Cost]]</f>
        <v>255.73500000000001</v>
      </c>
    </row>
    <row r="212" spans="1:26" x14ac:dyDescent="0.3">
      <c r="A212" t="s">
        <v>678</v>
      </c>
      <c r="B212" s="1">
        <v>46141</v>
      </c>
      <c r="C212" t="s">
        <v>679</v>
      </c>
      <c r="D212" t="s">
        <v>3523</v>
      </c>
      <c r="E212" s="1">
        <v>46142</v>
      </c>
      <c r="F212" t="s">
        <v>56</v>
      </c>
      <c r="G212" t="s">
        <v>54</v>
      </c>
      <c r="H212" t="s">
        <v>55</v>
      </c>
      <c r="I212" t="s">
        <v>2625</v>
      </c>
      <c r="J212" t="s">
        <v>2626</v>
      </c>
      <c r="K212" t="s">
        <v>52</v>
      </c>
      <c r="L212">
        <v>18</v>
      </c>
      <c r="M212">
        <v>2</v>
      </c>
      <c r="N212">
        <v>20</v>
      </c>
      <c r="O212" t="s">
        <v>302</v>
      </c>
      <c r="P212" t="s">
        <v>44</v>
      </c>
      <c r="Q212" t="s">
        <v>117</v>
      </c>
      <c r="R212" t="s">
        <v>32</v>
      </c>
      <c r="S212" t="s">
        <v>57</v>
      </c>
      <c r="T212">
        <v>2</v>
      </c>
      <c r="U212">
        <v>756.47</v>
      </c>
      <c r="V212">
        <v>1013.53</v>
      </c>
      <c r="W212">
        <v>1</v>
      </c>
      <c r="X212" t="str">
        <f>TEXT(cleaneddata[[#This Row],[Order Date]],"mmm")</f>
        <v>Apr</v>
      </c>
      <c r="Y212">
        <f>cleaneddata[[#This Row],[Unit Price]]*cleaneddata[[#This Row],[Quantity]]*(1-cleaneddata[[#This Row],[Discount %]]/100)</f>
        <v>1210.3520000000001</v>
      </c>
      <c r="Z212">
        <f>cleaneddata[[#This Row],[sales]]-cleaneddata[[#This Row],[Cost]]</f>
        <v>196.82200000000012</v>
      </c>
    </row>
    <row r="213" spans="1:26" x14ac:dyDescent="0.3">
      <c r="A213" t="s">
        <v>680</v>
      </c>
      <c r="B213" s="1">
        <v>45350</v>
      </c>
      <c r="C213" t="s">
        <v>681</v>
      </c>
      <c r="D213" t="s">
        <v>3522</v>
      </c>
      <c r="E213" s="1">
        <v>45352</v>
      </c>
      <c r="F213" t="s">
        <v>68</v>
      </c>
      <c r="G213" t="s">
        <v>66</v>
      </c>
      <c r="H213" t="s">
        <v>67</v>
      </c>
      <c r="I213" t="s">
        <v>2661</v>
      </c>
      <c r="J213" t="s">
        <v>2671</v>
      </c>
      <c r="K213" t="s">
        <v>52</v>
      </c>
      <c r="L213">
        <v>63</v>
      </c>
      <c r="M213">
        <v>3</v>
      </c>
      <c r="N213">
        <v>30</v>
      </c>
      <c r="O213" t="s">
        <v>622</v>
      </c>
      <c r="P213" t="s">
        <v>33</v>
      </c>
      <c r="Q213" t="s">
        <v>42</v>
      </c>
      <c r="R213" t="s">
        <v>62</v>
      </c>
      <c r="S213" t="s">
        <v>69</v>
      </c>
      <c r="T213">
        <v>5</v>
      </c>
      <c r="U213">
        <v>242.94</v>
      </c>
      <c r="V213">
        <v>328.85</v>
      </c>
      <c r="W213">
        <v>2</v>
      </c>
      <c r="X213" t="str">
        <f>TEXT(cleaneddata[[#This Row],[Order Date]],"mmm")</f>
        <v>Feb</v>
      </c>
      <c r="Y213">
        <f>cleaneddata[[#This Row],[Unit Price]]*cleaneddata[[#This Row],[Quantity]]*(1-cleaneddata[[#This Row],[Discount %]]/100)</f>
        <v>510.17399999999992</v>
      </c>
      <c r="Z213">
        <f>cleaneddata[[#This Row],[sales]]-cleaneddata[[#This Row],[Cost]]</f>
        <v>181.3239999999999</v>
      </c>
    </row>
    <row r="214" spans="1:26" x14ac:dyDescent="0.3">
      <c r="A214" t="s">
        <v>682</v>
      </c>
      <c r="B214" s="1">
        <v>46046</v>
      </c>
      <c r="C214" t="s">
        <v>683</v>
      </c>
      <c r="D214" t="s">
        <v>3521</v>
      </c>
      <c r="E214" s="1">
        <v>46047</v>
      </c>
      <c r="F214" t="s">
        <v>56</v>
      </c>
      <c r="G214" t="s">
        <v>54</v>
      </c>
      <c r="H214" t="s">
        <v>55</v>
      </c>
      <c r="I214" t="s">
        <v>2634</v>
      </c>
      <c r="J214" t="s">
        <v>2714</v>
      </c>
      <c r="K214" t="s">
        <v>25</v>
      </c>
      <c r="L214">
        <v>38</v>
      </c>
      <c r="M214">
        <v>1</v>
      </c>
      <c r="N214">
        <v>30</v>
      </c>
      <c r="O214" t="s">
        <v>684</v>
      </c>
      <c r="P214" t="s">
        <v>33</v>
      </c>
      <c r="Q214" t="s">
        <v>117</v>
      </c>
      <c r="R214" t="s">
        <v>62</v>
      </c>
      <c r="S214" t="s">
        <v>57</v>
      </c>
      <c r="T214">
        <v>3</v>
      </c>
      <c r="U214">
        <v>602.9</v>
      </c>
      <c r="V214">
        <v>240.16</v>
      </c>
      <c r="W214">
        <v>1</v>
      </c>
      <c r="X214" t="str">
        <f>TEXT(cleaneddata[[#This Row],[Order Date]],"mmm")</f>
        <v>Jan</v>
      </c>
      <c r="Y214">
        <f>cleaneddata[[#This Row],[Unit Price]]*cleaneddata[[#This Row],[Quantity]]*(1-cleaneddata[[#This Row],[Discount %]]/100)</f>
        <v>422.03</v>
      </c>
      <c r="Z214">
        <f>cleaneddata[[#This Row],[sales]]-cleaneddata[[#This Row],[Cost]]</f>
        <v>181.86999999999998</v>
      </c>
    </row>
    <row r="215" spans="1:26" x14ac:dyDescent="0.3">
      <c r="A215" t="s">
        <v>685</v>
      </c>
      <c r="B215" s="1">
        <v>45713</v>
      </c>
      <c r="C215" t="s">
        <v>686</v>
      </c>
      <c r="D215" t="s">
        <v>3520</v>
      </c>
      <c r="E215" s="1">
        <v>45718</v>
      </c>
      <c r="F215" t="s">
        <v>115</v>
      </c>
      <c r="G215" t="s">
        <v>66</v>
      </c>
      <c r="H215" t="s">
        <v>114</v>
      </c>
      <c r="I215" t="s">
        <v>2622</v>
      </c>
      <c r="J215" t="s">
        <v>2705</v>
      </c>
      <c r="K215" t="s">
        <v>52</v>
      </c>
      <c r="L215">
        <v>63</v>
      </c>
      <c r="M215">
        <v>3</v>
      </c>
      <c r="N215">
        <v>5</v>
      </c>
      <c r="O215" t="s">
        <v>687</v>
      </c>
      <c r="P215" t="s">
        <v>75</v>
      </c>
      <c r="Q215" t="s">
        <v>70</v>
      </c>
      <c r="R215" t="s">
        <v>43</v>
      </c>
      <c r="S215" t="s">
        <v>116</v>
      </c>
      <c r="T215">
        <v>5</v>
      </c>
      <c r="U215">
        <v>456.84</v>
      </c>
      <c r="V215">
        <v>808.27</v>
      </c>
      <c r="W215">
        <v>5</v>
      </c>
      <c r="X215" t="str">
        <f>TEXT(cleaneddata[[#This Row],[Order Date]],"mmm")</f>
        <v>Feb</v>
      </c>
      <c r="Y215">
        <f>cleaneddata[[#This Row],[Unit Price]]*cleaneddata[[#This Row],[Quantity]]*(1-cleaneddata[[#This Row],[Discount %]]/100)</f>
        <v>1301.9939999999999</v>
      </c>
      <c r="Z215">
        <f>cleaneddata[[#This Row],[sales]]-cleaneddata[[#This Row],[Cost]]</f>
        <v>493.72399999999993</v>
      </c>
    </row>
    <row r="216" spans="1:26" x14ac:dyDescent="0.3">
      <c r="A216" t="s">
        <v>688</v>
      </c>
      <c r="B216" s="1">
        <v>45564</v>
      </c>
      <c r="C216" t="s">
        <v>689</v>
      </c>
      <c r="D216" t="s">
        <v>3519</v>
      </c>
      <c r="E216" s="1">
        <v>45571</v>
      </c>
      <c r="F216" t="s">
        <v>56</v>
      </c>
      <c r="G216" t="s">
        <v>54</v>
      </c>
      <c r="H216" t="s">
        <v>55</v>
      </c>
      <c r="I216" t="s">
        <v>2623</v>
      </c>
      <c r="J216" t="s">
        <v>2696</v>
      </c>
      <c r="K216" t="s">
        <v>25</v>
      </c>
      <c r="L216">
        <v>48</v>
      </c>
      <c r="M216">
        <v>3</v>
      </c>
      <c r="N216">
        <v>5</v>
      </c>
      <c r="O216" t="s">
        <v>690</v>
      </c>
      <c r="P216" t="s">
        <v>75</v>
      </c>
      <c r="Q216" t="s">
        <v>70</v>
      </c>
      <c r="R216" t="s">
        <v>62</v>
      </c>
      <c r="S216" t="s">
        <v>57</v>
      </c>
      <c r="T216">
        <v>5</v>
      </c>
      <c r="U216">
        <v>888.38</v>
      </c>
      <c r="V216">
        <v>2011.84</v>
      </c>
      <c r="W216">
        <v>7</v>
      </c>
      <c r="X216" t="str">
        <f>TEXT(cleaneddata[[#This Row],[Order Date]],"mmm")</f>
        <v>Sep</v>
      </c>
      <c r="Y216">
        <f>cleaneddata[[#This Row],[Unit Price]]*cleaneddata[[#This Row],[Quantity]]*(1-cleaneddata[[#This Row],[Discount %]]/100)</f>
        <v>2531.8829999999998</v>
      </c>
      <c r="Z216">
        <f>cleaneddata[[#This Row],[sales]]-cleaneddata[[#This Row],[Cost]]</f>
        <v>520.04299999999989</v>
      </c>
    </row>
    <row r="217" spans="1:26" x14ac:dyDescent="0.3">
      <c r="A217" t="s">
        <v>691</v>
      </c>
      <c r="B217" s="1">
        <v>45725</v>
      </c>
      <c r="C217" t="s">
        <v>692</v>
      </c>
      <c r="D217" t="s">
        <v>3518</v>
      </c>
      <c r="E217" s="1">
        <v>45729</v>
      </c>
      <c r="F217" t="s">
        <v>2617</v>
      </c>
      <c r="G217" t="s">
        <v>27</v>
      </c>
      <c r="H217" t="s">
        <v>28</v>
      </c>
      <c r="I217" t="s">
        <v>2679</v>
      </c>
      <c r="J217" t="s">
        <v>2680</v>
      </c>
      <c r="K217" t="s">
        <v>52</v>
      </c>
      <c r="L217">
        <v>19</v>
      </c>
      <c r="M217">
        <v>5</v>
      </c>
      <c r="N217">
        <v>5</v>
      </c>
      <c r="O217" t="s">
        <v>693</v>
      </c>
      <c r="P217" t="s">
        <v>75</v>
      </c>
      <c r="Q217" t="s">
        <v>70</v>
      </c>
      <c r="R217" t="s">
        <v>32</v>
      </c>
      <c r="S217" t="s">
        <v>30</v>
      </c>
      <c r="T217">
        <v>1</v>
      </c>
      <c r="U217">
        <v>27.92</v>
      </c>
      <c r="V217">
        <v>71.14</v>
      </c>
      <c r="W217">
        <v>4</v>
      </c>
      <c r="X217" t="str">
        <f>TEXT(cleaneddata[[#This Row],[Order Date]],"mmm")</f>
        <v>Mar</v>
      </c>
      <c r="Y217">
        <f>cleaneddata[[#This Row],[Unit Price]]*cleaneddata[[#This Row],[Quantity]]*(1-cleaneddata[[#This Row],[Discount %]]/100)</f>
        <v>132.62</v>
      </c>
      <c r="Z217">
        <f>cleaneddata[[#This Row],[sales]]-cleaneddata[[#This Row],[Cost]]</f>
        <v>61.480000000000004</v>
      </c>
    </row>
    <row r="218" spans="1:26" x14ac:dyDescent="0.3">
      <c r="A218" t="s">
        <v>694</v>
      </c>
      <c r="B218" s="1">
        <v>45323</v>
      </c>
      <c r="C218" t="s">
        <v>695</v>
      </c>
      <c r="D218" t="s">
        <v>3517</v>
      </c>
      <c r="E218" s="1">
        <v>45326</v>
      </c>
      <c r="F218" t="s">
        <v>140</v>
      </c>
      <c r="G218" t="s">
        <v>38</v>
      </c>
      <c r="H218" t="s">
        <v>139</v>
      </c>
      <c r="I218" t="s">
        <v>2675</v>
      </c>
      <c r="J218" t="s">
        <v>2710</v>
      </c>
      <c r="K218" t="s">
        <v>25</v>
      </c>
      <c r="L218">
        <v>59</v>
      </c>
      <c r="M218">
        <v>5</v>
      </c>
      <c r="N218">
        <v>15</v>
      </c>
      <c r="O218" t="s">
        <v>362</v>
      </c>
      <c r="P218" t="s">
        <v>44</v>
      </c>
      <c r="Q218" t="s">
        <v>117</v>
      </c>
      <c r="R218" t="s">
        <v>62</v>
      </c>
      <c r="S218" t="s">
        <v>141</v>
      </c>
      <c r="T218">
        <v>2</v>
      </c>
      <c r="U218">
        <v>249.35</v>
      </c>
      <c r="V218">
        <v>569.79999999999995</v>
      </c>
      <c r="W218">
        <v>3</v>
      </c>
      <c r="X218" t="str">
        <f>TEXT(cleaneddata[[#This Row],[Order Date]],"mmm")</f>
        <v>Feb</v>
      </c>
      <c r="Y218">
        <f>cleaneddata[[#This Row],[Unit Price]]*cleaneddata[[#This Row],[Quantity]]*(1-cleaneddata[[#This Row],[Discount %]]/100)</f>
        <v>1059.7375</v>
      </c>
      <c r="Z218">
        <f>cleaneddata[[#This Row],[sales]]-cleaneddata[[#This Row],[Cost]]</f>
        <v>489.9375</v>
      </c>
    </row>
    <row r="219" spans="1:26" x14ac:dyDescent="0.3">
      <c r="A219" t="s">
        <v>696</v>
      </c>
      <c r="B219" s="1">
        <v>45980</v>
      </c>
      <c r="C219" t="s">
        <v>697</v>
      </c>
      <c r="D219" t="s">
        <v>2785</v>
      </c>
      <c r="E219" s="1">
        <v>45982</v>
      </c>
      <c r="F219" t="s">
        <v>2617</v>
      </c>
      <c r="G219" t="s">
        <v>27</v>
      </c>
      <c r="H219" t="s">
        <v>28</v>
      </c>
      <c r="I219" t="s">
        <v>2652</v>
      </c>
      <c r="J219" t="s">
        <v>2688</v>
      </c>
      <c r="K219" t="s">
        <v>25</v>
      </c>
      <c r="L219">
        <v>32</v>
      </c>
      <c r="M219">
        <v>2</v>
      </c>
      <c r="N219">
        <v>15</v>
      </c>
      <c r="O219" t="s">
        <v>698</v>
      </c>
      <c r="P219" t="s">
        <v>75</v>
      </c>
      <c r="Q219" t="s">
        <v>58</v>
      </c>
      <c r="R219" t="s">
        <v>71</v>
      </c>
      <c r="S219" t="s">
        <v>30</v>
      </c>
      <c r="T219">
        <v>4</v>
      </c>
      <c r="U219">
        <v>932.67</v>
      </c>
      <c r="V219">
        <v>1140.25</v>
      </c>
      <c r="W219">
        <v>2</v>
      </c>
      <c r="X219" t="str">
        <f>TEXT(cleaneddata[[#This Row],[Order Date]],"mmm")</f>
        <v>Nov</v>
      </c>
      <c r="Y219">
        <f>cleaneddata[[#This Row],[Unit Price]]*cleaneddata[[#This Row],[Quantity]]*(1-cleaneddata[[#This Row],[Discount %]]/100)</f>
        <v>1585.539</v>
      </c>
      <c r="Z219">
        <f>cleaneddata[[#This Row],[sales]]-cleaneddata[[#This Row],[Cost]]</f>
        <v>445.28899999999999</v>
      </c>
    </row>
    <row r="220" spans="1:26" x14ac:dyDescent="0.3">
      <c r="A220" t="s">
        <v>699</v>
      </c>
      <c r="B220" s="1">
        <v>45706</v>
      </c>
      <c r="C220" t="s">
        <v>103</v>
      </c>
      <c r="D220" t="s">
        <v>2784</v>
      </c>
      <c r="E220" s="1">
        <v>45710</v>
      </c>
      <c r="F220" t="s">
        <v>56</v>
      </c>
      <c r="G220" t="s">
        <v>54</v>
      </c>
      <c r="H220" t="s">
        <v>55</v>
      </c>
      <c r="I220" t="s">
        <v>2668</v>
      </c>
      <c r="J220" t="s">
        <v>2669</v>
      </c>
      <c r="K220" t="s">
        <v>52</v>
      </c>
      <c r="L220">
        <v>65</v>
      </c>
      <c r="M220">
        <v>2</v>
      </c>
      <c r="N220">
        <v>20</v>
      </c>
      <c r="O220" t="s">
        <v>700</v>
      </c>
      <c r="P220" t="s">
        <v>44</v>
      </c>
      <c r="Q220" t="s">
        <v>70</v>
      </c>
      <c r="R220" t="s">
        <v>62</v>
      </c>
      <c r="S220" t="s">
        <v>57</v>
      </c>
      <c r="T220">
        <v>3</v>
      </c>
      <c r="U220">
        <v>253.23</v>
      </c>
      <c r="V220">
        <v>321.77</v>
      </c>
      <c r="W220">
        <v>4</v>
      </c>
      <c r="X220" t="str">
        <f>TEXT(cleaneddata[[#This Row],[Order Date]],"mmm")</f>
        <v>Feb</v>
      </c>
      <c r="Y220">
        <f>cleaneddata[[#This Row],[Unit Price]]*cleaneddata[[#This Row],[Quantity]]*(1-cleaneddata[[#This Row],[Discount %]]/100)</f>
        <v>405.16800000000001</v>
      </c>
      <c r="Z220">
        <f>cleaneddata[[#This Row],[sales]]-cleaneddata[[#This Row],[Cost]]</f>
        <v>83.398000000000025</v>
      </c>
    </row>
    <row r="221" spans="1:26" x14ac:dyDescent="0.3">
      <c r="A221" t="s">
        <v>701</v>
      </c>
      <c r="B221" s="1">
        <v>45661</v>
      </c>
      <c r="C221" t="s">
        <v>702</v>
      </c>
      <c r="D221" t="s">
        <v>2783</v>
      </c>
      <c r="E221" s="1">
        <v>45663</v>
      </c>
      <c r="F221" t="s">
        <v>122</v>
      </c>
      <c r="G221" t="s">
        <v>120</v>
      </c>
      <c r="H221" t="s">
        <v>121</v>
      </c>
      <c r="I221" t="s">
        <v>2622</v>
      </c>
      <c r="J221" t="s">
        <v>2705</v>
      </c>
      <c r="K221" t="s">
        <v>52</v>
      </c>
      <c r="L221">
        <v>18</v>
      </c>
      <c r="M221">
        <v>4</v>
      </c>
      <c r="N221">
        <v>25</v>
      </c>
      <c r="O221" t="s">
        <v>703</v>
      </c>
      <c r="P221" t="s">
        <v>75</v>
      </c>
      <c r="Q221" t="s">
        <v>42</v>
      </c>
      <c r="R221" t="s">
        <v>43</v>
      </c>
      <c r="S221" t="s">
        <v>123</v>
      </c>
      <c r="T221">
        <v>4</v>
      </c>
      <c r="U221">
        <v>819.76</v>
      </c>
      <c r="V221">
        <v>1561.08</v>
      </c>
      <c r="W221">
        <v>2</v>
      </c>
      <c r="X221" t="str">
        <f>TEXT(cleaneddata[[#This Row],[Order Date]],"mmm")</f>
        <v>Jan</v>
      </c>
      <c r="Y221">
        <f>cleaneddata[[#This Row],[Unit Price]]*cleaneddata[[#This Row],[Quantity]]*(1-cleaneddata[[#This Row],[Discount %]]/100)</f>
        <v>2459.2799999999997</v>
      </c>
      <c r="Z221">
        <f>cleaneddata[[#This Row],[sales]]-cleaneddata[[#This Row],[Cost]]</f>
        <v>898.19999999999982</v>
      </c>
    </row>
    <row r="222" spans="1:26" x14ac:dyDescent="0.3">
      <c r="A222" t="s">
        <v>704</v>
      </c>
      <c r="B222" s="1">
        <v>45749</v>
      </c>
      <c r="C222" t="s">
        <v>705</v>
      </c>
      <c r="D222" t="s">
        <v>2782</v>
      </c>
      <c r="E222" s="1">
        <v>45751</v>
      </c>
      <c r="F222" t="s">
        <v>115</v>
      </c>
      <c r="G222" t="s">
        <v>66</v>
      </c>
      <c r="H222" t="s">
        <v>114</v>
      </c>
      <c r="I222" t="s">
        <v>2625</v>
      </c>
      <c r="J222" t="s">
        <v>2626</v>
      </c>
      <c r="K222" t="s">
        <v>25</v>
      </c>
      <c r="L222">
        <v>54</v>
      </c>
      <c r="M222">
        <v>4</v>
      </c>
      <c r="N222">
        <v>10</v>
      </c>
      <c r="O222" t="s">
        <v>706</v>
      </c>
      <c r="P222" t="s">
        <v>75</v>
      </c>
      <c r="Q222" t="s">
        <v>70</v>
      </c>
      <c r="R222" t="s">
        <v>62</v>
      </c>
      <c r="S222" t="s">
        <v>116</v>
      </c>
      <c r="T222">
        <v>1</v>
      </c>
      <c r="U222">
        <v>426.74</v>
      </c>
      <c r="V222">
        <v>1145.45</v>
      </c>
      <c r="W222">
        <v>2</v>
      </c>
      <c r="X222" t="str">
        <f>TEXT(cleaneddata[[#This Row],[Order Date]],"mmm")</f>
        <v>Apr</v>
      </c>
      <c r="Y222">
        <f>cleaneddata[[#This Row],[Unit Price]]*cleaneddata[[#This Row],[Quantity]]*(1-cleaneddata[[#This Row],[Discount %]]/100)</f>
        <v>1536.2640000000001</v>
      </c>
      <c r="Z222">
        <f>cleaneddata[[#This Row],[sales]]-cleaneddata[[#This Row],[Cost]]</f>
        <v>390.81400000000008</v>
      </c>
    </row>
    <row r="223" spans="1:26" x14ac:dyDescent="0.3">
      <c r="A223" t="s">
        <v>707</v>
      </c>
      <c r="B223" s="1">
        <v>45588</v>
      </c>
      <c r="C223" t="s">
        <v>708</v>
      </c>
      <c r="D223" t="s">
        <v>3516</v>
      </c>
      <c r="E223" s="1">
        <v>45591</v>
      </c>
      <c r="F223" t="s">
        <v>122</v>
      </c>
      <c r="G223" t="s">
        <v>120</v>
      </c>
      <c r="H223" t="s">
        <v>121</v>
      </c>
      <c r="I223" t="s">
        <v>2641</v>
      </c>
      <c r="J223" t="s">
        <v>2713</v>
      </c>
      <c r="K223" t="s">
        <v>25</v>
      </c>
      <c r="L223">
        <v>42</v>
      </c>
      <c r="M223">
        <v>2</v>
      </c>
      <c r="N223">
        <v>25</v>
      </c>
      <c r="O223" t="s">
        <v>709</v>
      </c>
      <c r="P223" t="s">
        <v>44</v>
      </c>
      <c r="Q223" t="s">
        <v>117</v>
      </c>
      <c r="R223" t="s">
        <v>62</v>
      </c>
      <c r="S223" t="s">
        <v>123</v>
      </c>
      <c r="T223">
        <v>1</v>
      </c>
      <c r="U223">
        <v>410.7</v>
      </c>
      <c r="V223">
        <v>472.59</v>
      </c>
      <c r="W223">
        <v>3</v>
      </c>
      <c r="X223" t="str">
        <f>TEXT(cleaneddata[[#This Row],[Order Date]],"mmm")</f>
        <v>Oct</v>
      </c>
      <c r="Y223">
        <f>cleaneddata[[#This Row],[Unit Price]]*cleaneddata[[#This Row],[Quantity]]*(1-cleaneddata[[#This Row],[Discount %]]/100)</f>
        <v>616.04999999999995</v>
      </c>
      <c r="Z223">
        <f>cleaneddata[[#This Row],[sales]]-cleaneddata[[#This Row],[Cost]]</f>
        <v>143.45999999999998</v>
      </c>
    </row>
    <row r="224" spans="1:26" x14ac:dyDescent="0.3">
      <c r="A224" t="s">
        <v>710</v>
      </c>
      <c r="B224" s="1">
        <v>46087</v>
      </c>
      <c r="C224" t="s">
        <v>711</v>
      </c>
      <c r="D224" t="s">
        <v>3515</v>
      </c>
      <c r="E224" s="1">
        <v>46089</v>
      </c>
      <c r="F224" t="s">
        <v>122</v>
      </c>
      <c r="G224" t="s">
        <v>120</v>
      </c>
      <c r="H224" t="s">
        <v>121</v>
      </c>
      <c r="I224" t="s">
        <v>2663</v>
      </c>
      <c r="J224" t="s">
        <v>2694</v>
      </c>
      <c r="K224" t="s">
        <v>52</v>
      </c>
      <c r="L224">
        <v>31</v>
      </c>
      <c r="M224">
        <v>3</v>
      </c>
      <c r="N224">
        <v>10</v>
      </c>
      <c r="O224" t="s">
        <v>712</v>
      </c>
      <c r="P224" t="s">
        <v>75</v>
      </c>
      <c r="Q224" t="s">
        <v>58</v>
      </c>
      <c r="R224" t="s">
        <v>32</v>
      </c>
      <c r="S224" t="s">
        <v>123</v>
      </c>
      <c r="T224">
        <v>5</v>
      </c>
      <c r="U224">
        <v>624.79</v>
      </c>
      <c r="V224">
        <v>1087.74</v>
      </c>
      <c r="W224">
        <v>2</v>
      </c>
      <c r="X224" t="str">
        <f>TEXT(cleaneddata[[#This Row],[Order Date]],"mmm")</f>
        <v>Mar</v>
      </c>
      <c r="Y224">
        <f>cleaneddata[[#This Row],[Unit Price]]*cleaneddata[[#This Row],[Quantity]]*(1-cleaneddata[[#This Row],[Discount %]]/100)</f>
        <v>1686.933</v>
      </c>
      <c r="Z224">
        <f>cleaneddata[[#This Row],[sales]]-cleaneddata[[#This Row],[Cost]]</f>
        <v>599.19299999999998</v>
      </c>
    </row>
    <row r="225" spans="1:26" x14ac:dyDescent="0.3">
      <c r="A225" t="s">
        <v>713</v>
      </c>
      <c r="B225" s="1">
        <v>45535</v>
      </c>
      <c r="C225" t="s">
        <v>714</v>
      </c>
      <c r="D225" t="s">
        <v>3514</v>
      </c>
      <c r="E225" s="1">
        <v>45541</v>
      </c>
      <c r="F225" t="s">
        <v>56</v>
      </c>
      <c r="G225" t="s">
        <v>54</v>
      </c>
      <c r="H225" t="s">
        <v>55</v>
      </c>
      <c r="I225" t="s">
        <v>2663</v>
      </c>
      <c r="J225" t="s">
        <v>2670</v>
      </c>
      <c r="K225" t="s">
        <v>52</v>
      </c>
      <c r="L225">
        <v>22</v>
      </c>
      <c r="M225">
        <v>5</v>
      </c>
      <c r="N225">
        <v>10</v>
      </c>
      <c r="O225" t="s">
        <v>577</v>
      </c>
      <c r="P225" t="s">
        <v>75</v>
      </c>
      <c r="Q225" t="s">
        <v>117</v>
      </c>
      <c r="R225" t="s">
        <v>62</v>
      </c>
      <c r="S225" t="s">
        <v>57</v>
      </c>
      <c r="T225">
        <v>5</v>
      </c>
      <c r="U225">
        <v>726.78</v>
      </c>
      <c r="V225">
        <v>2072.63</v>
      </c>
      <c r="W225">
        <v>6</v>
      </c>
      <c r="X225" t="str">
        <f>TEXT(cleaneddata[[#This Row],[Order Date]],"mmm")</f>
        <v>Aug</v>
      </c>
      <c r="Y225">
        <f>cleaneddata[[#This Row],[Unit Price]]*cleaneddata[[#This Row],[Quantity]]*(1-cleaneddata[[#This Row],[Discount %]]/100)</f>
        <v>3270.5099999999998</v>
      </c>
      <c r="Z225">
        <f>cleaneddata[[#This Row],[sales]]-cleaneddata[[#This Row],[Cost]]</f>
        <v>1197.8799999999997</v>
      </c>
    </row>
    <row r="226" spans="1:26" x14ac:dyDescent="0.3">
      <c r="A226" t="s">
        <v>715</v>
      </c>
      <c r="B226" s="1">
        <v>45650</v>
      </c>
      <c r="C226" t="s">
        <v>716</v>
      </c>
      <c r="D226" t="s">
        <v>3513</v>
      </c>
      <c r="E226" s="1">
        <v>45652</v>
      </c>
      <c r="F226" t="s">
        <v>140</v>
      </c>
      <c r="G226" t="s">
        <v>38</v>
      </c>
      <c r="H226" t="s">
        <v>139</v>
      </c>
      <c r="I226" t="s">
        <v>2672</v>
      </c>
      <c r="J226" t="s">
        <v>2673</v>
      </c>
      <c r="K226" t="s">
        <v>25</v>
      </c>
      <c r="L226">
        <v>63</v>
      </c>
      <c r="M226">
        <v>2</v>
      </c>
      <c r="N226">
        <v>5</v>
      </c>
      <c r="O226" t="s">
        <v>717</v>
      </c>
      <c r="P226" t="s">
        <v>75</v>
      </c>
      <c r="Q226" t="s">
        <v>42</v>
      </c>
      <c r="R226" t="s">
        <v>43</v>
      </c>
      <c r="S226" t="s">
        <v>141</v>
      </c>
      <c r="T226">
        <v>3</v>
      </c>
      <c r="U226">
        <v>902.25</v>
      </c>
      <c r="V226">
        <v>1156.6099999999999</v>
      </c>
      <c r="W226">
        <v>2</v>
      </c>
      <c r="X226" t="str">
        <f>TEXT(cleaneddata[[#This Row],[Order Date]],"mmm")</f>
        <v>Dec</v>
      </c>
      <c r="Y226">
        <f>cleaneddata[[#This Row],[Unit Price]]*cleaneddata[[#This Row],[Quantity]]*(1-cleaneddata[[#This Row],[Discount %]]/100)</f>
        <v>1714.2749999999999</v>
      </c>
      <c r="Z226">
        <f>cleaneddata[[#This Row],[sales]]-cleaneddata[[#This Row],[Cost]]</f>
        <v>557.66499999999996</v>
      </c>
    </row>
    <row r="227" spans="1:26" x14ac:dyDescent="0.3">
      <c r="A227" t="s">
        <v>718</v>
      </c>
      <c r="B227" s="1">
        <v>46151</v>
      </c>
      <c r="C227" t="s">
        <v>719</v>
      </c>
      <c r="D227" t="s">
        <v>3512</v>
      </c>
      <c r="E227" s="1">
        <v>46157</v>
      </c>
      <c r="F227" t="s">
        <v>68</v>
      </c>
      <c r="G227" t="s">
        <v>66</v>
      </c>
      <c r="H227" t="s">
        <v>67</v>
      </c>
      <c r="I227" t="s">
        <v>2632</v>
      </c>
      <c r="J227" t="s">
        <v>2646</v>
      </c>
      <c r="K227" t="s">
        <v>52</v>
      </c>
      <c r="L227">
        <v>20</v>
      </c>
      <c r="M227">
        <v>3</v>
      </c>
      <c r="N227">
        <v>30</v>
      </c>
      <c r="O227" t="s">
        <v>720</v>
      </c>
      <c r="P227" t="s">
        <v>44</v>
      </c>
      <c r="Q227" t="s">
        <v>42</v>
      </c>
      <c r="R227" t="s">
        <v>43</v>
      </c>
      <c r="S227" t="s">
        <v>69</v>
      </c>
      <c r="T227">
        <v>3</v>
      </c>
      <c r="U227">
        <v>829.64</v>
      </c>
      <c r="V227">
        <v>1248.05</v>
      </c>
      <c r="W227">
        <v>6</v>
      </c>
      <c r="X227" t="str">
        <f>TEXT(cleaneddata[[#This Row],[Order Date]],"mmm")</f>
        <v>May</v>
      </c>
      <c r="Y227">
        <f>cleaneddata[[#This Row],[Unit Price]]*cleaneddata[[#This Row],[Quantity]]*(1-cleaneddata[[#This Row],[Discount %]]/100)</f>
        <v>1742.2439999999999</v>
      </c>
      <c r="Z227">
        <f>cleaneddata[[#This Row],[sales]]-cleaneddata[[#This Row],[Cost]]</f>
        <v>494.19399999999996</v>
      </c>
    </row>
    <row r="228" spans="1:26" x14ac:dyDescent="0.3">
      <c r="A228" t="s">
        <v>721</v>
      </c>
      <c r="B228" s="1">
        <v>45472</v>
      </c>
      <c r="C228" t="s">
        <v>722</v>
      </c>
      <c r="D228" t="s">
        <v>3511</v>
      </c>
      <c r="E228" s="1">
        <v>45476</v>
      </c>
      <c r="F228" t="s">
        <v>100</v>
      </c>
      <c r="G228" t="s">
        <v>98</v>
      </c>
      <c r="H228" t="s">
        <v>99</v>
      </c>
      <c r="I228" t="s">
        <v>2647</v>
      </c>
      <c r="J228" t="s">
        <v>2658</v>
      </c>
      <c r="K228" t="s">
        <v>52</v>
      </c>
      <c r="L228">
        <v>65</v>
      </c>
      <c r="M228">
        <v>2</v>
      </c>
      <c r="N228">
        <v>30</v>
      </c>
      <c r="O228" t="s">
        <v>723</v>
      </c>
      <c r="P228" t="s">
        <v>75</v>
      </c>
      <c r="Q228" t="s">
        <v>58</v>
      </c>
      <c r="R228" t="s">
        <v>32</v>
      </c>
      <c r="S228" t="s">
        <v>101</v>
      </c>
      <c r="T228">
        <v>3</v>
      </c>
      <c r="U228">
        <v>674.36</v>
      </c>
      <c r="V228">
        <v>563.67999999999995</v>
      </c>
      <c r="W228">
        <v>4</v>
      </c>
      <c r="X228" t="str">
        <f>TEXT(cleaneddata[[#This Row],[Order Date]],"mmm")</f>
        <v>Jun</v>
      </c>
      <c r="Y228">
        <f>cleaneddata[[#This Row],[Unit Price]]*cleaneddata[[#This Row],[Quantity]]*(1-cleaneddata[[#This Row],[Discount %]]/100)</f>
        <v>944.10399999999993</v>
      </c>
      <c r="Z228">
        <f>cleaneddata[[#This Row],[sales]]-cleaneddata[[#This Row],[Cost]]</f>
        <v>380.42399999999998</v>
      </c>
    </row>
    <row r="229" spans="1:26" x14ac:dyDescent="0.3">
      <c r="A229" t="s">
        <v>724</v>
      </c>
      <c r="B229" s="1">
        <v>45923</v>
      </c>
      <c r="C229" t="s">
        <v>725</v>
      </c>
      <c r="D229" t="s">
        <v>3510</v>
      </c>
      <c r="E229" s="1">
        <v>45925</v>
      </c>
      <c r="F229" t="s">
        <v>140</v>
      </c>
      <c r="G229" t="s">
        <v>38</v>
      </c>
      <c r="H229" t="s">
        <v>139</v>
      </c>
      <c r="I229" t="s">
        <v>2659</v>
      </c>
      <c r="J229" t="s">
        <v>2718</v>
      </c>
      <c r="K229" t="s">
        <v>25</v>
      </c>
      <c r="L229">
        <v>51</v>
      </c>
      <c r="M229">
        <v>2</v>
      </c>
      <c r="N229">
        <v>15</v>
      </c>
      <c r="O229" t="s">
        <v>81</v>
      </c>
      <c r="P229" t="s">
        <v>33</v>
      </c>
      <c r="Q229" t="s">
        <v>58</v>
      </c>
      <c r="R229" t="s">
        <v>62</v>
      </c>
      <c r="S229" t="s">
        <v>141</v>
      </c>
      <c r="T229">
        <v>5</v>
      </c>
      <c r="U229">
        <v>42.55</v>
      </c>
      <c r="V229">
        <v>59.52</v>
      </c>
      <c r="W229">
        <v>2</v>
      </c>
      <c r="X229" t="str">
        <f>TEXT(cleaneddata[[#This Row],[Order Date]],"mmm")</f>
        <v>Sep</v>
      </c>
      <c r="Y229">
        <f>cleaneddata[[#This Row],[Unit Price]]*cleaneddata[[#This Row],[Quantity]]*(1-cleaneddata[[#This Row],[Discount %]]/100)</f>
        <v>72.334999999999994</v>
      </c>
      <c r="Z229">
        <f>cleaneddata[[#This Row],[sales]]-cleaneddata[[#This Row],[Cost]]</f>
        <v>12.814999999999991</v>
      </c>
    </row>
    <row r="230" spans="1:26" x14ac:dyDescent="0.3">
      <c r="A230" t="s">
        <v>726</v>
      </c>
      <c r="B230" s="1">
        <v>45633</v>
      </c>
      <c r="C230" t="s">
        <v>727</v>
      </c>
      <c r="D230" t="s">
        <v>3509</v>
      </c>
      <c r="E230" s="1">
        <v>45634</v>
      </c>
      <c r="F230" t="s">
        <v>56</v>
      </c>
      <c r="G230" t="s">
        <v>54</v>
      </c>
      <c r="H230" t="s">
        <v>55</v>
      </c>
      <c r="I230" t="s">
        <v>2635</v>
      </c>
      <c r="J230" t="s">
        <v>2643</v>
      </c>
      <c r="K230" t="s">
        <v>25</v>
      </c>
      <c r="L230">
        <v>29</v>
      </c>
      <c r="M230">
        <v>4</v>
      </c>
      <c r="N230">
        <v>30</v>
      </c>
      <c r="O230" t="s">
        <v>728</v>
      </c>
      <c r="P230" t="s">
        <v>33</v>
      </c>
      <c r="Q230" t="s">
        <v>42</v>
      </c>
      <c r="R230" t="s">
        <v>71</v>
      </c>
      <c r="S230" t="s">
        <v>57</v>
      </c>
      <c r="T230">
        <v>1</v>
      </c>
      <c r="U230">
        <v>737.78</v>
      </c>
      <c r="V230">
        <v>1721.62</v>
      </c>
      <c r="W230">
        <v>1</v>
      </c>
      <c r="X230" t="str">
        <f>TEXT(cleaneddata[[#This Row],[Order Date]],"mmm")</f>
        <v>Dec</v>
      </c>
      <c r="Y230">
        <f>cleaneddata[[#This Row],[Unit Price]]*cleaneddata[[#This Row],[Quantity]]*(1-cleaneddata[[#This Row],[Discount %]]/100)</f>
        <v>2065.7839999999997</v>
      </c>
      <c r="Z230">
        <f>cleaneddata[[#This Row],[sales]]-cleaneddata[[#This Row],[Cost]]</f>
        <v>344.16399999999976</v>
      </c>
    </row>
    <row r="231" spans="1:26" x14ac:dyDescent="0.3">
      <c r="A231" t="s">
        <v>729</v>
      </c>
      <c r="B231" s="1">
        <v>45542</v>
      </c>
      <c r="C231" t="s">
        <v>730</v>
      </c>
      <c r="D231" t="s">
        <v>3508</v>
      </c>
      <c r="E231" s="1">
        <v>45545</v>
      </c>
      <c r="F231" t="s">
        <v>56</v>
      </c>
      <c r="G231" t="s">
        <v>54</v>
      </c>
      <c r="H231" t="s">
        <v>55</v>
      </c>
      <c r="I231" t="s">
        <v>2665</v>
      </c>
      <c r="J231" t="s">
        <v>2693</v>
      </c>
      <c r="K231" t="s">
        <v>52</v>
      </c>
      <c r="L231">
        <v>36</v>
      </c>
      <c r="M231">
        <v>5</v>
      </c>
      <c r="N231">
        <v>20</v>
      </c>
      <c r="O231" t="s">
        <v>731</v>
      </c>
      <c r="P231" t="s">
        <v>75</v>
      </c>
      <c r="Q231" t="s">
        <v>31</v>
      </c>
      <c r="R231" t="s">
        <v>32</v>
      </c>
      <c r="S231" t="s">
        <v>57</v>
      </c>
      <c r="T231">
        <v>4</v>
      </c>
      <c r="U231">
        <v>279.70999999999998</v>
      </c>
      <c r="V231">
        <v>792.37</v>
      </c>
      <c r="W231">
        <v>3</v>
      </c>
      <c r="X231" t="str">
        <f>TEXT(cleaneddata[[#This Row],[Order Date]],"mmm")</f>
        <v>Sep</v>
      </c>
      <c r="Y231">
        <f>cleaneddata[[#This Row],[Unit Price]]*cleaneddata[[#This Row],[Quantity]]*(1-cleaneddata[[#This Row],[Discount %]]/100)</f>
        <v>1118.8399999999999</v>
      </c>
      <c r="Z231">
        <f>cleaneddata[[#This Row],[sales]]-cleaneddata[[#This Row],[Cost]]</f>
        <v>326.46999999999991</v>
      </c>
    </row>
    <row r="232" spans="1:26" x14ac:dyDescent="0.3">
      <c r="A232" t="s">
        <v>732</v>
      </c>
      <c r="B232" s="1">
        <v>45825</v>
      </c>
      <c r="C232" t="s">
        <v>733</v>
      </c>
      <c r="D232" t="s">
        <v>3507</v>
      </c>
      <c r="E232" s="1">
        <v>45830</v>
      </c>
      <c r="F232" t="s">
        <v>40</v>
      </c>
      <c r="G232" t="s">
        <v>38</v>
      </c>
      <c r="H232" t="s">
        <v>39</v>
      </c>
      <c r="I232" t="s">
        <v>2634</v>
      </c>
      <c r="J232" t="s">
        <v>2644</v>
      </c>
      <c r="K232" t="s">
        <v>52</v>
      </c>
      <c r="L232">
        <v>57</v>
      </c>
      <c r="M232">
        <v>5</v>
      </c>
      <c r="N232">
        <v>5</v>
      </c>
      <c r="O232" t="s">
        <v>734</v>
      </c>
      <c r="P232" t="s">
        <v>33</v>
      </c>
      <c r="Q232" t="s">
        <v>42</v>
      </c>
      <c r="R232" t="s">
        <v>43</v>
      </c>
      <c r="S232" t="s">
        <v>41</v>
      </c>
      <c r="T232">
        <v>1</v>
      </c>
      <c r="U232">
        <v>528.15</v>
      </c>
      <c r="V232">
        <v>1793.85</v>
      </c>
      <c r="W232">
        <v>5</v>
      </c>
      <c r="X232" t="str">
        <f>TEXT(cleaneddata[[#This Row],[Order Date]],"mmm")</f>
        <v>Jun</v>
      </c>
      <c r="Y232">
        <f>cleaneddata[[#This Row],[Unit Price]]*cleaneddata[[#This Row],[Quantity]]*(1-cleaneddata[[#This Row],[Discount %]]/100)</f>
        <v>2508.7125000000001</v>
      </c>
      <c r="Z232">
        <f>cleaneddata[[#This Row],[sales]]-cleaneddata[[#This Row],[Cost]]</f>
        <v>714.86250000000018</v>
      </c>
    </row>
    <row r="233" spans="1:26" x14ac:dyDescent="0.3">
      <c r="A233" t="s">
        <v>735</v>
      </c>
      <c r="B233" s="1">
        <v>46023</v>
      </c>
      <c r="C233" t="s">
        <v>736</v>
      </c>
      <c r="D233" t="s">
        <v>3506</v>
      </c>
      <c r="E233" s="1">
        <v>46025</v>
      </c>
      <c r="F233" t="s">
        <v>140</v>
      </c>
      <c r="G233" t="s">
        <v>38</v>
      </c>
      <c r="H233" t="s">
        <v>139</v>
      </c>
      <c r="I233" t="s">
        <v>2672</v>
      </c>
      <c r="J233" t="s">
        <v>2716</v>
      </c>
      <c r="K233" t="s">
        <v>52</v>
      </c>
      <c r="L233">
        <v>33</v>
      </c>
      <c r="M233">
        <v>1</v>
      </c>
      <c r="N233">
        <v>5</v>
      </c>
      <c r="O233" t="s">
        <v>720</v>
      </c>
      <c r="P233" t="s">
        <v>33</v>
      </c>
      <c r="Q233" t="s">
        <v>42</v>
      </c>
      <c r="R233" t="s">
        <v>62</v>
      </c>
      <c r="S233" t="s">
        <v>141</v>
      </c>
      <c r="T233">
        <v>3</v>
      </c>
      <c r="U233">
        <v>552.49</v>
      </c>
      <c r="V233">
        <v>290.76</v>
      </c>
      <c r="W233">
        <v>2</v>
      </c>
      <c r="X233" t="str">
        <f>TEXT(cleaneddata[[#This Row],[Order Date]],"mmm")</f>
        <v>Jan</v>
      </c>
      <c r="Y233">
        <f>cleaneddata[[#This Row],[Unit Price]]*cleaneddata[[#This Row],[Quantity]]*(1-cleaneddata[[#This Row],[Discount %]]/100)</f>
        <v>524.8655</v>
      </c>
      <c r="Z233">
        <f>cleaneddata[[#This Row],[sales]]-cleaneddata[[#This Row],[Cost]]</f>
        <v>234.10550000000001</v>
      </c>
    </row>
    <row r="234" spans="1:26" x14ac:dyDescent="0.3">
      <c r="A234" t="s">
        <v>737</v>
      </c>
      <c r="B234" s="1">
        <v>45883</v>
      </c>
      <c r="C234" t="s">
        <v>738</v>
      </c>
      <c r="D234" t="s">
        <v>3505</v>
      </c>
      <c r="E234" s="1">
        <v>45890</v>
      </c>
      <c r="F234" t="s">
        <v>40</v>
      </c>
      <c r="G234" t="s">
        <v>38</v>
      </c>
      <c r="H234" t="s">
        <v>39</v>
      </c>
      <c r="I234" t="s">
        <v>2637</v>
      </c>
      <c r="J234" t="s">
        <v>2638</v>
      </c>
      <c r="K234" t="s">
        <v>25</v>
      </c>
      <c r="L234">
        <v>49</v>
      </c>
      <c r="M234">
        <v>5</v>
      </c>
      <c r="N234">
        <v>30</v>
      </c>
      <c r="O234" t="s">
        <v>739</v>
      </c>
      <c r="P234" t="s">
        <v>44</v>
      </c>
      <c r="Q234" t="s">
        <v>31</v>
      </c>
      <c r="R234" t="s">
        <v>32</v>
      </c>
      <c r="S234" t="s">
        <v>41</v>
      </c>
      <c r="T234">
        <v>4</v>
      </c>
      <c r="U234">
        <v>513.67999999999995</v>
      </c>
      <c r="V234">
        <v>962.15</v>
      </c>
      <c r="W234">
        <v>7</v>
      </c>
      <c r="X234" t="str">
        <f>TEXT(cleaneddata[[#This Row],[Order Date]],"mmm")</f>
        <v>Aug</v>
      </c>
      <c r="Y234">
        <f>cleaneddata[[#This Row],[Unit Price]]*cleaneddata[[#This Row],[Quantity]]*(1-cleaneddata[[#This Row],[Discount %]]/100)</f>
        <v>1797.8799999999997</v>
      </c>
      <c r="Z234">
        <f>cleaneddata[[#This Row],[sales]]-cleaneddata[[#This Row],[Cost]]</f>
        <v>835.72999999999968</v>
      </c>
    </row>
    <row r="235" spans="1:26" x14ac:dyDescent="0.3">
      <c r="A235" t="s">
        <v>740</v>
      </c>
      <c r="B235" s="1">
        <v>45752</v>
      </c>
      <c r="C235" t="s">
        <v>741</v>
      </c>
      <c r="D235" t="s">
        <v>3504</v>
      </c>
      <c r="E235" s="1">
        <v>45759</v>
      </c>
      <c r="F235" t="s">
        <v>128</v>
      </c>
      <c r="G235" t="s">
        <v>98</v>
      </c>
      <c r="H235" t="s">
        <v>127</v>
      </c>
      <c r="I235" t="s">
        <v>2629</v>
      </c>
      <c r="J235" t="s">
        <v>2709</v>
      </c>
      <c r="K235" t="s">
        <v>52</v>
      </c>
      <c r="L235">
        <v>20</v>
      </c>
      <c r="M235">
        <v>3</v>
      </c>
      <c r="N235">
        <v>15</v>
      </c>
      <c r="O235" t="s">
        <v>742</v>
      </c>
      <c r="P235" t="s">
        <v>33</v>
      </c>
      <c r="Q235" t="s">
        <v>70</v>
      </c>
      <c r="R235" t="s">
        <v>43</v>
      </c>
      <c r="S235" t="s">
        <v>129</v>
      </c>
      <c r="T235">
        <v>5</v>
      </c>
      <c r="U235">
        <v>255.73</v>
      </c>
      <c r="V235">
        <v>543.28</v>
      </c>
      <c r="W235">
        <v>7</v>
      </c>
      <c r="X235" t="str">
        <f>TEXT(cleaneddata[[#This Row],[Order Date]],"mmm")</f>
        <v>Apr</v>
      </c>
      <c r="Y235">
        <f>cleaneddata[[#This Row],[Unit Price]]*cleaneddata[[#This Row],[Quantity]]*(1-cleaneddata[[#This Row],[Discount %]]/100)</f>
        <v>652.11149999999998</v>
      </c>
      <c r="Z235">
        <f>cleaneddata[[#This Row],[sales]]-cleaneddata[[#This Row],[Cost]]</f>
        <v>108.83150000000001</v>
      </c>
    </row>
    <row r="236" spans="1:26" x14ac:dyDescent="0.3">
      <c r="A236" t="s">
        <v>743</v>
      </c>
      <c r="B236" s="1">
        <v>45523</v>
      </c>
      <c r="C236" t="s">
        <v>744</v>
      </c>
      <c r="D236" t="s">
        <v>3503</v>
      </c>
      <c r="E236" s="1">
        <v>45528</v>
      </c>
      <c r="F236" t="s">
        <v>122</v>
      </c>
      <c r="G236" t="s">
        <v>120</v>
      </c>
      <c r="H236" t="s">
        <v>121</v>
      </c>
      <c r="I236" t="s">
        <v>2623</v>
      </c>
      <c r="J236" t="s">
        <v>2696</v>
      </c>
      <c r="K236" t="s">
        <v>25</v>
      </c>
      <c r="L236">
        <v>51</v>
      </c>
      <c r="M236">
        <v>1</v>
      </c>
      <c r="N236">
        <v>20</v>
      </c>
      <c r="O236" t="s">
        <v>745</v>
      </c>
      <c r="P236" t="s">
        <v>44</v>
      </c>
      <c r="Q236" t="s">
        <v>58</v>
      </c>
      <c r="R236" t="s">
        <v>32</v>
      </c>
      <c r="S236" t="s">
        <v>123</v>
      </c>
      <c r="T236">
        <v>3</v>
      </c>
      <c r="U236">
        <v>814.04</v>
      </c>
      <c r="V236">
        <v>338.14</v>
      </c>
      <c r="W236">
        <v>5</v>
      </c>
      <c r="X236" t="str">
        <f>TEXT(cleaneddata[[#This Row],[Order Date]],"mmm")</f>
        <v>Aug</v>
      </c>
      <c r="Y236">
        <f>cleaneddata[[#This Row],[Unit Price]]*cleaneddata[[#This Row],[Quantity]]*(1-cleaneddata[[#This Row],[Discount %]]/100)</f>
        <v>651.23199999999997</v>
      </c>
      <c r="Z236">
        <f>cleaneddata[[#This Row],[sales]]-cleaneddata[[#This Row],[Cost]]</f>
        <v>313.09199999999998</v>
      </c>
    </row>
    <row r="237" spans="1:26" x14ac:dyDescent="0.3">
      <c r="A237" t="s">
        <v>746</v>
      </c>
      <c r="B237" s="1">
        <v>45912</v>
      </c>
      <c r="C237" t="s">
        <v>747</v>
      </c>
      <c r="D237" t="s">
        <v>3502</v>
      </c>
      <c r="E237" s="1">
        <v>45919</v>
      </c>
      <c r="F237" t="s">
        <v>56</v>
      </c>
      <c r="G237" t="s">
        <v>54</v>
      </c>
      <c r="H237" t="s">
        <v>55</v>
      </c>
      <c r="I237" t="s">
        <v>2622</v>
      </c>
      <c r="J237" t="s">
        <v>2704</v>
      </c>
      <c r="K237" t="s">
        <v>25</v>
      </c>
      <c r="L237">
        <v>65</v>
      </c>
      <c r="M237">
        <v>4</v>
      </c>
      <c r="N237">
        <v>30</v>
      </c>
      <c r="O237" t="s">
        <v>186</v>
      </c>
      <c r="P237" t="s">
        <v>75</v>
      </c>
      <c r="Q237" t="s">
        <v>58</v>
      </c>
      <c r="R237" t="s">
        <v>43</v>
      </c>
      <c r="S237" t="s">
        <v>57</v>
      </c>
      <c r="T237">
        <v>3</v>
      </c>
      <c r="U237">
        <v>584.48</v>
      </c>
      <c r="V237">
        <v>902.84</v>
      </c>
      <c r="W237">
        <v>7</v>
      </c>
      <c r="X237" t="str">
        <f>TEXT(cleaneddata[[#This Row],[Order Date]],"mmm")</f>
        <v>Sep</v>
      </c>
      <c r="Y237">
        <f>cleaneddata[[#This Row],[Unit Price]]*cleaneddata[[#This Row],[Quantity]]*(1-cleaneddata[[#This Row],[Discount %]]/100)</f>
        <v>1636.5439999999999</v>
      </c>
      <c r="Z237">
        <f>cleaneddata[[#This Row],[sales]]-cleaneddata[[#This Row],[Cost]]</f>
        <v>733.70399999999984</v>
      </c>
    </row>
    <row r="238" spans="1:26" x14ac:dyDescent="0.3">
      <c r="A238" t="s">
        <v>748</v>
      </c>
      <c r="B238" s="1">
        <v>45908</v>
      </c>
      <c r="C238" t="s">
        <v>749</v>
      </c>
      <c r="D238" t="s">
        <v>3501</v>
      </c>
      <c r="E238" s="1">
        <v>45913</v>
      </c>
      <c r="F238" t="s">
        <v>2617</v>
      </c>
      <c r="G238" t="s">
        <v>27</v>
      </c>
      <c r="H238" t="s">
        <v>28</v>
      </c>
      <c r="I238" t="s">
        <v>2631</v>
      </c>
      <c r="J238" t="s">
        <v>2694</v>
      </c>
      <c r="K238" t="s">
        <v>52</v>
      </c>
      <c r="L238">
        <v>53</v>
      </c>
      <c r="M238">
        <v>3</v>
      </c>
      <c r="N238">
        <v>20</v>
      </c>
      <c r="O238" t="s">
        <v>640</v>
      </c>
      <c r="P238" t="s">
        <v>75</v>
      </c>
      <c r="Q238" t="s">
        <v>58</v>
      </c>
      <c r="R238" t="s">
        <v>32</v>
      </c>
      <c r="S238" t="s">
        <v>30</v>
      </c>
      <c r="T238">
        <v>1</v>
      </c>
      <c r="U238">
        <v>489.73</v>
      </c>
      <c r="V238">
        <v>604.61</v>
      </c>
      <c r="W238">
        <v>5</v>
      </c>
      <c r="X238" t="str">
        <f>TEXT(cleaneddata[[#This Row],[Order Date]],"mmm")</f>
        <v>Sep</v>
      </c>
      <c r="Y238">
        <f>cleaneddata[[#This Row],[Unit Price]]*cleaneddata[[#This Row],[Quantity]]*(1-cleaneddata[[#This Row],[Discount %]]/100)</f>
        <v>1175.3520000000001</v>
      </c>
      <c r="Z238">
        <f>cleaneddata[[#This Row],[sales]]-cleaneddata[[#This Row],[Cost]]</f>
        <v>570.74200000000008</v>
      </c>
    </row>
    <row r="239" spans="1:26" x14ac:dyDescent="0.3">
      <c r="A239" t="s">
        <v>750</v>
      </c>
      <c r="B239" s="1">
        <v>46154</v>
      </c>
      <c r="C239" t="s">
        <v>751</v>
      </c>
      <c r="D239" t="s">
        <v>3500</v>
      </c>
      <c r="E239" s="1">
        <v>46157</v>
      </c>
      <c r="F239" t="s">
        <v>2617</v>
      </c>
      <c r="G239" t="s">
        <v>27</v>
      </c>
      <c r="H239" t="s">
        <v>28</v>
      </c>
      <c r="I239" t="s">
        <v>2641</v>
      </c>
      <c r="J239" t="s">
        <v>2642</v>
      </c>
      <c r="K239" t="s">
        <v>52</v>
      </c>
      <c r="L239">
        <v>41</v>
      </c>
      <c r="M239">
        <v>1</v>
      </c>
      <c r="N239">
        <v>10</v>
      </c>
      <c r="O239" t="s">
        <v>752</v>
      </c>
      <c r="P239" t="s">
        <v>44</v>
      </c>
      <c r="Q239" t="s">
        <v>31</v>
      </c>
      <c r="R239" t="s">
        <v>71</v>
      </c>
      <c r="S239" t="s">
        <v>30</v>
      </c>
      <c r="T239">
        <v>3</v>
      </c>
      <c r="U239">
        <v>377.42</v>
      </c>
      <c r="V239">
        <v>274.12</v>
      </c>
      <c r="W239">
        <v>3</v>
      </c>
      <c r="X239" t="str">
        <f>TEXT(cleaneddata[[#This Row],[Order Date]],"mmm")</f>
        <v>May</v>
      </c>
      <c r="Y239">
        <f>cleaneddata[[#This Row],[Unit Price]]*cleaneddata[[#This Row],[Quantity]]*(1-cleaneddata[[#This Row],[Discount %]]/100)</f>
        <v>339.678</v>
      </c>
      <c r="Z239">
        <f>cleaneddata[[#This Row],[sales]]-cleaneddata[[#This Row],[Cost]]</f>
        <v>65.557999999999993</v>
      </c>
    </row>
    <row r="240" spans="1:26" x14ac:dyDescent="0.3">
      <c r="A240" t="s">
        <v>753</v>
      </c>
      <c r="B240" s="1">
        <v>45787</v>
      </c>
      <c r="C240" t="s">
        <v>754</v>
      </c>
      <c r="D240" t="s">
        <v>3499</v>
      </c>
      <c r="E240" s="1">
        <v>45788</v>
      </c>
      <c r="F240" t="s">
        <v>115</v>
      </c>
      <c r="G240" t="s">
        <v>66</v>
      </c>
      <c r="H240" t="s">
        <v>114</v>
      </c>
      <c r="I240" t="s">
        <v>2637</v>
      </c>
      <c r="J240" t="s">
        <v>2649</v>
      </c>
      <c r="K240" t="s">
        <v>52</v>
      </c>
      <c r="L240">
        <v>39</v>
      </c>
      <c r="M240">
        <v>1</v>
      </c>
      <c r="N240">
        <v>25</v>
      </c>
      <c r="O240" t="s">
        <v>755</v>
      </c>
      <c r="P240" t="s">
        <v>44</v>
      </c>
      <c r="Q240" t="s">
        <v>70</v>
      </c>
      <c r="R240" t="s">
        <v>71</v>
      </c>
      <c r="S240" t="s">
        <v>116</v>
      </c>
      <c r="T240">
        <v>1</v>
      </c>
      <c r="U240">
        <v>680.58</v>
      </c>
      <c r="V240">
        <v>388.41</v>
      </c>
      <c r="W240">
        <v>1</v>
      </c>
      <c r="X240" t="str">
        <f>TEXT(cleaneddata[[#This Row],[Order Date]],"mmm")</f>
        <v>May</v>
      </c>
      <c r="Y240">
        <f>cleaneddata[[#This Row],[Unit Price]]*cleaneddata[[#This Row],[Quantity]]*(1-cleaneddata[[#This Row],[Discount %]]/100)</f>
        <v>510.43500000000006</v>
      </c>
      <c r="Z240">
        <f>cleaneddata[[#This Row],[sales]]-cleaneddata[[#This Row],[Cost]]</f>
        <v>122.02500000000003</v>
      </c>
    </row>
    <row r="241" spans="1:26" x14ac:dyDescent="0.3">
      <c r="A241" t="s">
        <v>756</v>
      </c>
      <c r="B241" s="1">
        <v>46086</v>
      </c>
      <c r="C241" t="s">
        <v>757</v>
      </c>
      <c r="D241" t="s">
        <v>3498</v>
      </c>
      <c r="E241" s="1">
        <v>46088</v>
      </c>
      <c r="F241" t="s">
        <v>140</v>
      </c>
      <c r="G241" t="s">
        <v>38</v>
      </c>
      <c r="H241" t="s">
        <v>139</v>
      </c>
      <c r="I241" t="s">
        <v>2635</v>
      </c>
      <c r="J241" t="s">
        <v>2720</v>
      </c>
      <c r="K241" t="s">
        <v>25</v>
      </c>
      <c r="L241">
        <v>37</v>
      </c>
      <c r="M241">
        <v>3</v>
      </c>
      <c r="N241">
        <v>25</v>
      </c>
      <c r="O241" t="s">
        <v>758</v>
      </c>
      <c r="P241" t="s">
        <v>33</v>
      </c>
      <c r="Q241" t="s">
        <v>70</v>
      </c>
      <c r="R241" t="s">
        <v>32</v>
      </c>
      <c r="S241" t="s">
        <v>141</v>
      </c>
      <c r="T241">
        <v>2</v>
      </c>
      <c r="U241">
        <v>612.38</v>
      </c>
      <c r="V241">
        <v>869.39</v>
      </c>
      <c r="W241">
        <v>2</v>
      </c>
      <c r="X241" t="str">
        <f>TEXT(cleaneddata[[#This Row],[Order Date]],"mmm")</f>
        <v>Mar</v>
      </c>
      <c r="Y241">
        <f>cleaneddata[[#This Row],[Unit Price]]*cleaneddata[[#This Row],[Quantity]]*(1-cleaneddata[[#This Row],[Discount %]]/100)</f>
        <v>1377.855</v>
      </c>
      <c r="Z241">
        <f>cleaneddata[[#This Row],[sales]]-cleaneddata[[#This Row],[Cost]]</f>
        <v>508.46500000000003</v>
      </c>
    </row>
    <row r="242" spans="1:26" x14ac:dyDescent="0.3">
      <c r="A242" t="s">
        <v>759</v>
      </c>
      <c r="B242" s="1">
        <v>45417</v>
      </c>
      <c r="C242" t="s">
        <v>760</v>
      </c>
      <c r="D242" t="s">
        <v>3497</v>
      </c>
      <c r="E242" s="1">
        <v>45421</v>
      </c>
      <c r="F242" t="s">
        <v>128</v>
      </c>
      <c r="G242" t="s">
        <v>98</v>
      </c>
      <c r="H242" t="s">
        <v>127</v>
      </c>
      <c r="I242" t="s">
        <v>2659</v>
      </c>
      <c r="J242" t="s">
        <v>2660</v>
      </c>
      <c r="K242" t="s">
        <v>25</v>
      </c>
      <c r="L242">
        <v>39</v>
      </c>
      <c r="M242">
        <v>3</v>
      </c>
      <c r="N242">
        <v>20</v>
      </c>
      <c r="O242" t="s">
        <v>761</v>
      </c>
      <c r="P242" t="s">
        <v>44</v>
      </c>
      <c r="Q242" t="s">
        <v>58</v>
      </c>
      <c r="R242" t="s">
        <v>32</v>
      </c>
      <c r="S242" t="s">
        <v>129</v>
      </c>
      <c r="T242">
        <v>1</v>
      </c>
      <c r="U242">
        <v>500.82</v>
      </c>
      <c r="V242">
        <v>988.71</v>
      </c>
      <c r="W242">
        <v>4</v>
      </c>
      <c r="X242" t="str">
        <f>TEXT(cleaneddata[[#This Row],[Order Date]],"mmm")</f>
        <v>May</v>
      </c>
      <c r="Y242">
        <f>cleaneddata[[#This Row],[Unit Price]]*cleaneddata[[#This Row],[Quantity]]*(1-cleaneddata[[#This Row],[Discount %]]/100)</f>
        <v>1201.9680000000001</v>
      </c>
      <c r="Z242">
        <f>cleaneddata[[#This Row],[sales]]-cleaneddata[[#This Row],[Cost]]</f>
        <v>213.25800000000004</v>
      </c>
    </row>
    <row r="243" spans="1:26" x14ac:dyDescent="0.3">
      <c r="A243" t="s">
        <v>762</v>
      </c>
      <c r="B243" s="1">
        <v>45532</v>
      </c>
      <c r="C243" t="s">
        <v>763</v>
      </c>
      <c r="D243" t="s">
        <v>3496</v>
      </c>
      <c r="E243" s="1">
        <v>45533</v>
      </c>
      <c r="F243" t="s">
        <v>115</v>
      </c>
      <c r="G243" t="s">
        <v>66</v>
      </c>
      <c r="H243" t="s">
        <v>114</v>
      </c>
      <c r="I243" t="s">
        <v>2623</v>
      </c>
      <c r="J243" t="s">
        <v>2691</v>
      </c>
      <c r="K243" t="s">
        <v>52</v>
      </c>
      <c r="L243">
        <v>43</v>
      </c>
      <c r="M243">
        <v>4</v>
      </c>
      <c r="N243">
        <v>20</v>
      </c>
      <c r="O243" t="s">
        <v>764</v>
      </c>
      <c r="P243" t="s">
        <v>44</v>
      </c>
      <c r="Q243" t="s">
        <v>31</v>
      </c>
      <c r="R243" t="s">
        <v>43</v>
      </c>
      <c r="S243" t="s">
        <v>116</v>
      </c>
      <c r="T243">
        <v>2</v>
      </c>
      <c r="U243">
        <v>855.02</v>
      </c>
      <c r="V243">
        <v>2064.63</v>
      </c>
      <c r="W243">
        <v>1</v>
      </c>
      <c r="X243" t="str">
        <f>TEXT(cleaneddata[[#This Row],[Order Date]],"mmm")</f>
        <v>Aug</v>
      </c>
      <c r="Y243">
        <f>cleaneddata[[#This Row],[Unit Price]]*cleaneddata[[#This Row],[Quantity]]*(1-cleaneddata[[#This Row],[Discount %]]/100)</f>
        <v>2736.0640000000003</v>
      </c>
      <c r="Z243">
        <f>cleaneddata[[#This Row],[sales]]-cleaneddata[[#This Row],[Cost]]</f>
        <v>671.4340000000002</v>
      </c>
    </row>
    <row r="244" spans="1:26" x14ac:dyDescent="0.3">
      <c r="A244" t="s">
        <v>765</v>
      </c>
      <c r="B244" s="1">
        <v>46071</v>
      </c>
      <c r="C244" t="s">
        <v>766</v>
      </c>
      <c r="D244" t="s">
        <v>3495</v>
      </c>
      <c r="E244" s="1">
        <v>46076</v>
      </c>
      <c r="F244" t="s">
        <v>56</v>
      </c>
      <c r="G244" t="s">
        <v>54</v>
      </c>
      <c r="H244" t="s">
        <v>55</v>
      </c>
      <c r="I244" t="s">
        <v>2622</v>
      </c>
      <c r="J244" t="s">
        <v>2622</v>
      </c>
      <c r="K244" t="s">
        <v>25</v>
      </c>
      <c r="L244">
        <v>45</v>
      </c>
      <c r="M244">
        <v>2</v>
      </c>
      <c r="N244">
        <v>30</v>
      </c>
      <c r="O244" t="s">
        <v>223</v>
      </c>
      <c r="P244" t="s">
        <v>44</v>
      </c>
      <c r="Q244" t="s">
        <v>58</v>
      </c>
      <c r="R244" t="s">
        <v>43</v>
      </c>
      <c r="S244" t="s">
        <v>57</v>
      </c>
      <c r="T244">
        <v>1</v>
      </c>
      <c r="U244">
        <v>42.06</v>
      </c>
      <c r="V244">
        <v>32.42</v>
      </c>
      <c r="W244">
        <v>5</v>
      </c>
      <c r="X244" t="str">
        <f>TEXT(cleaneddata[[#This Row],[Order Date]],"mmm")</f>
        <v>Feb</v>
      </c>
      <c r="Y244">
        <f>cleaneddata[[#This Row],[Unit Price]]*cleaneddata[[#This Row],[Quantity]]*(1-cleaneddata[[#This Row],[Discount %]]/100)</f>
        <v>58.884</v>
      </c>
      <c r="Z244">
        <f>cleaneddata[[#This Row],[sales]]-cleaneddata[[#This Row],[Cost]]</f>
        <v>26.463999999999999</v>
      </c>
    </row>
    <row r="245" spans="1:26" x14ac:dyDescent="0.3">
      <c r="A245" t="s">
        <v>767</v>
      </c>
      <c r="B245" s="1">
        <v>45953</v>
      </c>
      <c r="C245" t="s">
        <v>768</v>
      </c>
      <c r="D245" t="s">
        <v>3494</v>
      </c>
      <c r="E245" s="1">
        <v>45954</v>
      </c>
      <c r="F245" t="s">
        <v>56</v>
      </c>
      <c r="G245" t="s">
        <v>54</v>
      </c>
      <c r="H245" t="s">
        <v>55</v>
      </c>
      <c r="I245" t="s">
        <v>2675</v>
      </c>
      <c r="J245" t="s">
        <v>2676</v>
      </c>
      <c r="K245" t="s">
        <v>52</v>
      </c>
      <c r="L245">
        <v>29</v>
      </c>
      <c r="M245">
        <v>2</v>
      </c>
      <c r="N245">
        <v>15</v>
      </c>
      <c r="O245" t="s">
        <v>458</v>
      </c>
      <c r="P245" t="s">
        <v>75</v>
      </c>
      <c r="Q245" t="s">
        <v>70</v>
      </c>
      <c r="R245" t="s">
        <v>62</v>
      </c>
      <c r="S245" t="s">
        <v>57</v>
      </c>
      <c r="T245">
        <v>4</v>
      </c>
      <c r="U245">
        <v>586.29</v>
      </c>
      <c r="V245">
        <v>730.97</v>
      </c>
      <c r="W245">
        <v>1</v>
      </c>
      <c r="X245" t="str">
        <f>TEXT(cleaneddata[[#This Row],[Order Date]],"mmm")</f>
        <v>Oct</v>
      </c>
      <c r="Y245">
        <f>cleaneddata[[#This Row],[Unit Price]]*cleaneddata[[#This Row],[Quantity]]*(1-cleaneddata[[#This Row],[Discount %]]/100)</f>
        <v>996.69299999999987</v>
      </c>
      <c r="Z245">
        <f>cleaneddata[[#This Row],[sales]]-cleaneddata[[#This Row],[Cost]]</f>
        <v>265.72299999999984</v>
      </c>
    </row>
    <row r="246" spans="1:26" x14ac:dyDescent="0.3">
      <c r="A246" t="s">
        <v>769</v>
      </c>
      <c r="B246" s="1">
        <v>45740</v>
      </c>
      <c r="C246" t="s">
        <v>770</v>
      </c>
      <c r="D246" t="s">
        <v>3493</v>
      </c>
      <c r="E246" s="1">
        <v>45745</v>
      </c>
      <c r="F246" t="s">
        <v>2617</v>
      </c>
      <c r="G246" t="s">
        <v>27</v>
      </c>
      <c r="H246" t="s">
        <v>28</v>
      </c>
      <c r="I246" t="s">
        <v>2623</v>
      </c>
      <c r="J246" t="s">
        <v>2691</v>
      </c>
      <c r="K246" t="s">
        <v>52</v>
      </c>
      <c r="L246">
        <v>20</v>
      </c>
      <c r="M246">
        <v>2</v>
      </c>
      <c r="N246">
        <v>20</v>
      </c>
      <c r="O246" t="s">
        <v>771</v>
      </c>
      <c r="P246" t="s">
        <v>75</v>
      </c>
      <c r="Q246" t="s">
        <v>70</v>
      </c>
      <c r="R246" t="s">
        <v>62</v>
      </c>
      <c r="S246" t="s">
        <v>30</v>
      </c>
      <c r="T246">
        <v>5</v>
      </c>
      <c r="U246">
        <v>496.38</v>
      </c>
      <c r="V246">
        <v>604.85</v>
      </c>
      <c r="W246">
        <v>5</v>
      </c>
      <c r="X246" t="str">
        <f>TEXT(cleaneddata[[#This Row],[Order Date]],"mmm")</f>
        <v>Mar</v>
      </c>
      <c r="Y246">
        <f>cleaneddata[[#This Row],[Unit Price]]*cleaneddata[[#This Row],[Quantity]]*(1-cleaneddata[[#This Row],[Discount %]]/100)</f>
        <v>794.20800000000008</v>
      </c>
      <c r="Z246">
        <f>cleaneddata[[#This Row],[sales]]-cleaneddata[[#This Row],[Cost]]</f>
        <v>189.35800000000006</v>
      </c>
    </row>
    <row r="247" spans="1:26" x14ac:dyDescent="0.3">
      <c r="A247" t="s">
        <v>772</v>
      </c>
      <c r="B247" s="1">
        <v>45888</v>
      </c>
      <c r="C247" t="s">
        <v>773</v>
      </c>
      <c r="D247" t="s">
        <v>3492</v>
      </c>
      <c r="E247" s="1">
        <v>45892</v>
      </c>
      <c r="F247" t="s">
        <v>128</v>
      </c>
      <c r="G247" t="s">
        <v>98</v>
      </c>
      <c r="H247" t="s">
        <v>127</v>
      </c>
      <c r="I247" t="s">
        <v>2665</v>
      </c>
      <c r="J247" t="s">
        <v>2666</v>
      </c>
      <c r="K247" t="s">
        <v>52</v>
      </c>
      <c r="L247">
        <v>41</v>
      </c>
      <c r="M247">
        <v>5</v>
      </c>
      <c r="N247">
        <v>20</v>
      </c>
      <c r="O247" t="s">
        <v>774</v>
      </c>
      <c r="P247" t="s">
        <v>44</v>
      </c>
      <c r="Q247" t="s">
        <v>70</v>
      </c>
      <c r="R247" t="s">
        <v>32</v>
      </c>
      <c r="S247" t="s">
        <v>129</v>
      </c>
      <c r="T247">
        <v>2</v>
      </c>
      <c r="U247">
        <v>91.73</v>
      </c>
      <c r="V247">
        <v>187.61</v>
      </c>
      <c r="W247">
        <v>4</v>
      </c>
      <c r="X247" t="str">
        <f>TEXT(cleaneddata[[#This Row],[Order Date]],"mmm")</f>
        <v>Aug</v>
      </c>
      <c r="Y247">
        <f>cleaneddata[[#This Row],[Unit Price]]*cleaneddata[[#This Row],[Quantity]]*(1-cleaneddata[[#This Row],[Discount %]]/100)</f>
        <v>366.92000000000007</v>
      </c>
      <c r="Z247">
        <f>cleaneddata[[#This Row],[sales]]-cleaneddata[[#This Row],[Cost]]</f>
        <v>179.31000000000006</v>
      </c>
    </row>
    <row r="248" spans="1:26" x14ac:dyDescent="0.3">
      <c r="A248" t="s">
        <v>775</v>
      </c>
      <c r="B248" s="1">
        <v>45765</v>
      </c>
      <c r="C248" t="s">
        <v>776</v>
      </c>
      <c r="D248" t="s">
        <v>3491</v>
      </c>
      <c r="E248" s="1">
        <v>45772</v>
      </c>
      <c r="F248" t="s">
        <v>2617</v>
      </c>
      <c r="G248" t="s">
        <v>27</v>
      </c>
      <c r="H248" t="s">
        <v>28</v>
      </c>
      <c r="I248" t="s">
        <v>2663</v>
      </c>
      <c r="J248" t="s">
        <v>2694</v>
      </c>
      <c r="K248" t="s">
        <v>52</v>
      </c>
      <c r="L248">
        <v>26</v>
      </c>
      <c r="M248">
        <v>2</v>
      </c>
      <c r="N248">
        <v>25</v>
      </c>
      <c r="O248" t="s">
        <v>777</v>
      </c>
      <c r="P248" t="s">
        <v>33</v>
      </c>
      <c r="Q248" t="s">
        <v>58</v>
      </c>
      <c r="R248" t="s">
        <v>71</v>
      </c>
      <c r="S248" t="s">
        <v>30</v>
      </c>
      <c r="T248">
        <v>3</v>
      </c>
      <c r="U248">
        <v>396.15</v>
      </c>
      <c r="V248">
        <v>484.81</v>
      </c>
      <c r="W248">
        <v>7</v>
      </c>
      <c r="X248" t="str">
        <f>TEXT(cleaneddata[[#This Row],[Order Date]],"mmm")</f>
        <v>Apr</v>
      </c>
      <c r="Y248">
        <f>cleaneddata[[#This Row],[Unit Price]]*cleaneddata[[#This Row],[Quantity]]*(1-cleaneddata[[#This Row],[Discount %]]/100)</f>
        <v>594.22499999999991</v>
      </c>
      <c r="Z248">
        <f>cleaneddata[[#This Row],[sales]]-cleaneddata[[#This Row],[Cost]]</f>
        <v>109.41499999999991</v>
      </c>
    </row>
    <row r="249" spans="1:26" x14ac:dyDescent="0.3">
      <c r="A249" t="s">
        <v>778</v>
      </c>
      <c r="B249" s="1">
        <v>45403</v>
      </c>
      <c r="C249" t="s">
        <v>779</v>
      </c>
      <c r="D249" t="s">
        <v>3490</v>
      </c>
      <c r="E249" s="1">
        <v>45404</v>
      </c>
      <c r="F249" t="s">
        <v>56</v>
      </c>
      <c r="G249" t="s">
        <v>54</v>
      </c>
      <c r="H249" t="s">
        <v>55</v>
      </c>
      <c r="I249" t="s">
        <v>2639</v>
      </c>
      <c r="J249" t="s">
        <v>2687</v>
      </c>
      <c r="K249" t="s">
        <v>25</v>
      </c>
      <c r="L249">
        <v>26</v>
      </c>
      <c r="M249">
        <v>5</v>
      </c>
      <c r="N249">
        <v>10</v>
      </c>
      <c r="O249" t="s">
        <v>780</v>
      </c>
      <c r="P249" t="s">
        <v>75</v>
      </c>
      <c r="Q249" t="s">
        <v>70</v>
      </c>
      <c r="R249" t="s">
        <v>32</v>
      </c>
      <c r="S249" t="s">
        <v>57</v>
      </c>
      <c r="T249">
        <v>2</v>
      </c>
      <c r="U249">
        <v>80.349999999999994</v>
      </c>
      <c r="V249">
        <v>218.19</v>
      </c>
      <c r="W249">
        <v>1</v>
      </c>
      <c r="X249" t="str">
        <f>TEXT(cleaneddata[[#This Row],[Order Date]],"mmm")</f>
        <v>Apr</v>
      </c>
      <c r="Y249">
        <f>cleaneddata[[#This Row],[Unit Price]]*cleaneddata[[#This Row],[Quantity]]*(1-cleaneddata[[#This Row],[Discount %]]/100)</f>
        <v>361.57499999999999</v>
      </c>
      <c r="Z249">
        <f>cleaneddata[[#This Row],[sales]]-cleaneddata[[#This Row],[Cost]]</f>
        <v>143.38499999999999</v>
      </c>
    </row>
    <row r="250" spans="1:26" x14ac:dyDescent="0.3">
      <c r="A250" t="s">
        <v>781</v>
      </c>
      <c r="B250" s="1">
        <v>45922</v>
      </c>
      <c r="C250" t="s">
        <v>782</v>
      </c>
      <c r="D250" t="s">
        <v>3489</v>
      </c>
      <c r="E250" s="1">
        <v>45926</v>
      </c>
      <c r="F250" t="s">
        <v>140</v>
      </c>
      <c r="G250" t="s">
        <v>38</v>
      </c>
      <c r="H250" t="s">
        <v>139</v>
      </c>
      <c r="I250" t="s">
        <v>2634</v>
      </c>
      <c r="J250" t="s">
        <v>2714</v>
      </c>
      <c r="K250" t="s">
        <v>52</v>
      </c>
      <c r="L250">
        <v>63</v>
      </c>
      <c r="M250">
        <v>3</v>
      </c>
      <c r="N250">
        <v>15</v>
      </c>
      <c r="O250" t="s">
        <v>783</v>
      </c>
      <c r="P250" t="s">
        <v>33</v>
      </c>
      <c r="Q250" t="s">
        <v>70</v>
      </c>
      <c r="R250" t="s">
        <v>71</v>
      </c>
      <c r="S250" t="s">
        <v>141</v>
      </c>
      <c r="T250">
        <v>3</v>
      </c>
      <c r="U250">
        <v>232.83</v>
      </c>
      <c r="V250">
        <v>318.95999999999998</v>
      </c>
      <c r="W250">
        <v>4</v>
      </c>
      <c r="X250" t="str">
        <f>TEXT(cleaneddata[[#This Row],[Order Date]],"mmm")</f>
        <v>Sep</v>
      </c>
      <c r="Y250">
        <f>cleaneddata[[#This Row],[Unit Price]]*cleaneddata[[#This Row],[Quantity]]*(1-cleaneddata[[#This Row],[Discount %]]/100)</f>
        <v>593.7165</v>
      </c>
      <c r="Z250">
        <f>cleaneddata[[#This Row],[sales]]-cleaneddata[[#This Row],[Cost]]</f>
        <v>274.75650000000002</v>
      </c>
    </row>
    <row r="251" spans="1:26" x14ac:dyDescent="0.3">
      <c r="A251" t="s">
        <v>784</v>
      </c>
      <c r="B251" s="1">
        <v>45805</v>
      </c>
      <c r="C251" t="s">
        <v>785</v>
      </c>
      <c r="D251" t="s">
        <v>3488</v>
      </c>
      <c r="E251" s="1">
        <v>45809</v>
      </c>
      <c r="F251" t="s">
        <v>2617</v>
      </c>
      <c r="G251" t="s">
        <v>27</v>
      </c>
      <c r="H251" t="s">
        <v>28</v>
      </c>
      <c r="I251" t="s">
        <v>2663</v>
      </c>
      <c r="J251" t="s">
        <v>2664</v>
      </c>
      <c r="K251" t="s">
        <v>25</v>
      </c>
      <c r="L251">
        <v>18</v>
      </c>
      <c r="M251">
        <v>5</v>
      </c>
      <c r="N251">
        <v>25</v>
      </c>
      <c r="O251" t="s">
        <v>420</v>
      </c>
      <c r="P251" t="s">
        <v>33</v>
      </c>
      <c r="Q251" t="s">
        <v>31</v>
      </c>
      <c r="R251" t="s">
        <v>62</v>
      </c>
      <c r="S251" t="s">
        <v>30</v>
      </c>
      <c r="T251">
        <v>1</v>
      </c>
      <c r="U251">
        <v>678.32</v>
      </c>
      <c r="V251">
        <v>1406.77</v>
      </c>
      <c r="W251">
        <v>4</v>
      </c>
      <c r="X251" t="str">
        <f>TEXT(cleaneddata[[#This Row],[Order Date]],"mmm")</f>
        <v>May</v>
      </c>
      <c r="Y251">
        <f>cleaneddata[[#This Row],[Unit Price]]*cleaneddata[[#This Row],[Quantity]]*(1-cleaneddata[[#This Row],[Discount %]]/100)</f>
        <v>2543.7000000000003</v>
      </c>
      <c r="Z251">
        <f>cleaneddata[[#This Row],[sales]]-cleaneddata[[#This Row],[Cost]]</f>
        <v>1136.9300000000003</v>
      </c>
    </row>
    <row r="252" spans="1:26" x14ac:dyDescent="0.3">
      <c r="A252" t="s">
        <v>786</v>
      </c>
      <c r="B252" s="1">
        <v>45960</v>
      </c>
      <c r="C252" t="s">
        <v>787</v>
      </c>
      <c r="D252" t="s">
        <v>3487</v>
      </c>
      <c r="E252" s="1">
        <v>45961</v>
      </c>
      <c r="F252" t="s">
        <v>100</v>
      </c>
      <c r="G252" t="s">
        <v>98</v>
      </c>
      <c r="H252" t="s">
        <v>99</v>
      </c>
      <c r="I252" t="s">
        <v>2633</v>
      </c>
      <c r="J252" t="s">
        <v>2636</v>
      </c>
      <c r="K252" t="s">
        <v>25</v>
      </c>
      <c r="L252">
        <v>48</v>
      </c>
      <c r="M252">
        <v>1</v>
      </c>
      <c r="N252">
        <v>10</v>
      </c>
      <c r="O252" t="s">
        <v>788</v>
      </c>
      <c r="P252" t="s">
        <v>33</v>
      </c>
      <c r="Q252" t="s">
        <v>31</v>
      </c>
      <c r="R252" t="s">
        <v>62</v>
      </c>
      <c r="S252" t="s">
        <v>101</v>
      </c>
      <c r="T252">
        <v>4</v>
      </c>
      <c r="U252">
        <v>830.44</v>
      </c>
      <c r="V252">
        <v>503.32</v>
      </c>
      <c r="W252">
        <v>1</v>
      </c>
      <c r="X252" t="str">
        <f>TEXT(cleaneddata[[#This Row],[Order Date]],"mmm")</f>
        <v>Oct</v>
      </c>
      <c r="Y252">
        <f>cleaneddata[[#This Row],[Unit Price]]*cleaneddata[[#This Row],[Quantity]]*(1-cleaneddata[[#This Row],[Discount %]]/100)</f>
        <v>747.39600000000007</v>
      </c>
      <c r="Z252">
        <f>cleaneddata[[#This Row],[sales]]-cleaneddata[[#This Row],[Cost]]</f>
        <v>244.07600000000008</v>
      </c>
    </row>
    <row r="253" spans="1:26" x14ac:dyDescent="0.3">
      <c r="A253" t="s">
        <v>789</v>
      </c>
      <c r="B253" s="1">
        <v>46054</v>
      </c>
      <c r="C253" t="s">
        <v>790</v>
      </c>
      <c r="D253" t="s">
        <v>3486</v>
      </c>
      <c r="E253" s="1">
        <v>46058</v>
      </c>
      <c r="F253" t="s">
        <v>2617</v>
      </c>
      <c r="G253" t="s">
        <v>27</v>
      </c>
      <c r="H253" t="s">
        <v>28</v>
      </c>
      <c r="I253" t="s">
        <v>2663</v>
      </c>
      <c r="J253" t="s">
        <v>2694</v>
      </c>
      <c r="K253" t="s">
        <v>52</v>
      </c>
      <c r="L253">
        <v>40</v>
      </c>
      <c r="M253">
        <v>5</v>
      </c>
      <c r="N253">
        <v>15</v>
      </c>
      <c r="O253" t="s">
        <v>791</v>
      </c>
      <c r="P253" t="s">
        <v>75</v>
      </c>
      <c r="Q253" t="s">
        <v>70</v>
      </c>
      <c r="R253" t="s">
        <v>62</v>
      </c>
      <c r="S253" t="s">
        <v>30</v>
      </c>
      <c r="T253">
        <v>1</v>
      </c>
      <c r="U253">
        <v>33.950000000000003</v>
      </c>
      <c r="V253">
        <v>116.75</v>
      </c>
      <c r="W253">
        <v>4</v>
      </c>
      <c r="X253" t="str">
        <f>TEXT(cleaneddata[[#This Row],[Order Date]],"mmm")</f>
        <v>Feb</v>
      </c>
      <c r="Y253">
        <f>cleaneddata[[#This Row],[Unit Price]]*cleaneddata[[#This Row],[Quantity]]*(1-cleaneddata[[#This Row],[Discount %]]/100)</f>
        <v>144.28749999999999</v>
      </c>
      <c r="Z253">
        <f>cleaneddata[[#This Row],[sales]]-cleaneddata[[#This Row],[Cost]]</f>
        <v>27.537499999999994</v>
      </c>
    </row>
    <row r="254" spans="1:26" x14ac:dyDescent="0.3">
      <c r="A254" t="s">
        <v>792</v>
      </c>
      <c r="B254" s="1">
        <v>45350</v>
      </c>
      <c r="C254" t="s">
        <v>793</v>
      </c>
      <c r="D254" t="s">
        <v>3485</v>
      </c>
      <c r="E254" s="1">
        <v>45354</v>
      </c>
      <c r="F254" t="s">
        <v>122</v>
      </c>
      <c r="G254" t="s">
        <v>120</v>
      </c>
      <c r="H254" t="s">
        <v>121</v>
      </c>
      <c r="I254" t="s">
        <v>2647</v>
      </c>
      <c r="J254" t="s">
        <v>2721</v>
      </c>
      <c r="K254" t="s">
        <v>52</v>
      </c>
      <c r="L254">
        <v>30</v>
      </c>
      <c r="M254">
        <v>1</v>
      </c>
      <c r="N254">
        <v>15</v>
      </c>
      <c r="O254" t="s">
        <v>794</v>
      </c>
      <c r="P254" t="s">
        <v>33</v>
      </c>
      <c r="Q254" t="s">
        <v>42</v>
      </c>
      <c r="R254" t="s">
        <v>62</v>
      </c>
      <c r="S254" t="s">
        <v>123</v>
      </c>
      <c r="T254">
        <v>3</v>
      </c>
      <c r="U254">
        <v>244.81</v>
      </c>
      <c r="V254">
        <v>115.95</v>
      </c>
      <c r="W254">
        <v>4</v>
      </c>
      <c r="X254" t="str">
        <f>TEXT(cleaneddata[[#This Row],[Order Date]],"mmm")</f>
        <v>Feb</v>
      </c>
      <c r="Y254">
        <f>cleaneddata[[#This Row],[Unit Price]]*cleaneddata[[#This Row],[Quantity]]*(1-cleaneddata[[#This Row],[Discount %]]/100)</f>
        <v>208.08850000000001</v>
      </c>
      <c r="Z254">
        <f>cleaneddata[[#This Row],[sales]]-cleaneddata[[#This Row],[Cost]]</f>
        <v>92.138500000000008</v>
      </c>
    </row>
    <row r="255" spans="1:26" x14ac:dyDescent="0.3">
      <c r="A255" t="s">
        <v>795</v>
      </c>
      <c r="B255" s="1">
        <v>45803</v>
      </c>
      <c r="C255" t="s">
        <v>796</v>
      </c>
      <c r="D255" t="s">
        <v>3484</v>
      </c>
      <c r="E255" s="1">
        <v>45805</v>
      </c>
      <c r="F255" t="s">
        <v>128</v>
      </c>
      <c r="G255" t="s">
        <v>98</v>
      </c>
      <c r="H255" t="s">
        <v>127</v>
      </c>
      <c r="I255" t="s">
        <v>2639</v>
      </c>
      <c r="J255" t="s">
        <v>2687</v>
      </c>
      <c r="K255" t="s">
        <v>52</v>
      </c>
      <c r="L255">
        <v>20</v>
      </c>
      <c r="M255">
        <v>5</v>
      </c>
      <c r="N255">
        <v>15</v>
      </c>
      <c r="O255" t="s">
        <v>797</v>
      </c>
      <c r="P255" t="s">
        <v>75</v>
      </c>
      <c r="Q255" t="s">
        <v>70</v>
      </c>
      <c r="R255" t="s">
        <v>62</v>
      </c>
      <c r="S255" t="s">
        <v>129</v>
      </c>
      <c r="T255">
        <v>5</v>
      </c>
      <c r="U255">
        <v>709.14</v>
      </c>
      <c r="V255">
        <v>2007.27</v>
      </c>
      <c r="W255">
        <v>2</v>
      </c>
      <c r="X255" t="str">
        <f>TEXT(cleaneddata[[#This Row],[Order Date]],"mmm")</f>
        <v>May</v>
      </c>
      <c r="Y255">
        <f>cleaneddata[[#This Row],[Unit Price]]*cleaneddata[[#This Row],[Quantity]]*(1-cleaneddata[[#This Row],[Discount %]]/100)</f>
        <v>3013.8449999999998</v>
      </c>
      <c r="Z255">
        <f>cleaneddata[[#This Row],[sales]]-cleaneddata[[#This Row],[Cost]]</f>
        <v>1006.5749999999998</v>
      </c>
    </row>
    <row r="256" spans="1:26" x14ac:dyDescent="0.3">
      <c r="A256" t="s">
        <v>798</v>
      </c>
      <c r="B256" s="1">
        <v>45722</v>
      </c>
      <c r="C256" t="s">
        <v>799</v>
      </c>
      <c r="D256" t="s">
        <v>3483</v>
      </c>
      <c r="E256" s="1">
        <v>45726</v>
      </c>
      <c r="F256" t="s">
        <v>2617</v>
      </c>
      <c r="G256" t="s">
        <v>27</v>
      </c>
      <c r="H256" t="s">
        <v>28</v>
      </c>
      <c r="I256" t="s">
        <v>2623</v>
      </c>
      <c r="J256" t="s">
        <v>2701</v>
      </c>
      <c r="K256" t="s">
        <v>25</v>
      </c>
      <c r="L256">
        <v>31</v>
      </c>
      <c r="M256">
        <v>1</v>
      </c>
      <c r="N256">
        <v>15</v>
      </c>
      <c r="O256" t="s">
        <v>794</v>
      </c>
      <c r="P256" t="s">
        <v>33</v>
      </c>
      <c r="Q256" t="s">
        <v>42</v>
      </c>
      <c r="R256" t="s">
        <v>62</v>
      </c>
      <c r="S256" t="s">
        <v>30</v>
      </c>
      <c r="T256">
        <v>4</v>
      </c>
      <c r="U256">
        <v>486.37</v>
      </c>
      <c r="V256">
        <v>287.72000000000003</v>
      </c>
      <c r="W256">
        <v>4</v>
      </c>
      <c r="X256" t="str">
        <f>TEXT(cleaneddata[[#This Row],[Order Date]],"mmm")</f>
        <v>Mar</v>
      </c>
      <c r="Y256">
        <f>cleaneddata[[#This Row],[Unit Price]]*cleaneddata[[#This Row],[Quantity]]*(1-cleaneddata[[#This Row],[Discount %]]/100)</f>
        <v>413.41449999999998</v>
      </c>
      <c r="Z256">
        <f>cleaneddata[[#This Row],[sales]]-cleaneddata[[#This Row],[Cost]]</f>
        <v>125.69449999999995</v>
      </c>
    </row>
    <row r="257" spans="1:26" x14ac:dyDescent="0.3">
      <c r="A257" t="s">
        <v>800</v>
      </c>
      <c r="B257" s="1">
        <v>45960</v>
      </c>
      <c r="C257" t="s">
        <v>801</v>
      </c>
      <c r="D257" t="s">
        <v>3482</v>
      </c>
      <c r="E257" s="1">
        <v>45962</v>
      </c>
      <c r="F257" t="s">
        <v>40</v>
      </c>
      <c r="G257" t="s">
        <v>38</v>
      </c>
      <c r="H257" t="s">
        <v>39</v>
      </c>
      <c r="I257" t="s">
        <v>2639</v>
      </c>
      <c r="J257" t="s">
        <v>2687</v>
      </c>
      <c r="K257" t="s">
        <v>52</v>
      </c>
      <c r="L257">
        <v>63</v>
      </c>
      <c r="M257">
        <v>3</v>
      </c>
      <c r="N257">
        <v>25</v>
      </c>
      <c r="O257" t="s">
        <v>802</v>
      </c>
      <c r="P257" t="s">
        <v>33</v>
      </c>
      <c r="Q257" t="s">
        <v>70</v>
      </c>
      <c r="R257" t="s">
        <v>32</v>
      </c>
      <c r="S257" t="s">
        <v>41</v>
      </c>
      <c r="T257">
        <v>2</v>
      </c>
      <c r="U257">
        <v>581.73</v>
      </c>
      <c r="V257">
        <v>957.32</v>
      </c>
      <c r="W257">
        <v>2</v>
      </c>
      <c r="X257" t="str">
        <f>TEXT(cleaneddata[[#This Row],[Order Date]],"mmm")</f>
        <v>Oct</v>
      </c>
      <c r="Y257">
        <f>cleaneddata[[#This Row],[Unit Price]]*cleaneddata[[#This Row],[Quantity]]*(1-cleaneddata[[#This Row],[Discount %]]/100)</f>
        <v>1308.8924999999999</v>
      </c>
      <c r="Z257">
        <f>cleaneddata[[#This Row],[sales]]-cleaneddata[[#This Row],[Cost]]</f>
        <v>351.57249999999988</v>
      </c>
    </row>
    <row r="258" spans="1:26" x14ac:dyDescent="0.3">
      <c r="A258" t="s">
        <v>803</v>
      </c>
      <c r="B258" s="1">
        <v>45821</v>
      </c>
      <c r="C258" t="s">
        <v>804</v>
      </c>
      <c r="D258" t="s">
        <v>3481</v>
      </c>
      <c r="E258" s="1">
        <v>45828</v>
      </c>
      <c r="F258" t="s">
        <v>122</v>
      </c>
      <c r="G258" t="s">
        <v>120</v>
      </c>
      <c r="H258" t="s">
        <v>121</v>
      </c>
      <c r="I258" t="s">
        <v>2665</v>
      </c>
      <c r="J258" t="s">
        <v>2693</v>
      </c>
      <c r="K258" t="s">
        <v>25</v>
      </c>
      <c r="L258">
        <v>51</v>
      </c>
      <c r="M258">
        <v>1</v>
      </c>
      <c r="N258">
        <v>5</v>
      </c>
      <c r="O258" t="s">
        <v>805</v>
      </c>
      <c r="P258" t="s">
        <v>33</v>
      </c>
      <c r="Q258" t="s">
        <v>70</v>
      </c>
      <c r="R258" t="s">
        <v>62</v>
      </c>
      <c r="S258" t="s">
        <v>123</v>
      </c>
      <c r="T258">
        <v>2</v>
      </c>
      <c r="U258">
        <v>73.38</v>
      </c>
      <c r="V258">
        <v>51.73</v>
      </c>
      <c r="W258">
        <v>7</v>
      </c>
      <c r="X258" t="str">
        <f>TEXT(cleaneddata[[#This Row],[Order Date]],"mmm")</f>
        <v>Jun</v>
      </c>
      <c r="Y258">
        <f>cleaneddata[[#This Row],[Unit Price]]*cleaneddata[[#This Row],[Quantity]]*(1-cleaneddata[[#This Row],[Discount %]]/100)</f>
        <v>69.710999999999999</v>
      </c>
      <c r="Z258">
        <f>cleaneddata[[#This Row],[sales]]-cleaneddata[[#This Row],[Cost]]</f>
        <v>17.981000000000002</v>
      </c>
    </row>
    <row r="259" spans="1:26" x14ac:dyDescent="0.3">
      <c r="A259" t="s">
        <v>806</v>
      </c>
      <c r="B259" s="1">
        <v>45549</v>
      </c>
      <c r="C259" t="s">
        <v>807</v>
      </c>
      <c r="D259" t="s">
        <v>3480</v>
      </c>
      <c r="E259" s="1">
        <v>45551</v>
      </c>
      <c r="F259" t="s">
        <v>140</v>
      </c>
      <c r="G259" t="s">
        <v>38</v>
      </c>
      <c r="H259" t="s">
        <v>139</v>
      </c>
      <c r="I259" t="s">
        <v>2623</v>
      </c>
      <c r="J259" t="s">
        <v>2624</v>
      </c>
      <c r="K259" t="s">
        <v>25</v>
      </c>
      <c r="L259">
        <v>19</v>
      </c>
      <c r="M259">
        <v>2</v>
      </c>
      <c r="N259">
        <v>25</v>
      </c>
      <c r="O259" t="s">
        <v>808</v>
      </c>
      <c r="P259" t="s">
        <v>33</v>
      </c>
      <c r="Q259" t="s">
        <v>70</v>
      </c>
      <c r="R259" t="s">
        <v>32</v>
      </c>
      <c r="S259" t="s">
        <v>141</v>
      </c>
      <c r="T259">
        <v>4</v>
      </c>
      <c r="U259">
        <v>859.91</v>
      </c>
      <c r="V259">
        <v>794.29</v>
      </c>
      <c r="W259">
        <v>2</v>
      </c>
      <c r="X259" t="str">
        <f>TEXT(cleaneddata[[#This Row],[Order Date]],"mmm")</f>
        <v>Sep</v>
      </c>
      <c r="Y259">
        <f>cleaneddata[[#This Row],[Unit Price]]*cleaneddata[[#This Row],[Quantity]]*(1-cleaneddata[[#This Row],[Discount %]]/100)</f>
        <v>1289.865</v>
      </c>
      <c r="Z259">
        <f>cleaneddata[[#This Row],[sales]]-cleaneddata[[#This Row],[Cost]]</f>
        <v>495.57500000000005</v>
      </c>
    </row>
    <row r="260" spans="1:26" x14ac:dyDescent="0.3">
      <c r="A260" t="s">
        <v>809</v>
      </c>
      <c r="B260" s="1">
        <v>45753</v>
      </c>
      <c r="C260" t="s">
        <v>810</v>
      </c>
      <c r="D260" t="s">
        <v>3479</v>
      </c>
      <c r="E260" s="1">
        <v>45759</v>
      </c>
      <c r="F260" t="s">
        <v>56</v>
      </c>
      <c r="G260" t="s">
        <v>54</v>
      </c>
      <c r="H260" t="s">
        <v>55</v>
      </c>
      <c r="I260" t="s">
        <v>2659</v>
      </c>
      <c r="J260" t="s">
        <v>2660</v>
      </c>
      <c r="K260" t="s">
        <v>52</v>
      </c>
      <c r="L260">
        <v>64</v>
      </c>
      <c r="M260">
        <v>3</v>
      </c>
      <c r="N260">
        <v>15</v>
      </c>
      <c r="O260" t="s">
        <v>739</v>
      </c>
      <c r="P260" t="s">
        <v>33</v>
      </c>
      <c r="Q260" t="s">
        <v>31</v>
      </c>
      <c r="R260" t="s">
        <v>32</v>
      </c>
      <c r="S260" t="s">
        <v>57</v>
      </c>
      <c r="T260">
        <v>4</v>
      </c>
      <c r="U260">
        <v>860.37</v>
      </c>
      <c r="V260">
        <v>1537.83</v>
      </c>
      <c r="W260">
        <v>6</v>
      </c>
      <c r="X260" t="str">
        <f>TEXT(cleaneddata[[#This Row],[Order Date]],"mmm")</f>
        <v>Apr</v>
      </c>
      <c r="Y260">
        <f>cleaneddata[[#This Row],[Unit Price]]*cleaneddata[[#This Row],[Quantity]]*(1-cleaneddata[[#This Row],[Discount %]]/100)</f>
        <v>2193.9434999999999</v>
      </c>
      <c r="Z260">
        <f>cleaneddata[[#This Row],[sales]]-cleaneddata[[#This Row],[Cost]]</f>
        <v>656.11349999999993</v>
      </c>
    </row>
    <row r="261" spans="1:26" x14ac:dyDescent="0.3">
      <c r="A261" t="s">
        <v>811</v>
      </c>
      <c r="B261" s="1">
        <v>45538</v>
      </c>
      <c r="C261" t="s">
        <v>812</v>
      </c>
      <c r="D261" t="s">
        <v>3478</v>
      </c>
      <c r="E261" s="1">
        <v>45541</v>
      </c>
      <c r="F261" t="s">
        <v>68</v>
      </c>
      <c r="G261" t="s">
        <v>66</v>
      </c>
      <c r="H261" t="s">
        <v>67</v>
      </c>
      <c r="I261" t="s">
        <v>2635</v>
      </c>
      <c r="J261" t="s">
        <v>2720</v>
      </c>
      <c r="K261" t="s">
        <v>52</v>
      </c>
      <c r="L261">
        <v>32</v>
      </c>
      <c r="M261">
        <v>2</v>
      </c>
      <c r="N261">
        <v>20</v>
      </c>
      <c r="O261" t="s">
        <v>802</v>
      </c>
      <c r="P261" t="s">
        <v>33</v>
      </c>
      <c r="Q261" t="s">
        <v>117</v>
      </c>
      <c r="R261" t="s">
        <v>62</v>
      </c>
      <c r="S261" t="s">
        <v>69</v>
      </c>
      <c r="T261">
        <v>4</v>
      </c>
      <c r="U261">
        <v>782.03</v>
      </c>
      <c r="V261">
        <v>698.27</v>
      </c>
      <c r="W261">
        <v>3</v>
      </c>
      <c r="X261" t="str">
        <f>TEXT(cleaneddata[[#This Row],[Order Date]],"mmm")</f>
        <v>Sep</v>
      </c>
      <c r="Y261">
        <f>cleaneddata[[#This Row],[Unit Price]]*cleaneddata[[#This Row],[Quantity]]*(1-cleaneddata[[#This Row],[Discount %]]/100)</f>
        <v>1251.248</v>
      </c>
      <c r="Z261">
        <f>cleaneddata[[#This Row],[sales]]-cleaneddata[[#This Row],[Cost]]</f>
        <v>552.97800000000007</v>
      </c>
    </row>
    <row r="262" spans="1:26" x14ac:dyDescent="0.3">
      <c r="A262" t="s">
        <v>813</v>
      </c>
      <c r="B262" s="1">
        <v>45847</v>
      </c>
      <c r="C262" t="s">
        <v>814</v>
      </c>
      <c r="D262" t="s">
        <v>3477</v>
      </c>
      <c r="E262" s="1">
        <v>45854</v>
      </c>
      <c r="F262" t="s">
        <v>100</v>
      </c>
      <c r="G262" t="s">
        <v>98</v>
      </c>
      <c r="H262" t="s">
        <v>99</v>
      </c>
      <c r="I262" t="s">
        <v>2641</v>
      </c>
      <c r="J262" t="s">
        <v>2713</v>
      </c>
      <c r="K262" t="s">
        <v>52</v>
      </c>
      <c r="L262">
        <v>58</v>
      </c>
      <c r="M262">
        <v>1</v>
      </c>
      <c r="N262">
        <v>25</v>
      </c>
      <c r="O262" t="s">
        <v>815</v>
      </c>
      <c r="P262" t="s">
        <v>44</v>
      </c>
      <c r="Q262" t="s">
        <v>58</v>
      </c>
      <c r="R262" t="s">
        <v>62</v>
      </c>
      <c r="S262" t="s">
        <v>101</v>
      </c>
      <c r="T262">
        <v>5</v>
      </c>
      <c r="U262">
        <v>939.22</v>
      </c>
      <c r="V262">
        <v>444.68</v>
      </c>
      <c r="W262">
        <v>7</v>
      </c>
      <c r="X262" t="str">
        <f>TEXT(cleaneddata[[#This Row],[Order Date]],"mmm")</f>
        <v>Jul</v>
      </c>
      <c r="Y262">
        <f>cleaneddata[[#This Row],[Unit Price]]*cleaneddata[[#This Row],[Quantity]]*(1-cleaneddata[[#This Row],[Discount %]]/100)</f>
        <v>704.41499999999996</v>
      </c>
      <c r="Z262">
        <f>cleaneddata[[#This Row],[sales]]-cleaneddata[[#This Row],[Cost]]</f>
        <v>259.73499999999996</v>
      </c>
    </row>
    <row r="263" spans="1:26" x14ac:dyDescent="0.3">
      <c r="A263" t="s">
        <v>816</v>
      </c>
      <c r="B263" s="1">
        <v>45526</v>
      </c>
      <c r="C263" t="s">
        <v>817</v>
      </c>
      <c r="D263" t="s">
        <v>3476</v>
      </c>
      <c r="E263" s="1">
        <v>45527</v>
      </c>
      <c r="F263" t="s">
        <v>122</v>
      </c>
      <c r="G263" t="s">
        <v>120</v>
      </c>
      <c r="H263" t="s">
        <v>121</v>
      </c>
      <c r="I263" t="s">
        <v>2632</v>
      </c>
      <c r="J263" t="s">
        <v>2645</v>
      </c>
      <c r="K263" t="s">
        <v>52</v>
      </c>
      <c r="L263">
        <v>60</v>
      </c>
      <c r="M263">
        <v>3</v>
      </c>
      <c r="N263">
        <v>25</v>
      </c>
      <c r="O263" t="s">
        <v>818</v>
      </c>
      <c r="P263" t="s">
        <v>75</v>
      </c>
      <c r="Q263" t="s">
        <v>58</v>
      </c>
      <c r="R263" t="s">
        <v>43</v>
      </c>
      <c r="S263" t="s">
        <v>123</v>
      </c>
      <c r="T263">
        <v>1</v>
      </c>
      <c r="U263">
        <v>734.03</v>
      </c>
      <c r="V263">
        <v>883.63</v>
      </c>
      <c r="W263">
        <v>1</v>
      </c>
      <c r="X263" t="str">
        <f>TEXT(cleaneddata[[#This Row],[Order Date]],"mmm")</f>
        <v>Aug</v>
      </c>
      <c r="Y263">
        <f>cleaneddata[[#This Row],[Unit Price]]*cleaneddata[[#This Row],[Quantity]]*(1-cleaneddata[[#This Row],[Discount %]]/100)</f>
        <v>1651.5675000000001</v>
      </c>
      <c r="Z263">
        <f>cleaneddata[[#This Row],[sales]]-cleaneddata[[#This Row],[Cost]]</f>
        <v>767.93750000000011</v>
      </c>
    </row>
    <row r="264" spans="1:26" x14ac:dyDescent="0.3">
      <c r="A264" t="s">
        <v>819</v>
      </c>
      <c r="B264" s="1">
        <v>45518</v>
      </c>
      <c r="C264" t="s">
        <v>820</v>
      </c>
      <c r="D264" t="s">
        <v>3475</v>
      </c>
      <c r="E264" s="1">
        <v>45524</v>
      </c>
      <c r="F264" t="s">
        <v>2617</v>
      </c>
      <c r="G264" t="s">
        <v>27</v>
      </c>
      <c r="H264" t="s">
        <v>28</v>
      </c>
      <c r="I264" t="s">
        <v>2672</v>
      </c>
      <c r="J264" t="s">
        <v>2716</v>
      </c>
      <c r="K264" t="s">
        <v>25</v>
      </c>
      <c r="L264">
        <v>34</v>
      </c>
      <c r="M264">
        <v>4</v>
      </c>
      <c r="N264">
        <v>25</v>
      </c>
      <c r="O264" t="s">
        <v>821</v>
      </c>
      <c r="P264" t="s">
        <v>44</v>
      </c>
      <c r="Q264" t="s">
        <v>58</v>
      </c>
      <c r="R264" t="s">
        <v>62</v>
      </c>
      <c r="S264" t="s">
        <v>30</v>
      </c>
      <c r="T264">
        <v>4</v>
      </c>
      <c r="U264">
        <v>266.98</v>
      </c>
      <c r="V264">
        <v>503.15</v>
      </c>
      <c r="W264">
        <v>6</v>
      </c>
      <c r="X264" t="str">
        <f>TEXT(cleaneddata[[#This Row],[Order Date]],"mmm")</f>
        <v>Aug</v>
      </c>
      <c r="Y264">
        <f>cleaneddata[[#This Row],[Unit Price]]*cleaneddata[[#This Row],[Quantity]]*(1-cleaneddata[[#This Row],[Discount %]]/100)</f>
        <v>800.94</v>
      </c>
      <c r="Z264">
        <f>cleaneddata[[#This Row],[sales]]-cleaneddata[[#This Row],[Cost]]</f>
        <v>297.79000000000008</v>
      </c>
    </row>
    <row r="265" spans="1:26" x14ac:dyDescent="0.3">
      <c r="A265" t="s">
        <v>822</v>
      </c>
      <c r="B265" s="1">
        <v>45901</v>
      </c>
      <c r="C265" t="s">
        <v>823</v>
      </c>
      <c r="D265" t="s">
        <v>3474</v>
      </c>
      <c r="E265" s="1">
        <v>45908</v>
      </c>
      <c r="F265" t="s">
        <v>100</v>
      </c>
      <c r="G265" t="s">
        <v>98</v>
      </c>
      <c r="H265" t="s">
        <v>99</v>
      </c>
      <c r="I265" t="s">
        <v>2663</v>
      </c>
      <c r="J265" t="s">
        <v>2670</v>
      </c>
      <c r="K265" t="s">
        <v>52</v>
      </c>
      <c r="L265">
        <v>49</v>
      </c>
      <c r="M265">
        <v>3</v>
      </c>
      <c r="N265">
        <v>30</v>
      </c>
      <c r="O265" t="s">
        <v>824</v>
      </c>
      <c r="P265" t="s">
        <v>75</v>
      </c>
      <c r="Q265" t="s">
        <v>42</v>
      </c>
      <c r="R265" t="s">
        <v>71</v>
      </c>
      <c r="S265" t="s">
        <v>101</v>
      </c>
      <c r="T265">
        <v>3</v>
      </c>
      <c r="U265">
        <v>18.559999999999999</v>
      </c>
      <c r="V265">
        <v>21.89</v>
      </c>
      <c r="W265">
        <v>7</v>
      </c>
      <c r="X265" t="str">
        <f>TEXT(cleaneddata[[#This Row],[Order Date]],"mmm")</f>
        <v>Sep</v>
      </c>
      <c r="Y265">
        <f>cleaneddata[[#This Row],[Unit Price]]*cleaneddata[[#This Row],[Quantity]]*(1-cleaneddata[[#This Row],[Discount %]]/100)</f>
        <v>38.975999999999992</v>
      </c>
      <c r="Z265">
        <f>cleaneddata[[#This Row],[sales]]-cleaneddata[[#This Row],[Cost]]</f>
        <v>17.085999999999991</v>
      </c>
    </row>
    <row r="266" spans="1:26" x14ac:dyDescent="0.3">
      <c r="A266" t="s">
        <v>825</v>
      </c>
      <c r="B266" s="1">
        <v>45617</v>
      </c>
      <c r="C266" t="s">
        <v>826</v>
      </c>
      <c r="D266" t="s">
        <v>3473</v>
      </c>
      <c r="E266" s="1">
        <v>45621</v>
      </c>
      <c r="F266" t="s">
        <v>56</v>
      </c>
      <c r="G266" t="s">
        <v>54</v>
      </c>
      <c r="H266" t="s">
        <v>55</v>
      </c>
      <c r="I266" t="s">
        <v>2668</v>
      </c>
      <c r="J266" t="s">
        <v>2708</v>
      </c>
      <c r="K266" t="s">
        <v>52</v>
      </c>
      <c r="L266">
        <v>35</v>
      </c>
      <c r="M266">
        <v>4</v>
      </c>
      <c r="N266">
        <v>0</v>
      </c>
      <c r="O266" t="s">
        <v>291</v>
      </c>
      <c r="P266" t="s">
        <v>75</v>
      </c>
      <c r="Q266" t="s">
        <v>70</v>
      </c>
      <c r="R266" t="s">
        <v>43</v>
      </c>
      <c r="S266" t="s">
        <v>57</v>
      </c>
      <c r="T266">
        <v>3</v>
      </c>
      <c r="U266">
        <v>540.28</v>
      </c>
      <c r="V266">
        <v>1427.02</v>
      </c>
      <c r="W266">
        <v>4</v>
      </c>
      <c r="X266" t="str">
        <f>TEXT(cleaneddata[[#This Row],[Order Date]],"mmm")</f>
        <v>Nov</v>
      </c>
      <c r="Y266">
        <f>cleaneddata[[#This Row],[Unit Price]]*cleaneddata[[#This Row],[Quantity]]*(1-cleaneddata[[#This Row],[Discount %]]/100)</f>
        <v>2161.12</v>
      </c>
      <c r="Z266">
        <f>cleaneddata[[#This Row],[sales]]-cleaneddata[[#This Row],[Cost]]</f>
        <v>734.09999999999991</v>
      </c>
    </row>
    <row r="267" spans="1:26" x14ac:dyDescent="0.3">
      <c r="A267" t="s">
        <v>827</v>
      </c>
      <c r="B267" s="1">
        <v>46174</v>
      </c>
      <c r="C267" t="s">
        <v>828</v>
      </c>
      <c r="D267" t="s">
        <v>3472</v>
      </c>
      <c r="E267" s="1">
        <v>46176</v>
      </c>
      <c r="F267" t="s">
        <v>122</v>
      </c>
      <c r="G267" t="s">
        <v>120</v>
      </c>
      <c r="H267" t="s">
        <v>121</v>
      </c>
      <c r="I267" t="s">
        <v>2629</v>
      </c>
      <c r="J267" t="s">
        <v>2697</v>
      </c>
      <c r="K267" t="s">
        <v>25</v>
      </c>
      <c r="L267">
        <v>44</v>
      </c>
      <c r="M267">
        <v>4</v>
      </c>
      <c r="N267">
        <v>25</v>
      </c>
      <c r="O267" t="s">
        <v>829</v>
      </c>
      <c r="P267" t="s">
        <v>44</v>
      </c>
      <c r="Q267" t="s">
        <v>117</v>
      </c>
      <c r="R267" t="s">
        <v>62</v>
      </c>
      <c r="S267" t="s">
        <v>123</v>
      </c>
      <c r="T267">
        <v>4</v>
      </c>
      <c r="U267">
        <v>541.87</v>
      </c>
      <c r="V267">
        <v>974.66</v>
      </c>
      <c r="W267">
        <v>2</v>
      </c>
      <c r="X267" t="str">
        <f>TEXT(cleaneddata[[#This Row],[Order Date]],"mmm")</f>
        <v>Jun</v>
      </c>
      <c r="Y267">
        <f>cleaneddata[[#This Row],[Unit Price]]*cleaneddata[[#This Row],[Quantity]]*(1-cleaneddata[[#This Row],[Discount %]]/100)</f>
        <v>1625.6100000000001</v>
      </c>
      <c r="Z267">
        <f>cleaneddata[[#This Row],[sales]]-cleaneddata[[#This Row],[Cost]]</f>
        <v>650.95000000000016</v>
      </c>
    </row>
    <row r="268" spans="1:26" x14ac:dyDescent="0.3">
      <c r="A268" t="s">
        <v>830</v>
      </c>
      <c r="B268" s="1">
        <v>45885</v>
      </c>
      <c r="C268" t="s">
        <v>831</v>
      </c>
      <c r="D268" t="s">
        <v>2781</v>
      </c>
      <c r="E268" s="1">
        <v>45889</v>
      </c>
      <c r="F268" t="s">
        <v>2617</v>
      </c>
      <c r="G268" t="s">
        <v>27</v>
      </c>
      <c r="H268" t="s">
        <v>28</v>
      </c>
      <c r="I268" t="s">
        <v>2665</v>
      </c>
      <c r="J268" t="s">
        <v>2666</v>
      </c>
      <c r="K268" t="s">
        <v>25</v>
      </c>
      <c r="L268">
        <v>58</v>
      </c>
      <c r="M268">
        <v>5</v>
      </c>
      <c r="N268">
        <v>0</v>
      </c>
      <c r="O268" t="s">
        <v>832</v>
      </c>
      <c r="P268" t="s">
        <v>33</v>
      </c>
      <c r="Q268" t="s">
        <v>31</v>
      </c>
      <c r="R268" t="s">
        <v>71</v>
      </c>
      <c r="S268" t="s">
        <v>30</v>
      </c>
      <c r="T268">
        <v>1</v>
      </c>
      <c r="U268">
        <v>698.87</v>
      </c>
      <c r="V268">
        <v>2380.4699999999998</v>
      </c>
      <c r="W268">
        <v>4</v>
      </c>
      <c r="X268" t="str">
        <f>TEXT(cleaneddata[[#This Row],[Order Date]],"mmm")</f>
        <v>Aug</v>
      </c>
      <c r="Y268">
        <f>cleaneddata[[#This Row],[Unit Price]]*cleaneddata[[#This Row],[Quantity]]*(1-cleaneddata[[#This Row],[Discount %]]/100)</f>
        <v>3494.35</v>
      </c>
      <c r="Z268">
        <f>cleaneddata[[#This Row],[sales]]-cleaneddata[[#This Row],[Cost]]</f>
        <v>1113.8800000000001</v>
      </c>
    </row>
    <row r="269" spans="1:26" x14ac:dyDescent="0.3">
      <c r="A269" t="s">
        <v>833</v>
      </c>
      <c r="B269" s="1">
        <v>45744</v>
      </c>
      <c r="C269" t="s">
        <v>834</v>
      </c>
      <c r="D269" t="s">
        <v>2780</v>
      </c>
      <c r="E269" s="1">
        <v>45745</v>
      </c>
      <c r="F269" t="s">
        <v>2617</v>
      </c>
      <c r="G269" t="s">
        <v>27</v>
      </c>
      <c r="H269" t="s">
        <v>28</v>
      </c>
      <c r="I269" t="s">
        <v>2665</v>
      </c>
      <c r="J269" t="s">
        <v>2666</v>
      </c>
      <c r="K269" t="s">
        <v>25</v>
      </c>
      <c r="L269">
        <v>37</v>
      </c>
      <c r="M269">
        <v>1</v>
      </c>
      <c r="N269">
        <v>20</v>
      </c>
      <c r="O269" t="s">
        <v>177</v>
      </c>
      <c r="P269" t="s">
        <v>75</v>
      </c>
      <c r="Q269" t="s">
        <v>31</v>
      </c>
      <c r="R269" t="s">
        <v>43</v>
      </c>
      <c r="S269" t="s">
        <v>30</v>
      </c>
      <c r="T269">
        <v>1</v>
      </c>
      <c r="U269">
        <v>93.3</v>
      </c>
      <c r="V269">
        <v>60.91</v>
      </c>
      <c r="W269">
        <v>1</v>
      </c>
      <c r="X269" t="str">
        <f>TEXT(cleaneddata[[#This Row],[Order Date]],"mmm")</f>
        <v>Mar</v>
      </c>
      <c r="Y269">
        <f>cleaneddata[[#This Row],[Unit Price]]*cleaneddata[[#This Row],[Quantity]]*(1-cleaneddata[[#This Row],[Discount %]]/100)</f>
        <v>74.64</v>
      </c>
      <c r="Z269">
        <f>cleaneddata[[#This Row],[sales]]-cleaneddata[[#This Row],[Cost]]</f>
        <v>13.730000000000004</v>
      </c>
    </row>
    <row r="270" spans="1:26" x14ac:dyDescent="0.3">
      <c r="A270" t="s">
        <v>835</v>
      </c>
      <c r="B270" s="1">
        <v>45432</v>
      </c>
      <c r="C270" t="s">
        <v>836</v>
      </c>
      <c r="D270" t="s">
        <v>2779</v>
      </c>
      <c r="E270" s="1">
        <v>45434</v>
      </c>
      <c r="F270" t="s">
        <v>100</v>
      </c>
      <c r="G270" t="s">
        <v>98</v>
      </c>
      <c r="H270" t="s">
        <v>99</v>
      </c>
      <c r="I270" t="s">
        <v>2637</v>
      </c>
      <c r="J270" t="s">
        <v>2649</v>
      </c>
      <c r="K270" t="s">
        <v>25</v>
      </c>
      <c r="L270">
        <v>29</v>
      </c>
      <c r="M270">
        <v>4</v>
      </c>
      <c r="N270">
        <v>30</v>
      </c>
      <c r="O270" t="s">
        <v>583</v>
      </c>
      <c r="P270" t="s">
        <v>33</v>
      </c>
      <c r="Q270" t="s">
        <v>58</v>
      </c>
      <c r="R270" t="s">
        <v>43</v>
      </c>
      <c r="S270" t="s">
        <v>101</v>
      </c>
      <c r="T270">
        <v>1</v>
      </c>
      <c r="U270">
        <v>14.55</v>
      </c>
      <c r="V270">
        <v>27.38</v>
      </c>
      <c r="W270">
        <v>2</v>
      </c>
      <c r="X270" t="str">
        <f>TEXT(cleaneddata[[#This Row],[Order Date]],"mmm")</f>
        <v>May</v>
      </c>
      <c r="Y270">
        <f>cleaneddata[[#This Row],[Unit Price]]*cleaneddata[[#This Row],[Quantity]]*(1-cleaneddata[[#This Row],[Discount %]]/100)</f>
        <v>40.74</v>
      </c>
      <c r="Z270">
        <f>cleaneddata[[#This Row],[sales]]-cleaneddata[[#This Row],[Cost]]</f>
        <v>13.360000000000003</v>
      </c>
    </row>
    <row r="271" spans="1:26" x14ac:dyDescent="0.3">
      <c r="A271" t="s">
        <v>837</v>
      </c>
      <c r="B271" s="1">
        <v>45334</v>
      </c>
      <c r="C271" t="s">
        <v>838</v>
      </c>
      <c r="D271" t="s">
        <v>2778</v>
      </c>
      <c r="E271" s="1">
        <v>45339</v>
      </c>
      <c r="F271" t="s">
        <v>2617</v>
      </c>
      <c r="G271" t="s">
        <v>27</v>
      </c>
      <c r="H271" t="s">
        <v>28</v>
      </c>
      <c r="I271" t="s">
        <v>2679</v>
      </c>
      <c r="J271" t="s">
        <v>2707</v>
      </c>
      <c r="K271" t="s">
        <v>52</v>
      </c>
      <c r="L271">
        <v>65</v>
      </c>
      <c r="M271">
        <v>1</v>
      </c>
      <c r="N271">
        <v>30</v>
      </c>
      <c r="O271" t="s">
        <v>258</v>
      </c>
      <c r="P271" t="s">
        <v>75</v>
      </c>
      <c r="Q271" t="s">
        <v>58</v>
      </c>
      <c r="R271" t="s">
        <v>43</v>
      </c>
      <c r="S271" t="s">
        <v>30</v>
      </c>
      <c r="T271">
        <v>3</v>
      </c>
      <c r="U271">
        <v>338.02</v>
      </c>
      <c r="V271">
        <v>156.54</v>
      </c>
      <c r="W271">
        <v>5</v>
      </c>
      <c r="X271" t="str">
        <f>TEXT(cleaneddata[[#This Row],[Order Date]],"mmm")</f>
        <v>Feb</v>
      </c>
      <c r="Y271">
        <f>cleaneddata[[#This Row],[Unit Price]]*cleaneddata[[#This Row],[Quantity]]*(1-cleaneddata[[#This Row],[Discount %]]/100)</f>
        <v>236.61399999999998</v>
      </c>
      <c r="Z271">
        <f>cleaneddata[[#This Row],[sales]]-cleaneddata[[#This Row],[Cost]]</f>
        <v>80.073999999999984</v>
      </c>
    </row>
    <row r="272" spans="1:26" x14ac:dyDescent="0.3">
      <c r="A272" t="s">
        <v>839</v>
      </c>
      <c r="B272" s="1">
        <v>45660</v>
      </c>
      <c r="C272" t="s">
        <v>840</v>
      </c>
      <c r="D272" t="s">
        <v>3471</v>
      </c>
      <c r="E272" s="1">
        <v>45664</v>
      </c>
      <c r="F272" t="s">
        <v>128</v>
      </c>
      <c r="G272" t="s">
        <v>98</v>
      </c>
      <c r="H272" t="s">
        <v>127</v>
      </c>
      <c r="I272" t="s">
        <v>2622</v>
      </c>
      <c r="J272" t="s">
        <v>2686</v>
      </c>
      <c r="K272" t="s">
        <v>52</v>
      </c>
      <c r="L272">
        <v>63</v>
      </c>
      <c r="M272">
        <v>2</v>
      </c>
      <c r="N272">
        <v>25</v>
      </c>
      <c r="O272" t="s">
        <v>841</v>
      </c>
      <c r="P272" t="s">
        <v>44</v>
      </c>
      <c r="Q272" t="s">
        <v>117</v>
      </c>
      <c r="R272" t="s">
        <v>32</v>
      </c>
      <c r="S272" t="s">
        <v>129</v>
      </c>
      <c r="T272">
        <v>4</v>
      </c>
      <c r="U272">
        <v>174.54</v>
      </c>
      <c r="V272">
        <v>193.33</v>
      </c>
      <c r="W272">
        <v>4</v>
      </c>
      <c r="X272" t="str">
        <f>TEXT(cleaneddata[[#This Row],[Order Date]],"mmm")</f>
        <v>Jan</v>
      </c>
      <c r="Y272">
        <f>cleaneddata[[#This Row],[Unit Price]]*cleaneddata[[#This Row],[Quantity]]*(1-cleaneddata[[#This Row],[Discount %]]/100)</f>
        <v>261.81</v>
      </c>
      <c r="Z272">
        <f>cleaneddata[[#This Row],[sales]]-cleaneddata[[#This Row],[Cost]]</f>
        <v>68.47999999999999</v>
      </c>
    </row>
    <row r="273" spans="1:26" x14ac:dyDescent="0.3">
      <c r="A273" t="s">
        <v>842</v>
      </c>
      <c r="B273" s="1">
        <v>45522</v>
      </c>
      <c r="C273" t="s">
        <v>843</v>
      </c>
      <c r="D273" t="s">
        <v>3470</v>
      </c>
      <c r="E273" s="1">
        <v>45529</v>
      </c>
      <c r="F273" t="s">
        <v>115</v>
      </c>
      <c r="G273" t="s">
        <v>66</v>
      </c>
      <c r="H273" t="s">
        <v>114</v>
      </c>
      <c r="I273" t="s">
        <v>2632</v>
      </c>
      <c r="J273" t="s">
        <v>2715</v>
      </c>
      <c r="K273" t="s">
        <v>52</v>
      </c>
      <c r="L273">
        <v>63</v>
      </c>
      <c r="M273">
        <v>2</v>
      </c>
      <c r="N273">
        <v>20</v>
      </c>
      <c r="O273" t="s">
        <v>135</v>
      </c>
      <c r="P273" t="s">
        <v>75</v>
      </c>
      <c r="Q273" t="s">
        <v>117</v>
      </c>
      <c r="R273" t="s">
        <v>32</v>
      </c>
      <c r="S273" t="s">
        <v>116</v>
      </c>
      <c r="T273">
        <v>4</v>
      </c>
      <c r="U273">
        <v>506.86</v>
      </c>
      <c r="V273">
        <v>426.18</v>
      </c>
      <c r="W273">
        <v>7</v>
      </c>
      <c r="X273" t="str">
        <f>TEXT(cleaneddata[[#This Row],[Order Date]],"mmm")</f>
        <v>Aug</v>
      </c>
      <c r="Y273">
        <f>cleaneddata[[#This Row],[Unit Price]]*cleaneddata[[#This Row],[Quantity]]*(1-cleaneddata[[#This Row],[Discount %]]/100)</f>
        <v>810.97600000000011</v>
      </c>
      <c r="Z273">
        <f>cleaneddata[[#This Row],[sales]]-cleaneddata[[#This Row],[Cost]]</f>
        <v>384.79600000000011</v>
      </c>
    </row>
    <row r="274" spans="1:26" x14ac:dyDescent="0.3">
      <c r="A274" t="s">
        <v>844</v>
      </c>
      <c r="B274" s="1">
        <v>45473</v>
      </c>
      <c r="C274" t="s">
        <v>639</v>
      </c>
      <c r="D274" t="s">
        <v>3469</v>
      </c>
      <c r="E274" s="1">
        <v>45477</v>
      </c>
      <c r="F274" t="s">
        <v>100</v>
      </c>
      <c r="G274" t="s">
        <v>98</v>
      </c>
      <c r="H274" t="s">
        <v>99</v>
      </c>
      <c r="I274" t="s">
        <v>2633</v>
      </c>
      <c r="J274" t="s">
        <v>2678</v>
      </c>
      <c r="K274" t="s">
        <v>25</v>
      </c>
      <c r="L274">
        <v>60</v>
      </c>
      <c r="M274">
        <v>3</v>
      </c>
      <c r="N274">
        <v>30</v>
      </c>
      <c r="O274" t="s">
        <v>845</v>
      </c>
      <c r="P274" t="s">
        <v>33</v>
      </c>
      <c r="Q274" t="s">
        <v>117</v>
      </c>
      <c r="R274" t="s">
        <v>32</v>
      </c>
      <c r="S274" t="s">
        <v>101</v>
      </c>
      <c r="T274">
        <v>4</v>
      </c>
      <c r="U274">
        <v>793.66</v>
      </c>
      <c r="V274">
        <v>903.73</v>
      </c>
      <c r="W274">
        <v>4</v>
      </c>
      <c r="X274" t="str">
        <f>TEXT(cleaneddata[[#This Row],[Order Date]],"mmm")</f>
        <v>Jun</v>
      </c>
      <c r="Y274">
        <f>cleaneddata[[#This Row],[Unit Price]]*cleaneddata[[#This Row],[Quantity]]*(1-cleaneddata[[#This Row],[Discount %]]/100)</f>
        <v>1666.6859999999999</v>
      </c>
      <c r="Z274">
        <f>cleaneddata[[#This Row],[sales]]-cleaneddata[[#This Row],[Cost]]</f>
        <v>762.9559999999999</v>
      </c>
    </row>
    <row r="275" spans="1:26" x14ac:dyDescent="0.3">
      <c r="A275" t="s">
        <v>846</v>
      </c>
      <c r="B275" s="1">
        <v>45981</v>
      </c>
      <c r="C275" t="s">
        <v>847</v>
      </c>
      <c r="D275" t="s">
        <v>3468</v>
      </c>
      <c r="E275" s="1">
        <v>45987</v>
      </c>
      <c r="F275" t="s">
        <v>128</v>
      </c>
      <c r="G275" t="s">
        <v>98</v>
      </c>
      <c r="H275" t="s">
        <v>127</v>
      </c>
      <c r="I275" t="s">
        <v>2663</v>
      </c>
      <c r="J275" t="s">
        <v>2670</v>
      </c>
      <c r="K275" t="s">
        <v>25</v>
      </c>
      <c r="L275">
        <v>42</v>
      </c>
      <c r="M275">
        <v>2</v>
      </c>
      <c r="N275">
        <v>20</v>
      </c>
      <c r="O275" t="s">
        <v>848</v>
      </c>
      <c r="P275" t="s">
        <v>44</v>
      </c>
      <c r="Q275" t="s">
        <v>117</v>
      </c>
      <c r="R275" t="s">
        <v>62</v>
      </c>
      <c r="S275" t="s">
        <v>129</v>
      </c>
      <c r="T275">
        <v>5</v>
      </c>
      <c r="U275">
        <v>163.49</v>
      </c>
      <c r="V275">
        <v>202.49</v>
      </c>
      <c r="W275">
        <v>6</v>
      </c>
      <c r="X275" t="str">
        <f>TEXT(cleaneddata[[#This Row],[Order Date]],"mmm")</f>
        <v>Nov</v>
      </c>
      <c r="Y275">
        <f>cleaneddata[[#This Row],[Unit Price]]*cleaneddata[[#This Row],[Quantity]]*(1-cleaneddata[[#This Row],[Discount %]]/100)</f>
        <v>261.584</v>
      </c>
      <c r="Z275">
        <f>cleaneddata[[#This Row],[sales]]-cleaneddata[[#This Row],[Cost]]</f>
        <v>59.093999999999994</v>
      </c>
    </row>
    <row r="276" spans="1:26" x14ac:dyDescent="0.3">
      <c r="A276" t="s">
        <v>849</v>
      </c>
      <c r="B276" s="1">
        <v>45743</v>
      </c>
      <c r="C276" t="s">
        <v>850</v>
      </c>
      <c r="D276" t="s">
        <v>3467</v>
      </c>
      <c r="E276" s="1">
        <v>45750</v>
      </c>
      <c r="F276" t="s">
        <v>128</v>
      </c>
      <c r="G276" t="s">
        <v>98</v>
      </c>
      <c r="H276" t="s">
        <v>127</v>
      </c>
      <c r="I276" t="s">
        <v>2622</v>
      </c>
      <c r="J276" t="s">
        <v>2622</v>
      </c>
      <c r="K276" t="s">
        <v>25</v>
      </c>
      <c r="L276">
        <v>31</v>
      </c>
      <c r="M276">
        <v>5</v>
      </c>
      <c r="N276">
        <v>0</v>
      </c>
      <c r="O276" t="s">
        <v>734</v>
      </c>
      <c r="P276" t="s">
        <v>33</v>
      </c>
      <c r="Q276" t="s">
        <v>70</v>
      </c>
      <c r="R276" t="s">
        <v>62</v>
      </c>
      <c r="S276" t="s">
        <v>129</v>
      </c>
      <c r="T276">
        <v>1</v>
      </c>
      <c r="U276">
        <v>552.04999999999995</v>
      </c>
      <c r="V276">
        <v>1882.26</v>
      </c>
      <c r="W276">
        <v>7</v>
      </c>
      <c r="X276" t="str">
        <f>TEXT(cleaneddata[[#This Row],[Order Date]],"mmm")</f>
        <v>Mar</v>
      </c>
      <c r="Y276">
        <f>cleaneddata[[#This Row],[Unit Price]]*cleaneddata[[#This Row],[Quantity]]*(1-cleaneddata[[#This Row],[Discount %]]/100)</f>
        <v>2760.25</v>
      </c>
      <c r="Z276">
        <f>cleaneddata[[#This Row],[sales]]-cleaneddata[[#This Row],[Cost]]</f>
        <v>877.99</v>
      </c>
    </row>
    <row r="277" spans="1:26" x14ac:dyDescent="0.3">
      <c r="A277" t="s">
        <v>851</v>
      </c>
      <c r="B277" s="1">
        <v>45701</v>
      </c>
      <c r="C277" t="s">
        <v>852</v>
      </c>
      <c r="D277" t="s">
        <v>3466</v>
      </c>
      <c r="E277" s="1">
        <v>45706</v>
      </c>
      <c r="F277" t="s">
        <v>122</v>
      </c>
      <c r="G277" t="s">
        <v>120</v>
      </c>
      <c r="H277" t="s">
        <v>121</v>
      </c>
      <c r="I277" t="s">
        <v>2635</v>
      </c>
      <c r="J277" t="s">
        <v>2677</v>
      </c>
      <c r="K277" t="s">
        <v>52</v>
      </c>
      <c r="L277">
        <v>54</v>
      </c>
      <c r="M277">
        <v>2</v>
      </c>
      <c r="N277">
        <v>5</v>
      </c>
      <c r="O277" t="s">
        <v>600</v>
      </c>
      <c r="P277" t="s">
        <v>33</v>
      </c>
      <c r="Q277" t="s">
        <v>31</v>
      </c>
      <c r="R277" t="s">
        <v>62</v>
      </c>
      <c r="S277" t="s">
        <v>123</v>
      </c>
      <c r="T277">
        <v>5</v>
      </c>
      <c r="U277">
        <v>526.24</v>
      </c>
      <c r="V277">
        <v>740.05</v>
      </c>
      <c r="W277">
        <v>5</v>
      </c>
      <c r="X277" t="str">
        <f>TEXT(cleaneddata[[#This Row],[Order Date]],"mmm")</f>
        <v>Feb</v>
      </c>
      <c r="Y277">
        <f>cleaneddata[[#This Row],[Unit Price]]*cleaneddata[[#This Row],[Quantity]]*(1-cleaneddata[[#This Row],[Discount %]]/100)</f>
        <v>999.85599999999999</v>
      </c>
      <c r="Z277">
        <f>cleaneddata[[#This Row],[sales]]-cleaneddata[[#This Row],[Cost]]</f>
        <v>259.80600000000004</v>
      </c>
    </row>
    <row r="278" spans="1:26" x14ac:dyDescent="0.3">
      <c r="A278" t="s">
        <v>853</v>
      </c>
      <c r="B278" s="1">
        <v>45648</v>
      </c>
      <c r="C278" t="s">
        <v>854</v>
      </c>
      <c r="D278" t="s">
        <v>3465</v>
      </c>
      <c r="E278" s="1">
        <v>45655</v>
      </c>
      <c r="F278" t="s">
        <v>100</v>
      </c>
      <c r="G278" t="s">
        <v>98</v>
      </c>
      <c r="H278" t="s">
        <v>99</v>
      </c>
      <c r="I278" t="s">
        <v>2623</v>
      </c>
      <c r="J278" t="s">
        <v>2701</v>
      </c>
      <c r="K278" t="s">
        <v>52</v>
      </c>
      <c r="L278">
        <v>52</v>
      </c>
      <c r="M278">
        <v>4</v>
      </c>
      <c r="N278">
        <v>0</v>
      </c>
      <c r="O278" t="s">
        <v>855</v>
      </c>
      <c r="P278" t="s">
        <v>33</v>
      </c>
      <c r="Q278" t="s">
        <v>58</v>
      </c>
      <c r="R278" t="s">
        <v>71</v>
      </c>
      <c r="S278" t="s">
        <v>101</v>
      </c>
      <c r="T278">
        <v>3</v>
      </c>
      <c r="U278">
        <v>47.08</v>
      </c>
      <c r="V278">
        <v>108.09</v>
      </c>
      <c r="W278">
        <v>7</v>
      </c>
      <c r="X278" t="str">
        <f>TEXT(cleaneddata[[#This Row],[Order Date]],"mmm")</f>
        <v>Dec</v>
      </c>
      <c r="Y278">
        <f>cleaneddata[[#This Row],[Unit Price]]*cleaneddata[[#This Row],[Quantity]]*(1-cleaneddata[[#This Row],[Discount %]]/100)</f>
        <v>188.32</v>
      </c>
      <c r="Z278">
        <f>cleaneddata[[#This Row],[sales]]-cleaneddata[[#This Row],[Cost]]</f>
        <v>80.22999999999999</v>
      </c>
    </row>
    <row r="279" spans="1:26" x14ac:dyDescent="0.3">
      <c r="A279" t="s">
        <v>856</v>
      </c>
      <c r="B279" s="1">
        <v>45847</v>
      </c>
      <c r="C279" t="s">
        <v>364</v>
      </c>
      <c r="D279" t="s">
        <v>3464</v>
      </c>
      <c r="E279" s="1">
        <v>45852</v>
      </c>
      <c r="F279" t="s">
        <v>115</v>
      </c>
      <c r="G279" t="s">
        <v>66</v>
      </c>
      <c r="H279" t="s">
        <v>114</v>
      </c>
      <c r="I279" t="s">
        <v>2659</v>
      </c>
      <c r="J279" t="s">
        <v>2681</v>
      </c>
      <c r="K279" t="s">
        <v>25</v>
      </c>
      <c r="L279">
        <v>23</v>
      </c>
      <c r="M279">
        <v>2</v>
      </c>
      <c r="N279">
        <v>25</v>
      </c>
      <c r="O279" t="s">
        <v>344</v>
      </c>
      <c r="P279" t="s">
        <v>44</v>
      </c>
      <c r="Q279" t="s">
        <v>31</v>
      </c>
      <c r="R279" t="s">
        <v>32</v>
      </c>
      <c r="S279" t="s">
        <v>116</v>
      </c>
      <c r="T279">
        <v>5</v>
      </c>
      <c r="U279">
        <v>688.26</v>
      </c>
      <c r="V279">
        <v>606.17999999999995</v>
      </c>
      <c r="W279">
        <v>5</v>
      </c>
      <c r="X279" t="str">
        <f>TEXT(cleaneddata[[#This Row],[Order Date]],"mmm")</f>
        <v>Jul</v>
      </c>
      <c r="Y279">
        <f>cleaneddata[[#This Row],[Unit Price]]*cleaneddata[[#This Row],[Quantity]]*(1-cleaneddata[[#This Row],[Discount %]]/100)</f>
        <v>1032.3899999999999</v>
      </c>
      <c r="Z279">
        <f>cleaneddata[[#This Row],[sales]]-cleaneddata[[#This Row],[Cost]]</f>
        <v>426.20999999999992</v>
      </c>
    </row>
    <row r="280" spans="1:26" x14ac:dyDescent="0.3">
      <c r="A280" t="s">
        <v>857</v>
      </c>
      <c r="B280" s="1">
        <v>45780</v>
      </c>
      <c r="C280" t="s">
        <v>858</v>
      </c>
      <c r="D280" t="s">
        <v>3463</v>
      </c>
      <c r="E280" s="1">
        <v>45783</v>
      </c>
      <c r="F280" t="s">
        <v>56</v>
      </c>
      <c r="G280" t="s">
        <v>54</v>
      </c>
      <c r="H280" t="s">
        <v>55</v>
      </c>
      <c r="I280" t="s">
        <v>2622</v>
      </c>
      <c r="J280" t="s">
        <v>2686</v>
      </c>
      <c r="K280" t="s">
        <v>52</v>
      </c>
      <c r="L280">
        <v>21</v>
      </c>
      <c r="M280">
        <v>2</v>
      </c>
      <c r="N280">
        <v>5</v>
      </c>
      <c r="O280" t="s">
        <v>859</v>
      </c>
      <c r="P280" t="s">
        <v>75</v>
      </c>
      <c r="Q280" t="s">
        <v>31</v>
      </c>
      <c r="R280" t="s">
        <v>32</v>
      </c>
      <c r="S280" t="s">
        <v>57</v>
      </c>
      <c r="T280">
        <v>2</v>
      </c>
      <c r="U280">
        <v>315.29000000000002</v>
      </c>
      <c r="V280">
        <v>428.25</v>
      </c>
      <c r="W280">
        <v>3</v>
      </c>
      <c r="X280" t="str">
        <f>TEXT(cleaneddata[[#This Row],[Order Date]],"mmm")</f>
        <v>May</v>
      </c>
      <c r="Y280">
        <f>cleaneddata[[#This Row],[Unit Price]]*cleaneddata[[#This Row],[Quantity]]*(1-cleaneddata[[#This Row],[Discount %]]/100)</f>
        <v>599.05100000000004</v>
      </c>
      <c r="Z280">
        <f>cleaneddata[[#This Row],[sales]]-cleaneddata[[#This Row],[Cost]]</f>
        <v>170.80100000000004</v>
      </c>
    </row>
    <row r="281" spans="1:26" x14ac:dyDescent="0.3">
      <c r="A281" t="s">
        <v>860</v>
      </c>
      <c r="B281" s="1">
        <v>45662</v>
      </c>
      <c r="C281" t="s">
        <v>861</v>
      </c>
      <c r="D281" t="s">
        <v>3462</v>
      </c>
      <c r="E281" s="1">
        <v>45663</v>
      </c>
      <c r="F281" t="s">
        <v>56</v>
      </c>
      <c r="G281" t="s">
        <v>54</v>
      </c>
      <c r="H281" t="s">
        <v>55</v>
      </c>
      <c r="I281" t="s">
        <v>2679</v>
      </c>
      <c r="J281" t="s">
        <v>2685</v>
      </c>
      <c r="K281" t="s">
        <v>52</v>
      </c>
      <c r="L281">
        <v>43</v>
      </c>
      <c r="M281">
        <v>1</v>
      </c>
      <c r="N281">
        <v>0</v>
      </c>
      <c r="O281" t="s">
        <v>862</v>
      </c>
      <c r="P281" t="s">
        <v>75</v>
      </c>
      <c r="Q281" t="s">
        <v>117</v>
      </c>
      <c r="R281" t="s">
        <v>71</v>
      </c>
      <c r="S281" t="s">
        <v>57</v>
      </c>
      <c r="T281">
        <v>1</v>
      </c>
      <c r="U281">
        <v>406.35</v>
      </c>
      <c r="V281">
        <v>333.23</v>
      </c>
      <c r="W281">
        <v>1</v>
      </c>
      <c r="X281" t="str">
        <f>TEXT(cleaneddata[[#This Row],[Order Date]],"mmm")</f>
        <v>Jan</v>
      </c>
      <c r="Y281">
        <f>cleaneddata[[#This Row],[Unit Price]]*cleaneddata[[#This Row],[Quantity]]*(1-cleaneddata[[#This Row],[Discount %]]/100)</f>
        <v>406.35</v>
      </c>
      <c r="Z281">
        <f>cleaneddata[[#This Row],[sales]]-cleaneddata[[#This Row],[Cost]]</f>
        <v>73.12</v>
      </c>
    </row>
    <row r="282" spans="1:26" x14ac:dyDescent="0.3">
      <c r="A282" t="s">
        <v>863</v>
      </c>
      <c r="B282" s="1">
        <v>45312</v>
      </c>
      <c r="C282" t="s">
        <v>864</v>
      </c>
      <c r="D282" t="s">
        <v>3461</v>
      </c>
      <c r="E282" s="1">
        <v>45317</v>
      </c>
      <c r="F282" t="s">
        <v>2617</v>
      </c>
      <c r="G282" t="s">
        <v>27</v>
      </c>
      <c r="H282" t="s">
        <v>28</v>
      </c>
      <c r="I282" t="s">
        <v>2634</v>
      </c>
      <c r="J282" t="s">
        <v>2714</v>
      </c>
      <c r="K282" t="s">
        <v>25</v>
      </c>
      <c r="L282">
        <v>56</v>
      </c>
      <c r="M282">
        <v>3</v>
      </c>
      <c r="N282">
        <v>0</v>
      </c>
      <c r="O282" t="s">
        <v>865</v>
      </c>
      <c r="P282" t="s">
        <v>44</v>
      </c>
      <c r="Q282" t="s">
        <v>31</v>
      </c>
      <c r="R282" t="s">
        <v>62</v>
      </c>
      <c r="S282" t="s">
        <v>30</v>
      </c>
      <c r="T282">
        <v>2</v>
      </c>
      <c r="U282">
        <v>42.11</v>
      </c>
      <c r="V282">
        <v>81.8</v>
      </c>
      <c r="W282">
        <v>5</v>
      </c>
      <c r="X282" t="str">
        <f>TEXT(cleaneddata[[#This Row],[Order Date]],"mmm")</f>
        <v>Jan</v>
      </c>
      <c r="Y282">
        <f>cleaneddata[[#This Row],[Unit Price]]*cleaneddata[[#This Row],[Quantity]]*(1-cleaneddata[[#This Row],[Discount %]]/100)</f>
        <v>126.33</v>
      </c>
      <c r="Z282">
        <f>cleaneddata[[#This Row],[sales]]-cleaneddata[[#This Row],[Cost]]</f>
        <v>44.53</v>
      </c>
    </row>
    <row r="283" spans="1:26" x14ac:dyDescent="0.3">
      <c r="A283" t="s">
        <v>866</v>
      </c>
      <c r="B283" s="1">
        <v>46041</v>
      </c>
      <c r="C283" t="s">
        <v>867</v>
      </c>
      <c r="D283" t="s">
        <v>3460</v>
      </c>
      <c r="E283" s="1">
        <v>46043</v>
      </c>
      <c r="F283" t="s">
        <v>100</v>
      </c>
      <c r="G283" t="s">
        <v>98</v>
      </c>
      <c r="H283" t="s">
        <v>99</v>
      </c>
      <c r="I283" t="s">
        <v>2629</v>
      </c>
      <c r="J283" t="s">
        <v>2630</v>
      </c>
      <c r="K283" t="s">
        <v>25</v>
      </c>
      <c r="L283">
        <v>29</v>
      </c>
      <c r="M283">
        <v>1</v>
      </c>
      <c r="N283">
        <v>5</v>
      </c>
      <c r="O283" t="s">
        <v>868</v>
      </c>
      <c r="P283" t="s">
        <v>75</v>
      </c>
      <c r="Q283" t="s">
        <v>58</v>
      </c>
      <c r="R283" t="s">
        <v>71</v>
      </c>
      <c r="S283" t="s">
        <v>101</v>
      </c>
      <c r="T283">
        <v>5</v>
      </c>
      <c r="U283">
        <v>219.54</v>
      </c>
      <c r="V283">
        <v>174.84</v>
      </c>
      <c r="W283">
        <v>2</v>
      </c>
      <c r="X283" t="str">
        <f>TEXT(cleaneddata[[#This Row],[Order Date]],"mmm")</f>
        <v>Jan</v>
      </c>
      <c r="Y283">
        <f>cleaneddata[[#This Row],[Unit Price]]*cleaneddata[[#This Row],[Quantity]]*(1-cleaneddata[[#This Row],[Discount %]]/100)</f>
        <v>208.56299999999999</v>
      </c>
      <c r="Z283">
        <f>cleaneddata[[#This Row],[sales]]-cleaneddata[[#This Row],[Cost]]</f>
        <v>33.722999999999985</v>
      </c>
    </row>
    <row r="284" spans="1:26" x14ac:dyDescent="0.3">
      <c r="A284" t="s">
        <v>869</v>
      </c>
      <c r="B284" s="1">
        <v>45637</v>
      </c>
      <c r="C284" t="s">
        <v>870</v>
      </c>
      <c r="D284" t="s">
        <v>3459</v>
      </c>
      <c r="E284" s="1">
        <v>45638</v>
      </c>
      <c r="F284" t="s">
        <v>122</v>
      </c>
      <c r="G284" t="s">
        <v>120</v>
      </c>
      <c r="H284" t="s">
        <v>121</v>
      </c>
      <c r="I284" t="s">
        <v>2625</v>
      </c>
      <c r="J284" t="s">
        <v>2651</v>
      </c>
      <c r="K284" t="s">
        <v>52</v>
      </c>
      <c r="L284">
        <v>28</v>
      </c>
      <c r="M284">
        <v>2</v>
      </c>
      <c r="N284">
        <v>0</v>
      </c>
      <c r="O284" t="s">
        <v>871</v>
      </c>
      <c r="P284" t="s">
        <v>75</v>
      </c>
      <c r="Q284" t="s">
        <v>70</v>
      </c>
      <c r="R284" t="s">
        <v>32</v>
      </c>
      <c r="S284" t="s">
        <v>123</v>
      </c>
      <c r="T284">
        <v>5</v>
      </c>
      <c r="U284">
        <v>633.98</v>
      </c>
      <c r="V284">
        <v>766.52</v>
      </c>
      <c r="W284">
        <v>1</v>
      </c>
      <c r="X284" t="str">
        <f>TEXT(cleaneddata[[#This Row],[Order Date]],"mmm")</f>
        <v>Dec</v>
      </c>
      <c r="Y284">
        <f>cleaneddata[[#This Row],[Unit Price]]*cleaneddata[[#This Row],[Quantity]]*(1-cleaneddata[[#This Row],[Discount %]]/100)</f>
        <v>1267.96</v>
      </c>
      <c r="Z284">
        <f>cleaneddata[[#This Row],[sales]]-cleaneddata[[#This Row],[Cost]]</f>
        <v>501.44000000000005</v>
      </c>
    </row>
    <row r="285" spans="1:26" x14ac:dyDescent="0.3">
      <c r="A285" t="s">
        <v>872</v>
      </c>
      <c r="B285" s="1">
        <v>45922</v>
      </c>
      <c r="C285" t="s">
        <v>873</v>
      </c>
      <c r="D285" t="s">
        <v>3458</v>
      </c>
      <c r="E285" s="1">
        <v>45928</v>
      </c>
      <c r="F285" t="s">
        <v>122</v>
      </c>
      <c r="G285" t="s">
        <v>120</v>
      </c>
      <c r="H285" t="s">
        <v>121</v>
      </c>
      <c r="I285" t="s">
        <v>2625</v>
      </c>
      <c r="J285" t="s">
        <v>2703</v>
      </c>
      <c r="K285" t="s">
        <v>25</v>
      </c>
      <c r="L285">
        <v>21</v>
      </c>
      <c r="M285">
        <v>4</v>
      </c>
      <c r="N285">
        <v>10</v>
      </c>
      <c r="O285" t="s">
        <v>874</v>
      </c>
      <c r="P285" t="s">
        <v>75</v>
      </c>
      <c r="Q285" t="s">
        <v>58</v>
      </c>
      <c r="R285" t="s">
        <v>62</v>
      </c>
      <c r="S285" t="s">
        <v>123</v>
      </c>
      <c r="T285">
        <v>2</v>
      </c>
      <c r="U285">
        <v>961.64</v>
      </c>
      <c r="V285">
        <v>2637.41</v>
      </c>
      <c r="W285">
        <v>6</v>
      </c>
      <c r="X285" t="str">
        <f>TEXT(cleaneddata[[#This Row],[Order Date]],"mmm")</f>
        <v>Sep</v>
      </c>
      <c r="Y285">
        <f>cleaneddata[[#This Row],[Unit Price]]*cleaneddata[[#This Row],[Quantity]]*(1-cleaneddata[[#This Row],[Discount %]]/100)</f>
        <v>3461.904</v>
      </c>
      <c r="Z285">
        <f>cleaneddata[[#This Row],[sales]]-cleaneddata[[#This Row],[Cost]]</f>
        <v>824.49400000000014</v>
      </c>
    </row>
    <row r="286" spans="1:26" x14ac:dyDescent="0.3">
      <c r="A286" t="s">
        <v>875</v>
      </c>
      <c r="B286" s="1">
        <v>45612</v>
      </c>
      <c r="C286" t="s">
        <v>876</v>
      </c>
      <c r="D286" t="s">
        <v>3457</v>
      </c>
      <c r="E286" s="1">
        <v>45617</v>
      </c>
      <c r="F286" t="s">
        <v>2617</v>
      </c>
      <c r="G286" t="s">
        <v>27</v>
      </c>
      <c r="H286" t="s">
        <v>28</v>
      </c>
      <c r="I286" t="s">
        <v>2654</v>
      </c>
      <c r="J286" t="s">
        <v>2702</v>
      </c>
      <c r="K286" t="s">
        <v>25</v>
      </c>
      <c r="L286">
        <v>61</v>
      </c>
      <c r="M286">
        <v>1</v>
      </c>
      <c r="N286">
        <v>0</v>
      </c>
      <c r="O286" t="s">
        <v>877</v>
      </c>
      <c r="P286" t="s">
        <v>33</v>
      </c>
      <c r="Q286" t="s">
        <v>58</v>
      </c>
      <c r="R286" t="s">
        <v>62</v>
      </c>
      <c r="S286" t="s">
        <v>30</v>
      </c>
      <c r="T286">
        <v>2</v>
      </c>
      <c r="U286">
        <v>263.04000000000002</v>
      </c>
      <c r="V286">
        <v>207.99</v>
      </c>
      <c r="W286">
        <v>5</v>
      </c>
      <c r="X286" t="str">
        <f>TEXT(cleaneddata[[#This Row],[Order Date]],"mmm")</f>
        <v>Nov</v>
      </c>
      <c r="Y286">
        <f>cleaneddata[[#This Row],[Unit Price]]*cleaneddata[[#This Row],[Quantity]]*(1-cleaneddata[[#This Row],[Discount %]]/100)</f>
        <v>263.04000000000002</v>
      </c>
      <c r="Z286">
        <f>cleaneddata[[#This Row],[sales]]-cleaneddata[[#This Row],[Cost]]</f>
        <v>55.050000000000011</v>
      </c>
    </row>
    <row r="287" spans="1:26" x14ac:dyDescent="0.3">
      <c r="A287" t="s">
        <v>878</v>
      </c>
      <c r="B287" s="1">
        <v>45484</v>
      </c>
      <c r="C287" t="s">
        <v>879</v>
      </c>
      <c r="D287" t="s">
        <v>3456</v>
      </c>
      <c r="E287" s="1">
        <v>45485</v>
      </c>
      <c r="F287" t="s">
        <v>122</v>
      </c>
      <c r="G287" t="s">
        <v>120</v>
      </c>
      <c r="H287" t="s">
        <v>121</v>
      </c>
      <c r="I287" t="s">
        <v>2659</v>
      </c>
      <c r="J287" t="s">
        <v>2718</v>
      </c>
      <c r="K287" t="s">
        <v>52</v>
      </c>
      <c r="L287">
        <v>53</v>
      </c>
      <c r="M287">
        <v>2</v>
      </c>
      <c r="N287">
        <v>10</v>
      </c>
      <c r="O287" t="s">
        <v>880</v>
      </c>
      <c r="P287" t="s">
        <v>33</v>
      </c>
      <c r="Q287" t="s">
        <v>31</v>
      </c>
      <c r="R287" t="s">
        <v>32</v>
      </c>
      <c r="S287" t="s">
        <v>123</v>
      </c>
      <c r="T287">
        <v>5</v>
      </c>
      <c r="U287">
        <v>97.2</v>
      </c>
      <c r="V287">
        <v>125.94</v>
      </c>
      <c r="W287">
        <v>1</v>
      </c>
      <c r="X287" t="str">
        <f>TEXT(cleaneddata[[#This Row],[Order Date]],"mmm")</f>
        <v>Jul</v>
      </c>
      <c r="Y287">
        <f>cleaneddata[[#This Row],[Unit Price]]*cleaneddata[[#This Row],[Quantity]]*(1-cleaneddata[[#This Row],[Discount %]]/100)</f>
        <v>174.96</v>
      </c>
      <c r="Z287">
        <f>cleaneddata[[#This Row],[sales]]-cleaneddata[[#This Row],[Cost]]</f>
        <v>49.02000000000001</v>
      </c>
    </row>
    <row r="288" spans="1:26" x14ac:dyDescent="0.3">
      <c r="A288" t="s">
        <v>881</v>
      </c>
      <c r="B288" s="1">
        <v>45665</v>
      </c>
      <c r="C288" t="s">
        <v>882</v>
      </c>
      <c r="D288" t="s">
        <v>3455</v>
      </c>
      <c r="E288" s="1">
        <v>45671</v>
      </c>
      <c r="F288" t="s">
        <v>40</v>
      </c>
      <c r="G288" t="s">
        <v>38</v>
      </c>
      <c r="H288" t="s">
        <v>39</v>
      </c>
      <c r="I288" t="s">
        <v>2635</v>
      </c>
      <c r="J288" t="s">
        <v>2720</v>
      </c>
      <c r="K288" t="s">
        <v>52</v>
      </c>
      <c r="L288">
        <v>28</v>
      </c>
      <c r="M288">
        <v>5</v>
      </c>
      <c r="N288">
        <v>30</v>
      </c>
      <c r="O288" t="s">
        <v>883</v>
      </c>
      <c r="P288" t="s">
        <v>33</v>
      </c>
      <c r="Q288" t="s">
        <v>58</v>
      </c>
      <c r="R288" t="s">
        <v>62</v>
      </c>
      <c r="S288" t="s">
        <v>41</v>
      </c>
      <c r="T288">
        <v>1</v>
      </c>
      <c r="U288">
        <v>522.25</v>
      </c>
      <c r="V288">
        <v>1548</v>
      </c>
      <c r="W288">
        <v>6</v>
      </c>
      <c r="X288" t="str">
        <f>TEXT(cleaneddata[[#This Row],[Order Date]],"mmm")</f>
        <v>Jan</v>
      </c>
      <c r="Y288">
        <f>cleaneddata[[#This Row],[Unit Price]]*cleaneddata[[#This Row],[Quantity]]*(1-cleaneddata[[#This Row],[Discount %]]/100)</f>
        <v>1827.8749999999998</v>
      </c>
      <c r="Z288">
        <f>cleaneddata[[#This Row],[sales]]-cleaneddata[[#This Row],[Cost]]</f>
        <v>279.87499999999977</v>
      </c>
    </row>
    <row r="289" spans="1:26" x14ac:dyDescent="0.3">
      <c r="A289" t="s">
        <v>884</v>
      </c>
      <c r="B289" s="1">
        <v>45740</v>
      </c>
      <c r="C289" t="s">
        <v>885</v>
      </c>
      <c r="D289" t="s">
        <v>3454</v>
      </c>
      <c r="E289" s="1">
        <v>45743</v>
      </c>
      <c r="F289" t="s">
        <v>115</v>
      </c>
      <c r="G289" t="s">
        <v>66</v>
      </c>
      <c r="H289" t="s">
        <v>114</v>
      </c>
      <c r="I289" t="s">
        <v>2625</v>
      </c>
      <c r="J289" t="s">
        <v>2667</v>
      </c>
      <c r="K289" t="s">
        <v>52</v>
      </c>
      <c r="L289">
        <v>24</v>
      </c>
      <c r="M289">
        <v>5</v>
      </c>
      <c r="N289">
        <v>25</v>
      </c>
      <c r="O289" t="s">
        <v>886</v>
      </c>
      <c r="P289" t="s">
        <v>33</v>
      </c>
      <c r="Q289" t="s">
        <v>117</v>
      </c>
      <c r="R289" t="s">
        <v>43</v>
      </c>
      <c r="S289" t="s">
        <v>116</v>
      </c>
      <c r="T289">
        <v>5</v>
      </c>
      <c r="U289">
        <v>730.73</v>
      </c>
      <c r="V289">
        <v>1908.54</v>
      </c>
      <c r="W289">
        <v>3</v>
      </c>
      <c r="X289" t="str">
        <f>TEXT(cleaneddata[[#This Row],[Order Date]],"mmm")</f>
        <v>Mar</v>
      </c>
      <c r="Y289">
        <f>cleaneddata[[#This Row],[Unit Price]]*cleaneddata[[#This Row],[Quantity]]*(1-cleaneddata[[#This Row],[Discount %]]/100)</f>
        <v>2740.2375000000002</v>
      </c>
      <c r="Z289">
        <f>cleaneddata[[#This Row],[sales]]-cleaneddata[[#This Row],[Cost]]</f>
        <v>831.69750000000022</v>
      </c>
    </row>
    <row r="290" spans="1:26" x14ac:dyDescent="0.3">
      <c r="A290" t="s">
        <v>887</v>
      </c>
      <c r="B290" s="1">
        <v>45520</v>
      </c>
      <c r="C290" t="s">
        <v>888</v>
      </c>
      <c r="D290" t="s">
        <v>3453</v>
      </c>
      <c r="E290" s="1">
        <v>45525</v>
      </c>
      <c r="F290" t="s">
        <v>122</v>
      </c>
      <c r="G290" t="s">
        <v>120</v>
      </c>
      <c r="H290" t="s">
        <v>121</v>
      </c>
      <c r="I290" t="s">
        <v>2665</v>
      </c>
      <c r="J290" t="s">
        <v>2666</v>
      </c>
      <c r="K290" t="s">
        <v>25</v>
      </c>
      <c r="L290">
        <v>22</v>
      </c>
      <c r="M290">
        <v>1</v>
      </c>
      <c r="N290">
        <v>30</v>
      </c>
      <c r="O290" t="s">
        <v>889</v>
      </c>
      <c r="P290" t="s">
        <v>44</v>
      </c>
      <c r="Q290" t="s">
        <v>70</v>
      </c>
      <c r="R290" t="s">
        <v>71</v>
      </c>
      <c r="S290" t="s">
        <v>123</v>
      </c>
      <c r="T290">
        <v>5</v>
      </c>
      <c r="U290">
        <v>386.33</v>
      </c>
      <c r="V290">
        <v>168.13</v>
      </c>
      <c r="W290">
        <v>5</v>
      </c>
      <c r="X290" t="str">
        <f>TEXT(cleaneddata[[#This Row],[Order Date]],"mmm")</f>
        <v>Aug</v>
      </c>
      <c r="Y290">
        <f>cleaneddata[[#This Row],[Unit Price]]*cleaneddata[[#This Row],[Quantity]]*(1-cleaneddata[[#This Row],[Discount %]]/100)</f>
        <v>270.43099999999998</v>
      </c>
      <c r="Z290">
        <f>cleaneddata[[#This Row],[sales]]-cleaneddata[[#This Row],[Cost]]</f>
        <v>102.30099999999999</v>
      </c>
    </row>
    <row r="291" spans="1:26" x14ac:dyDescent="0.3">
      <c r="A291" t="s">
        <v>890</v>
      </c>
      <c r="B291" s="1">
        <v>45569</v>
      </c>
      <c r="C291" t="s">
        <v>891</v>
      </c>
      <c r="D291" t="s">
        <v>3452</v>
      </c>
      <c r="E291" s="1">
        <v>45570</v>
      </c>
      <c r="F291" t="s">
        <v>56</v>
      </c>
      <c r="G291" t="s">
        <v>54</v>
      </c>
      <c r="H291" t="s">
        <v>55</v>
      </c>
      <c r="I291" t="s">
        <v>2659</v>
      </c>
      <c r="J291" t="s">
        <v>2660</v>
      </c>
      <c r="K291" t="s">
        <v>25</v>
      </c>
      <c r="L291">
        <v>46</v>
      </c>
      <c r="M291">
        <v>5</v>
      </c>
      <c r="N291">
        <v>30</v>
      </c>
      <c r="O291" t="s">
        <v>892</v>
      </c>
      <c r="P291" t="s">
        <v>75</v>
      </c>
      <c r="Q291" t="s">
        <v>70</v>
      </c>
      <c r="R291" t="s">
        <v>32</v>
      </c>
      <c r="S291" t="s">
        <v>57</v>
      </c>
      <c r="T291">
        <v>1</v>
      </c>
      <c r="U291">
        <v>346.19</v>
      </c>
      <c r="V291">
        <v>739.71</v>
      </c>
      <c r="W291">
        <v>1</v>
      </c>
      <c r="X291" t="str">
        <f>TEXT(cleaneddata[[#This Row],[Order Date]],"mmm")</f>
        <v>Oct</v>
      </c>
      <c r="Y291">
        <f>cleaneddata[[#This Row],[Unit Price]]*cleaneddata[[#This Row],[Quantity]]*(1-cleaneddata[[#This Row],[Discount %]]/100)</f>
        <v>1211.665</v>
      </c>
      <c r="Z291">
        <f>cleaneddata[[#This Row],[sales]]-cleaneddata[[#This Row],[Cost]]</f>
        <v>471.95499999999993</v>
      </c>
    </row>
    <row r="292" spans="1:26" x14ac:dyDescent="0.3">
      <c r="A292" t="s">
        <v>893</v>
      </c>
      <c r="B292" s="1">
        <v>45988</v>
      </c>
      <c r="C292" t="s">
        <v>894</v>
      </c>
      <c r="D292" t="s">
        <v>3451</v>
      </c>
      <c r="E292" s="1">
        <v>45995</v>
      </c>
      <c r="F292" t="s">
        <v>2617</v>
      </c>
      <c r="G292" t="s">
        <v>27</v>
      </c>
      <c r="H292" t="s">
        <v>28</v>
      </c>
      <c r="I292" t="s">
        <v>2665</v>
      </c>
      <c r="J292" t="s">
        <v>2719</v>
      </c>
      <c r="K292" t="s">
        <v>52</v>
      </c>
      <c r="L292">
        <v>32</v>
      </c>
      <c r="M292">
        <v>2</v>
      </c>
      <c r="N292">
        <v>10</v>
      </c>
      <c r="O292" t="s">
        <v>586</v>
      </c>
      <c r="P292" t="s">
        <v>33</v>
      </c>
      <c r="Q292" t="s">
        <v>70</v>
      </c>
      <c r="R292" t="s">
        <v>62</v>
      </c>
      <c r="S292" t="s">
        <v>30</v>
      </c>
      <c r="T292">
        <v>2</v>
      </c>
      <c r="U292">
        <v>610.73</v>
      </c>
      <c r="V292">
        <v>750.55</v>
      </c>
      <c r="W292">
        <v>7</v>
      </c>
      <c r="X292" t="str">
        <f>TEXT(cleaneddata[[#This Row],[Order Date]],"mmm")</f>
        <v>Nov</v>
      </c>
      <c r="Y292">
        <f>cleaneddata[[#This Row],[Unit Price]]*cleaneddata[[#This Row],[Quantity]]*(1-cleaneddata[[#This Row],[Discount %]]/100)</f>
        <v>1099.3140000000001</v>
      </c>
      <c r="Z292">
        <f>cleaneddata[[#This Row],[sales]]-cleaneddata[[#This Row],[Cost]]</f>
        <v>348.76400000000012</v>
      </c>
    </row>
    <row r="293" spans="1:26" x14ac:dyDescent="0.3">
      <c r="A293" t="s">
        <v>895</v>
      </c>
      <c r="B293" s="1">
        <v>45733</v>
      </c>
      <c r="C293" t="s">
        <v>896</v>
      </c>
      <c r="D293" t="s">
        <v>3450</v>
      </c>
      <c r="E293" s="1">
        <v>45739</v>
      </c>
      <c r="F293" t="s">
        <v>122</v>
      </c>
      <c r="G293" t="s">
        <v>120</v>
      </c>
      <c r="H293" t="s">
        <v>121</v>
      </c>
      <c r="I293" t="s">
        <v>2656</v>
      </c>
      <c r="J293" t="s">
        <v>2657</v>
      </c>
      <c r="K293" t="s">
        <v>52</v>
      </c>
      <c r="L293">
        <v>37</v>
      </c>
      <c r="M293">
        <v>1</v>
      </c>
      <c r="N293">
        <v>15</v>
      </c>
      <c r="O293" t="s">
        <v>845</v>
      </c>
      <c r="P293" t="s">
        <v>75</v>
      </c>
      <c r="Q293" t="s">
        <v>58</v>
      </c>
      <c r="R293" t="s">
        <v>71</v>
      </c>
      <c r="S293" t="s">
        <v>123</v>
      </c>
      <c r="T293">
        <v>3</v>
      </c>
      <c r="U293">
        <v>182.08</v>
      </c>
      <c r="V293">
        <v>93.88</v>
      </c>
      <c r="W293">
        <v>6</v>
      </c>
      <c r="X293" t="str">
        <f>TEXT(cleaneddata[[#This Row],[Order Date]],"mmm")</f>
        <v>Mar</v>
      </c>
      <c r="Y293">
        <f>cleaneddata[[#This Row],[Unit Price]]*cleaneddata[[#This Row],[Quantity]]*(1-cleaneddata[[#This Row],[Discount %]]/100)</f>
        <v>154.768</v>
      </c>
      <c r="Z293">
        <f>cleaneddata[[#This Row],[sales]]-cleaneddata[[#This Row],[Cost]]</f>
        <v>60.888000000000005</v>
      </c>
    </row>
    <row r="294" spans="1:26" x14ac:dyDescent="0.3">
      <c r="A294" t="s">
        <v>897</v>
      </c>
      <c r="B294" s="1">
        <v>46056</v>
      </c>
      <c r="C294" t="s">
        <v>898</v>
      </c>
      <c r="D294" t="s">
        <v>3449</v>
      </c>
      <c r="E294" s="1">
        <v>46062</v>
      </c>
      <c r="F294" t="s">
        <v>122</v>
      </c>
      <c r="G294" t="s">
        <v>120</v>
      </c>
      <c r="H294" t="s">
        <v>121</v>
      </c>
      <c r="I294" t="s">
        <v>2672</v>
      </c>
      <c r="J294" t="s">
        <v>2716</v>
      </c>
      <c r="K294" t="s">
        <v>25</v>
      </c>
      <c r="L294">
        <v>53</v>
      </c>
      <c r="M294">
        <v>1</v>
      </c>
      <c r="N294">
        <v>10</v>
      </c>
      <c r="O294" t="s">
        <v>899</v>
      </c>
      <c r="P294" t="s">
        <v>44</v>
      </c>
      <c r="Q294" t="s">
        <v>31</v>
      </c>
      <c r="R294" t="s">
        <v>32</v>
      </c>
      <c r="S294" t="s">
        <v>123</v>
      </c>
      <c r="T294">
        <v>5</v>
      </c>
      <c r="U294">
        <v>949.29</v>
      </c>
      <c r="V294">
        <v>566.66</v>
      </c>
      <c r="W294">
        <v>6</v>
      </c>
      <c r="X294" t="str">
        <f>TEXT(cleaneddata[[#This Row],[Order Date]],"mmm")</f>
        <v>Feb</v>
      </c>
      <c r="Y294">
        <f>cleaneddata[[#This Row],[Unit Price]]*cleaneddata[[#This Row],[Quantity]]*(1-cleaneddata[[#This Row],[Discount %]]/100)</f>
        <v>854.36099999999999</v>
      </c>
      <c r="Z294">
        <f>cleaneddata[[#This Row],[sales]]-cleaneddata[[#This Row],[Cost]]</f>
        <v>287.70100000000002</v>
      </c>
    </row>
    <row r="295" spans="1:26" x14ac:dyDescent="0.3">
      <c r="A295" t="s">
        <v>900</v>
      </c>
      <c r="B295" s="1">
        <v>45956</v>
      </c>
      <c r="C295" t="s">
        <v>901</v>
      </c>
      <c r="D295" t="s">
        <v>3448</v>
      </c>
      <c r="E295" s="1">
        <v>45962</v>
      </c>
      <c r="F295" t="s">
        <v>68</v>
      </c>
      <c r="G295" t="s">
        <v>66</v>
      </c>
      <c r="H295" t="s">
        <v>67</v>
      </c>
      <c r="I295" t="s">
        <v>2629</v>
      </c>
      <c r="J295" t="s">
        <v>2697</v>
      </c>
      <c r="K295" t="s">
        <v>52</v>
      </c>
      <c r="L295">
        <v>24</v>
      </c>
      <c r="M295">
        <v>4</v>
      </c>
      <c r="N295">
        <v>25</v>
      </c>
      <c r="O295" t="s">
        <v>902</v>
      </c>
      <c r="P295" t="s">
        <v>75</v>
      </c>
      <c r="Q295" t="s">
        <v>58</v>
      </c>
      <c r="R295" t="s">
        <v>62</v>
      </c>
      <c r="S295" t="s">
        <v>69</v>
      </c>
      <c r="T295">
        <v>5</v>
      </c>
      <c r="U295">
        <v>475.48</v>
      </c>
      <c r="V295">
        <v>888.97</v>
      </c>
      <c r="W295">
        <v>6</v>
      </c>
      <c r="X295" t="str">
        <f>TEXT(cleaneddata[[#This Row],[Order Date]],"mmm")</f>
        <v>Oct</v>
      </c>
      <c r="Y295">
        <f>cleaneddata[[#This Row],[Unit Price]]*cleaneddata[[#This Row],[Quantity]]*(1-cleaneddata[[#This Row],[Discount %]]/100)</f>
        <v>1426.44</v>
      </c>
      <c r="Z295">
        <f>cleaneddata[[#This Row],[sales]]-cleaneddata[[#This Row],[Cost]]</f>
        <v>537.47</v>
      </c>
    </row>
    <row r="296" spans="1:26" x14ac:dyDescent="0.3">
      <c r="A296" t="s">
        <v>903</v>
      </c>
      <c r="B296" s="1">
        <v>45718</v>
      </c>
      <c r="C296" t="s">
        <v>904</v>
      </c>
      <c r="D296" t="s">
        <v>3447</v>
      </c>
      <c r="E296" s="1">
        <v>45719</v>
      </c>
      <c r="F296" t="s">
        <v>56</v>
      </c>
      <c r="G296" t="s">
        <v>54</v>
      </c>
      <c r="H296" t="s">
        <v>55</v>
      </c>
      <c r="I296" t="s">
        <v>2647</v>
      </c>
      <c r="J296" t="s">
        <v>2658</v>
      </c>
      <c r="K296" t="s">
        <v>25</v>
      </c>
      <c r="L296">
        <v>55</v>
      </c>
      <c r="M296">
        <v>4</v>
      </c>
      <c r="N296">
        <v>0</v>
      </c>
      <c r="O296" t="s">
        <v>631</v>
      </c>
      <c r="P296" t="s">
        <v>44</v>
      </c>
      <c r="Q296" t="s">
        <v>31</v>
      </c>
      <c r="R296" t="s">
        <v>43</v>
      </c>
      <c r="S296" t="s">
        <v>57</v>
      </c>
      <c r="T296">
        <v>5</v>
      </c>
      <c r="U296">
        <v>203.31</v>
      </c>
      <c r="V296">
        <v>428.75</v>
      </c>
      <c r="W296">
        <v>1</v>
      </c>
      <c r="X296" t="str">
        <f>TEXT(cleaneddata[[#This Row],[Order Date]],"mmm")</f>
        <v>Mar</v>
      </c>
      <c r="Y296">
        <f>cleaneddata[[#This Row],[Unit Price]]*cleaneddata[[#This Row],[Quantity]]*(1-cleaneddata[[#This Row],[Discount %]]/100)</f>
        <v>813.24</v>
      </c>
      <c r="Z296">
        <f>cleaneddata[[#This Row],[sales]]-cleaneddata[[#This Row],[Cost]]</f>
        <v>384.49</v>
      </c>
    </row>
    <row r="297" spans="1:26" x14ac:dyDescent="0.3">
      <c r="A297" t="s">
        <v>905</v>
      </c>
      <c r="B297" s="1">
        <v>45739</v>
      </c>
      <c r="C297" t="s">
        <v>906</v>
      </c>
      <c r="D297" t="s">
        <v>3446</v>
      </c>
      <c r="E297" s="1">
        <v>45740</v>
      </c>
      <c r="F297" t="s">
        <v>40</v>
      </c>
      <c r="G297" t="s">
        <v>38</v>
      </c>
      <c r="H297" t="s">
        <v>39</v>
      </c>
      <c r="I297" t="s">
        <v>2623</v>
      </c>
      <c r="J297" t="s">
        <v>2696</v>
      </c>
      <c r="K297" t="s">
        <v>25</v>
      </c>
      <c r="L297">
        <v>41</v>
      </c>
      <c r="M297">
        <v>5</v>
      </c>
      <c r="N297">
        <v>30</v>
      </c>
      <c r="O297" t="s">
        <v>907</v>
      </c>
      <c r="P297" t="s">
        <v>44</v>
      </c>
      <c r="Q297" t="s">
        <v>42</v>
      </c>
      <c r="R297" t="s">
        <v>71</v>
      </c>
      <c r="S297" t="s">
        <v>41</v>
      </c>
      <c r="T297">
        <v>1</v>
      </c>
      <c r="U297">
        <v>322.89999999999998</v>
      </c>
      <c r="V297">
        <v>949.99</v>
      </c>
      <c r="W297">
        <v>1</v>
      </c>
      <c r="X297" t="str">
        <f>TEXT(cleaneddata[[#This Row],[Order Date]],"mmm")</f>
        <v>Mar</v>
      </c>
      <c r="Y297">
        <f>cleaneddata[[#This Row],[Unit Price]]*cleaneddata[[#This Row],[Quantity]]*(1-cleaneddata[[#This Row],[Discount %]]/100)</f>
        <v>1130.1499999999999</v>
      </c>
      <c r="Z297">
        <f>cleaneddata[[#This Row],[sales]]-cleaneddata[[#This Row],[Cost]]</f>
        <v>180.15999999999985</v>
      </c>
    </row>
    <row r="298" spans="1:26" x14ac:dyDescent="0.3">
      <c r="A298" t="s">
        <v>908</v>
      </c>
      <c r="B298" s="1">
        <v>45337</v>
      </c>
      <c r="C298" t="s">
        <v>909</v>
      </c>
      <c r="D298" t="s">
        <v>3445</v>
      </c>
      <c r="E298" s="1">
        <v>45341</v>
      </c>
      <c r="F298" t="s">
        <v>2617</v>
      </c>
      <c r="G298" t="s">
        <v>27</v>
      </c>
      <c r="H298" t="s">
        <v>28</v>
      </c>
      <c r="I298" t="s">
        <v>2625</v>
      </c>
      <c r="J298" t="s">
        <v>2667</v>
      </c>
      <c r="K298" t="s">
        <v>52</v>
      </c>
      <c r="L298">
        <v>48</v>
      </c>
      <c r="M298">
        <v>2</v>
      </c>
      <c r="N298">
        <v>15</v>
      </c>
      <c r="O298" t="s">
        <v>910</v>
      </c>
      <c r="P298" t="s">
        <v>33</v>
      </c>
      <c r="Q298" t="s">
        <v>70</v>
      </c>
      <c r="R298" t="s">
        <v>32</v>
      </c>
      <c r="S298" t="s">
        <v>30</v>
      </c>
      <c r="T298">
        <v>2</v>
      </c>
      <c r="U298">
        <v>364.33</v>
      </c>
      <c r="V298">
        <v>334.42</v>
      </c>
      <c r="W298">
        <v>4</v>
      </c>
      <c r="X298" t="str">
        <f>TEXT(cleaneddata[[#This Row],[Order Date]],"mmm")</f>
        <v>Feb</v>
      </c>
      <c r="Y298">
        <f>cleaneddata[[#This Row],[Unit Price]]*cleaneddata[[#This Row],[Quantity]]*(1-cleaneddata[[#This Row],[Discount %]]/100)</f>
        <v>619.36099999999999</v>
      </c>
      <c r="Z298">
        <f>cleaneddata[[#This Row],[sales]]-cleaneddata[[#This Row],[Cost]]</f>
        <v>284.94099999999997</v>
      </c>
    </row>
    <row r="299" spans="1:26" x14ac:dyDescent="0.3">
      <c r="A299" t="s">
        <v>911</v>
      </c>
      <c r="B299" s="1">
        <v>45689</v>
      </c>
      <c r="C299" t="s">
        <v>912</v>
      </c>
      <c r="D299" t="s">
        <v>3444</v>
      </c>
      <c r="E299" s="1">
        <v>45694</v>
      </c>
      <c r="F299" t="s">
        <v>2617</v>
      </c>
      <c r="G299" t="s">
        <v>27</v>
      </c>
      <c r="H299" t="s">
        <v>28</v>
      </c>
      <c r="I299" t="s">
        <v>2635</v>
      </c>
      <c r="J299" t="s">
        <v>2643</v>
      </c>
      <c r="K299" t="s">
        <v>52</v>
      </c>
      <c r="L299">
        <v>55</v>
      </c>
      <c r="M299">
        <v>2</v>
      </c>
      <c r="N299">
        <v>20</v>
      </c>
      <c r="O299" t="s">
        <v>144</v>
      </c>
      <c r="P299" t="s">
        <v>44</v>
      </c>
      <c r="Q299" t="s">
        <v>31</v>
      </c>
      <c r="R299" t="s">
        <v>43</v>
      </c>
      <c r="S299" t="s">
        <v>30</v>
      </c>
      <c r="T299">
        <v>3</v>
      </c>
      <c r="U299">
        <v>905.45</v>
      </c>
      <c r="V299">
        <v>1041.9000000000001</v>
      </c>
      <c r="W299">
        <v>5</v>
      </c>
      <c r="X299" t="str">
        <f>TEXT(cleaneddata[[#This Row],[Order Date]],"mmm")</f>
        <v>Feb</v>
      </c>
      <c r="Y299">
        <f>cleaneddata[[#This Row],[Unit Price]]*cleaneddata[[#This Row],[Quantity]]*(1-cleaneddata[[#This Row],[Discount %]]/100)</f>
        <v>1448.7200000000003</v>
      </c>
      <c r="Z299">
        <f>cleaneddata[[#This Row],[sales]]-cleaneddata[[#This Row],[Cost]]</f>
        <v>406.82000000000016</v>
      </c>
    </row>
    <row r="300" spans="1:26" x14ac:dyDescent="0.3">
      <c r="A300" t="s">
        <v>913</v>
      </c>
      <c r="B300" s="1">
        <v>45897</v>
      </c>
      <c r="C300" t="s">
        <v>914</v>
      </c>
      <c r="D300" t="s">
        <v>3443</v>
      </c>
      <c r="E300" s="1">
        <v>45902</v>
      </c>
      <c r="F300" t="s">
        <v>2617</v>
      </c>
      <c r="G300" t="s">
        <v>27</v>
      </c>
      <c r="H300" t="s">
        <v>28</v>
      </c>
      <c r="I300" t="s">
        <v>2675</v>
      </c>
      <c r="J300" t="s">
        <v>2676</v>
      </c>
      <c r="K300" t="s">
        <v>52</v>
      </c>
      <c r="L300">
        <v>34</v>
      </c>
      <c r="M300">
        <v>3</v>
      </c>
      <c r="N300">
        <v>15</v>
      </c>
      <c r="O300" t="s">
        <v>915</v>
      </c>
      <c r="P300" t="s">
        <v>75</v>
      </c>
      <c r="Q300" t="s">
        <v>42</v>
      </c>
      <c r="R300" t="s">
        <v>43</v>
      </c>
      <c r="S300" t="s">
        <v>30</v>
      </c>
      <c r="T300">
        <v>1</v>
      </c>
      <c r="U300">
        <v>352.59</v>
      </c>
      <c r="V300">
        <v>461.66</v>
      </c>
      <c r="W300">
        <v>5</v>
      </c>
      <c r="X300" t="str">
        <f>TEXT(cleaneddata[[#This Row],[Order Date]],"mmm")</f>
        <v>Aug</v>
      </c>
      <c r="Y300">
        <f>cleaneddata[[#This Row],[Unit Price]]*cleaneddata[[#This Row],[Quantity]]*(1-cleaneddata[[#This Row],[Discount %]]/100)</f>
        <v>899.10449999999992</v>
      </c>
      <c r="Z300">
        <f>cleaneddata[[#This Row],[sales]]-cleaneddata[[#This Row],[Cost]]</f>
        <v>437.44449999999989</v>
      </c>
    </row>
    <row r="301" spans="1:26" x14ac:dyDescent="0.3">
      <c r="A301" t="s">
        <v>916</v>
      </c>
      <c r="B301" s="1">
        <v>45564</v>
      </c>
      <c r="C301" t="s">
        <v>917</v>
      </c>
      <c r="D301" t="s">
        <v>3442</v>
      </c>
      <c r="E301" s="1">
        <v>45568</v>
      </c>
      <c r="F301" t="s">
        <v>40</v>
      </c>
      <c r="G301" t="s">
        <v>38</v>
      </c>
      <c r="H301" t="s">
        <v>39</v>
      </c>
      <c r="I301" t="s">
        <v>2647</v>
      </c>
      <c r="J301" t="s">
        <v>2648</v>
      </c>
      <c r="K301" t="s">
        <v>25</v>
      </c>
      <c r="L301">
        <v>36</v>
      </c>
      <c r="M301">
        <v>4</v>
      </c>
      <c r="N301">
        <v>20</v>
      </c>
      <c r="O301" t="s">
        <v>110</v>
      </c>
      <c r="P301" t="s">
        <v>44</v>
      </c>
      <c r="Q301" t="s">
        <v>117</v>
      </c>
      <c r="R301" t="s">
        <v>71</v>
      </c>
      <c r="S301" t="s">
        <v>41</v>
      </c>
      <c r="T301">
        <v>3</v>
      </c>
      <c r="U301">
        <v>819.51</v>
      </c>
      <c r="V301">
        <v>2198.94</v>
      </c>
      <c r="W301">
        <v>4</v>
      </c>
      <c r="X301" t="str">
        <f>TEXT(cleaneddata[[#This Row],[Order Date]],"mmm")</f>
        <v>Sep</v>
      </c>
      <c r="Y301">
        <f>cleaneddata[[#This Row],[Unit Price]]*cleaneddata[[#This Row],[Quantity]]*(1-cleaneddata[[#This Row],[Discount %]]/100)</f>
        <v>2622.4320000000002</v>
      </c>
      <c r="Z301">
        <f>cleaneddata[[#This Row],[sales]]-cleaneddata[[#This Row],[Cost]]</f>
        <v>423.49200000000019</v>
      </c>
    </row>
    <row r="302" spans="1:26" x14ac:dyDescent="0.3">
      <c r="A302" t="s">
        <v>918</v>
      </c>
      <c r="B302" s="1">
        <v>45925</v>
      </c>
      <c r="C302" t="s">
        <v>919</v>
      </c>
      <c r="D302" t="s">
        <v>3441</v>
      </c>
      <c r="E302" s="1">
        <v>45930</v>
      </c>
      <c r="F302" t="s">
        <v>68</v>
      </c>
      <c r="G302" t="s">
        <v>66</v>
      </c>
      <c r="H302" t="s">
        <v>67</v>
      </c>
      <c r="I302" t="s">
        <v>2629</v>
      </c>
      <c r="J302" t="s">
        <v>2689</v>
      </c>
      <c r="K302" t="s">
        <v>25</v>
      </c>
      <c r="L302">
        <v>25</v>
      </c>
      <c r="M302">
        <v>1</v>
      </c>
      <c r="N302">
        <v>10</v>
      </c>
      <c r="O302" t="s">
        <v>920</v>
      </c>
      <c r="P302" t="s">
        <v>75</v>
      </c>
      <c r="Q302" t="s">
        <v>58</v>
      </c>
      <c r="R302" t="s">
        <v>32</v>
      </c>
      <c r="S302" t="s">
        <v>69</v>
      </c>
      <c r="T302">
        <v>5</v>
      </c>
      <c r="U302">
        <v>51.56</v>
      </c>
      <c r="V302">
        <v>32.090000000000003</v>
      </c>
      <c r="W302">
        <v>5</v>
      </c>
      <c r="X302" t="str">
        <f>TEXT(cleaneddata[[#This Row],[Order Date]],"mmm")</f>
        <v>Sep</v>
      </c>
      <c r="Y302">
        <f>cleaneddata[[#This Row],[Unit Price]]*cleaneddata[[#This Row],[Quantity]]*(1-cleaneddata[[#This Row],[Discount %]]/100)</f>
        <v>46.404000000000003</v>
      </c>
      <c r="Z302">
        <f>cleaneddata[[#This Row],[sales]]-cleaneddata[[#This Row],[Cost]]</f>
        <v>14.314</v>
      </c>
    </row>
    <row r="303" spans="1:26" x14ac:dyDescent="0.3">
      <c r="A303" t="s">
        <v>921</v>
      </c>
      <c r="B303" s="1">
        <v>45509</v>
      </c>
      <c r="C303" t="s">
        <v>922</v>
      </c>
      <c r="D303" t="s">
        <v>3440</v>
      </c>
      <c r="E303" s="1">
        <v>45511</v>
      </c>
      <c r="F303" t="s">
        <v>56</v>
      </c>
      <c r="G303" t="s">
        <v>54</v>
      </c>
      <c r="H303" t="s">
        <v>55</v>
      </c>
      <c r="I303" t="s">
        <v>2672</v>
      </c>
      <c r="J303" t="s">
        <v>2673</v>
      </c>
      <c r="K303" t="s">
        <v>52</v>
      </c>
      <c r="L303">
        <v>59</v>
      </c>
      <c r="M303">
        <v>5</v>
      </c>
      <c r="N303">
        <v>30</v>
      </c>
      <c r="O303" t="s">
        <v>706</v>
      </c>
      <c r="P303" t="s">
        <v>75</v>
      </c>
      <c r="Q303" t="s">
        <v>70</v>
      </c>
      <c r="R303" t="s">
        <v>62</v>
      </c>
      <c r="S303" t="s">
        <v>57</v>
      </c>
      <c r="T303">
        <v>1</v>
      </c>
      <c r="U303">
        <v>143.74</v>
      </c>
      <c r="V303">
        <v>410.49</v>
      </c>
      <c r="W303">
        <v>2</v>
      </c>
      <c r="X303" t="str">
        <f>TEXT(cleaneddata[[#This Row],[Order Date]],"mmm")</f>
        <v>Aug</v>
      </c>
      <c r="Y303">
        <f>cleaneddata[[#This Row],[Unit Price]]*cleaneddata[[#This Row],[Quantity]]*(1-cleaneddata[[#This Row],[Discount %]]/100)</f>
        <v>503.09</v>
      </c>
      <c r="Z303">
        <f>cleaneddata[[#This Row],[sales]]-cleaneddata[[#This Row],[Cost]]</f>
        <v>92.599999999999966</v>
      </c>
    </row>
    <row r="304" spans="1:26" x14ac:dyDescent="0.3">
      <c r="A304" t="s">
        <v>923</v>
      </c>
      <c r="B304" s="1">
        <v>45527</v>
      </c>
      <c r="C304" t="s">
        <v>924</v>
      </c>
      <c r="D304" t="s">
        <v>3439</v>
      </c>
      <c r="E304" s="1">
        <v>45530</v>
      </c>
      <c r="F304" t="s">
        <v>68</v>
      </c>
      <c r="G304" t="s">
        <v>66</v>
      </c>
      <c r="H304" t="s">
        <v>67</v>
      </c>
      <c r="I304" t="s">
        <v>2625</v>
      </c>
      <c r="J304" t="s">
        <v>2667</v>
      </c>
      <c r="K304" t="s">
        <v>25</v>
      </c>
      <c r="L304">
        <v>45</v>
      </c>
      <c r="M304">
        <v>3</v>
      </c>
      <c r="N304">
        <v>30</v>
      </c>
      <c r="O304" t="s">
        <v>925</v>
      </c>
      <c r="P304" t="s">
        <v>75</v>
      </c>
      <c r="Q304" t="s">
        <v>58</v>
      </c>
      <c r="R304" t="s">
        <v>32</v>
      </c>
      <c r="S304" t="s">
        <v>69</v>
      </c>
      <c r="T304">
        <v>3</v>
      </c>
      <c r="U304">
        <v>483.94</v>
      </c>
      <c r="V304">
        <v>811.98</v>
      </c>
      <c r="W304">
        <v>3</v>
      </c>
      <c r="X304" t="str">
        <f>TEXT(cleaneddata[[#This Row],[Order Date]],"mmm")</f>
        <v>Aug</v>
      </c>
      <c r="Y304">
        <f>cleaneddata[[#This Row],[Unit Price]]*cleaneddata[[#This Row],[Quantity]]*(1-cleaneddata[[#This Row],[Discount %]]/100)</f>
        <v>1016.2739999999999</v>
      </c>
      <c r="Z304">
        <f>cleaneddata[[#This Row],[sales]]-cleaneddata[[#This Row],[Cost]]</f>
        <v>204.29399999999987</v>
      </c>
    </row>
    <row r="305" spans="1:26" x14ac:dyDescent="0.3">
      <c r="A305" t="s">
        <v>926</v>
      </c>
      <c r="B305" s="1">
        <v>45552</v>
      </c>
      <c r="C305" t="s">
        <v>927</v>
      </c>
      <c r="D305" t="s">
        <v>3438</v>
      </c>
      <c r="E305" s="1">
        <v>45555</v>
      </c>
      <c r="F305" t="s">
        <v>122</v>
      </c>
      <c r="G305" t="s">
        <v>120</v>
      </c>
      <c r="H305" t="s">
        <v>121</v>
      </c>
      <c r="I305" t="s">
        <v>2625</v>
      </c>
      <c r="J305" t="s">
        <v>2667</v>
      </c>
      <c r="K305" t="s">
        <v>25</v>
      </c>
      <c r="L305">
        <v>47</v>
      </c>
      <c r="M305">
        <v>5</v>
      </c>
      <c r="N305">
        <v>10</v>
      </c>
      <c r="O305" t="s">
        <v>214</v>
      </c>
      <c r="P305" t="s">
        <v>44</v>
      </c>
      <c r="Q305" t="s">
        <v>58</v>
      </c>
      <c r="R305" t="s">
        <v>32</v>
      </c>
      <c r="S305" t="s">
        <v>123</v>
      </c>
      <c r="T305">
        <v>4</v>
      </c>
      <c r="U305">
        <v>621.53</v>
      </c>
      <c r="V305">
        <v>1562.43</v>
      </c>
      <c r="W305">
        <v>3</v>
      </c>
      <c r="X305" t="str">
        <f>TEXT(cleaneddata[[#This Row],[Order Date]],"mmm")</f>
        <v>Sep</v>
      </c>
      <c r="Y305">
        <f>cleaneddata[[#This Row],[Unit Price]]*cleaneddata[[#This Row],[Quantity]]*(1-cleaneddata[[#This Row],[Discount %]]/100)</f>
        <v>2796.8849999999998</v>
      </c>
      <c r="Z305">
        <f>cleaneddata[[#This Row],[sales]]-cleaneddata[[#This Row],[Cost]]</f>
        <v>1234.4549999999997</v>
      </c>
    </row>
    <row r="306" spans="1:26" x14ac:dyDescent="0.3">
      <c r="A306" t="s">
        <v>928</v>
      </c>
      <c r="B306" s="1">
        <v>45302</v>
      </c>
      <c r="C306" t="s">
        <v>929</v>
      </c>
      <c r="D306" t="s">
        <v>3437</v>
      </c>
      <c r="E306" s="1">
        <v>45303</v>
      </c>
      <c r="F306" t="s">
        <v>122</v>
      </c>
      <c r="G306" t="s">
        <v>120</v>
      </c>
      <c r="H306" t="s">
        <v>121</v>
      </c>
      <c r="I306" t="s">
        <v>2679</v>
      </c>
      <c r="J306" t="s">
        <v>2707</v>
      </c>
      <c r="K306" t="s">
        <v>25</v>
      </c>
      <c r="L306">
        <v>31</v>
      </c>
      <c r="M306">
        <v>5</v>
      </c>
      <c r="N306">
        <v>5</v>
      </c>
      <c r="O306" t="s">
        <v>674</v>
      </c>
      <c r="P306" t="s">
        <v>44</v>
      </c>
      <c r="Q306" t="s">
        <v>31</v>
      </c>
      <c r="R306" t="s">
        <v>71</v>
      </c>
      <c r="S306" t="s">
        <v>123</v>
      </c>
      <c r="T306">
        <v>2</v>
      </c>
      <c r="U306">
        <v>580.73</v>
      </c>
      <c r="V306">
        <v>2005.99</v>
      </c>
      <c r="W306">
        <v>1</v>
      </c>
      <c r="X306" t="str">
        <f>TEXT(cleaneddata[[#This Row],[Order Date]],"mmm")</f>
        <v>Jan</v>
      </c>
      <c r="Y306">
        <f>cleaneddata[[#This Row],[Unit Price]]*cleaneddata[[#This Row],[Quantity]]*(1-cleaneddata[[#This Row],[Discount %]]/100)</f>
        <v>2758.4674999999997</v>
      </c>
      <c r="Z306">
        <f>cleaneddata[[#This Row],[sales]]-cleaneddata[[#This Row],[Cost]]</f>
        <v>752.47749999999974</v>
      </c>
    </row>
    <row r="307" spans="1:26" x14ac:dyDescent="0.3">
      <c r="A307" t="s">
        <v>930</v>
      </c>
      <c r="B307" s="1">
        <v>46112</v>
      </c>
      <c r="C307" t="s">
        <v>931</v>
      </c>
      <c r="D307" t="s">
        <v>3436</v>
      </c>
      <c r="E307" s="1">
        <v>46113</v>
      </c>
      <c r="F307" t="s">
        <v>100</v>
      </c>
      <c r="G307" t="s">
        <v>98</v>
      </c>
      <c r="H307" t="s">
        <v>99</v>
      </c>
      <c r="I307" t="s">
        <v>2629</v>
      </c>
      <c r="J307" t="s">
        <v>2709</v>
      </c>
      <c r="K307" t="s">
        <v>52</v>
      </c>
      <c r="L307">
        <v>60</v>
      </c>
      <c r="M307">
        <v>1</v>
      </c>
      <c r="N307">
        <v>30</v>
      </c>
      <c r="O307" t="s">
        <v>247</v>
      </c>
      <c r="P307" t="s">
        <v>44</v>
      </c>
      <c r="Q307" t="s">
        <v>58</v>
      </c>
      <c r="R307" t="s">
        <v>71</v>
      </c>
      <c r="S307" t="s">
        <v>101</v>
      </c>
      <c r="T307">
        <v>1</v>
      </c>
      <c r="U307">
        <v>553.63</v>
      </c>
      <c r="V307">
        <v>213.01</v>
      </c>
      <c r="W307">
        <v>1</v>
      </c>
      <c r="X307" t="str">
        <f>TEXT(cleaneddata[[#This Row],[Order Date]],"mmm")</f>
        <v>Mar</v>
      </c>
      <c r="Y307">
        <f>cleaneddata[[#This Row],[Unit Price]]*cleaneddata[[#This Row],[Quantity]]*(1-cleaneddata[[#This Row],[Discount %]]/100)</f>
        <v>387.541</v>
      </c>
      <c r="Z307">
        <f>cleaneddata[[#This Row],[sales]]-cleaneddata[[#This Row],[Cost]]</f>
        <v>174.53100000000001</v>
      </c>
    </row>
    <row r="308" spans="1:26" x14ac:dyDescent="0.3">
      <c r="A308" t="s">
        <v>932</v>
      </c>
      <c r="B308" s="1">
        <v>46134</v>
      </c>
      <c r="C308" t="s">
        <v>933</v>
      </c>
      <c r="D308" t="s">
        <v>3435</v>
      </c>
      <c r="E308" s="1">
        <v>46137</v>
      </c>
      <c r="F308" t="s">
        <v>68</v>
      </c>
      <c r="G308" t="s">
        <v>66</v>
      </c>
      <c r="H308" t="s">
        <v>67</v>
      </c>
      <c r="I308" t="s">
        <v>2622</v>
      </c>
      <c r="J308" t="s">
        <v>2686</v>
      </c>
      <c r="K308" t="s">
        <v>52</v>
      </c>
      <c r="L308">
        <v>55</v>
      </c>
      <c r="M308">
        <v>5</v>
      </c>
      <c r="N308">
        <v>10</v>
      </c>
      <c r="O308" t="s">
        <v>934</v>
      </c>
      <c r="P308" t="s">
        <v>44</v>
      </c>
      <c r="Q308" t="s">
        <v>70</v>
      </c>
      <c r="R308" t="s">
        <v>32</v>
      </c>
      <c r="S308" t="s">
        <v>69</v>
      </c>
      <c r="T308">
        <v>4</v>
      </c>
      <c r="U308">
        <v>931.29</v>
      </c>
      <c r="V308">
        <v>2975.43</v>
      </c>
      <c r="W308">
        <v>3</v>
      </c>
      <c r="X308" t="str">
        <f>TEXT(cleaneddata[[#This Row],[Order Date]],"mmm")</f>
        <v>Apr</v>
      </c>
      <c r="Y308">
        <f>cleaneddata[[#This Row],[Unit Price]]*cleaneddata[[#This Row],[Quantity]]*(1-cleaneddata[[#This Row],[Discount %]]/100)</f>
        <v>4190.8050000000003</v>
      </c>
      <c r="Z308">
        <f>cleaneddata[[#This Row],[sales]]-cleaneddata[[#This Row],[Cost]]</f>
        <v>1215.3750000000005</v>
      </c>
    </row>
    <row r="309" spans="1:26" x14ac:dyDescent="0.3">
      <c r="A309" t="s">
        <v>935</v>
      </c>
      <c r="B309" s="1">
        <v>45733</v>
      </c>
      <c r="C309" t="s">
        <v>936</v>
      </c>
      <c r="D309" t="s">
        <v>3434</v>
      </c>
      <c r="E309" s="1">
        <v>45734</v>
      </c>
      <c r="F309" t="s">
        <v>140</v>
      </c>
      <c r="G309" t="s">
        <v>38</v>
      </c>
      <c r="H309" t="s">
        <v>139</v>
      </c>
      <c r="I309" t="s">
        <v>2622</v>
      </c>
      <c r="J309" t="s">
        <v>2704</v>
      </c>
      <c r="K309" t="s">
        <v>52</v>
      </c>
      <c r="L309">
        <v>43</v>
      </c>
      <c r="M309">
        <v>2</v>
      </c>
      <c r="N309">
        <v>25</v>
      </c>
      <c r="O309" t="s">
        <v>400</v>
      </c>
      <c r="P309" t="s">
        <v>44</v>
      </c>
      <c r="Q309" t="s">
        <v>58</v>
      </c>
      <c r="R309" t="s">
        <v>71</v>
      </c>
      <c r="S309" t="s">
        <v>141</v>
      </c>
      <c r="T309">
        <v>5</v>
      </c>
      <c r="U309">
        <v>682.8</v>
      </c>
      <c r="V309">
        <v>809.5</v>
      </c>
      <c r="W309">
        <v>1</v>
      </c>
      <c r="X309" t="str">
        <f>TEXT(cleaneddata[[#This Row],[Order Date]],"mmm")</f>
        <v>Mar</v>
      </c>
      <c r="Y309">
        <f>cleaneddata[[#This Row],[Unit Price]]*cleaneddata[[#This Row],[Quantity]]*(1-cleaneddata[[#This Row],[Discount %]]/100)</f>
        <v>1024.1999999999998</v>
      </c>
      <c r="Z309">
        <f>cleaneddata[[#This Row],[sales]]-cleaneddata[[#This Row],[Cost]]</f>
        <v>214.69999999999982</v>
      </c>
    </row>
    <row r="310" spans="1:26" x14ac:dyDescent="0.3">
      <c r="A310" t="s">
        <v>937</v>
      </c>
      <c r="B310" s="1">
        <v>45803</v>
      </c>
      <c r="C310" t="s">
        <v>938</v>
      </c>
      <c r="D310" t="s">
        <v>3433</v>
      </c>
      <c r="E310" s="1">
        <v>45809</v>
      </c>
      <c r="F310" t="s">
        <v>68</v>
      </c>
      <c r="G310" t="s">
        <v>66</v>
      </c>
      <c r="H310" t="s">
        <v>67</v>
      </c>
      <c r="I310" t="s">
        <v>2641</v>
      </c>
      <c r="J310" t="s">
        <v>2692</v>
      </c>
      <c r="K310" t="s">
        <v>25</v>
      </c>
      <c r="L310">
        <v>29</v>
      </c>
      <c r="M310">
        <v>5</v>
      </c>
      <c r="N310">
        <v>25</v>
      </c>
      <c r="O310" t="s">
        <v>939</v>
      </c>
      <c r="P310" t="s">
        <v>44</v>
      </c>
      <c r="Q310" t="s">
        <v>58</v>
      </c>
      <c r="R310" t="s">
        <v>62</v>
      </c>
      <c r="S310" t="s">
        <v>69</v>
      </c>
      <c r="T310">
        <v>5</v>
      </c>
      <c r="U310">
        <v>880.9</v>
      </c>
      <c r="V310">
        <v>1953.16</v>
      </c>
      <c r="W310">
        <v>6</v>
      </c>
      <c r="X310" t="str">
        <f>TEXT(cleaneddata[[#This Row],[Order Date]],"mmm")</f>
        <v>May</v>
      </c>
      <c r="Y310">
        <f>cleaneddata[[#This Row],[Unit Price]]*cleaneddata[[#This Row],[Quantity]]*(1-cleaneddata[[#This Row],[Discount %]]/100)</f>
        <v>3303.375</v>
      </c>
      <c r="Z310">
        <f>cleaneddata[[#This Row],[sales]]-cleaneddata[[#This Row],[Cost]]</f>
        <v>1350.2149999999999</v>
      </c>
    </row>
    <row r="311" spans="1:26" x14ac:dyDescent="0.3">
      <c r="A311" t="s">
        <v>940</v>
      </c>
      <c r="B311" s="1">
        <v>45590</v>
      </c>
      <c r="C311" t="s">
        <v>941</v>
      </c>
      <c r="D311" t="s">
        <v>3432</v>
      </c>
      <c r="E311" s="1">
        <v>45595</v>
      </c>
      <c r="F311" t="s">
        <v>128</v>
      </c>
      <c r="G311" t="s">
        <v>98</v>
      </c>
      <c r="H311" t="s">
        <v>127</v>
      </c>
      <c r="I311" t="s">
        <v>2623</v>
      </c>
      <c r="J311" t="s">
        <v>2624</v>
      </c>
      <c r="K311" t="s">
        <v>25</v>
      </c>
      <c r="L311">
        <v>61</v>
      </c>
      <c r="M311">
        <v>3</v>
      </c>
      <c r="N311">
        <v>25</v>
      </c>
      <c r="O311" t="s">
        <v>942</v>
      </c>
      <c r="P311" t="s">
        <v>33</v>
      </c>
      <c r="Q311" t="s">
        <v>58</v>
      </c>
      <c r="R311" t="s">
        <v>32</v>
      </c>
      <c r="S311" t="s">
        <v>129</v>
      </c>
      <c r="T311">
        <v>2</v>
      </c>
      <c r="U311">
        <v>874.19</v>
      </c>
      <c r="V311">
        <v>1319.53</v>
      </c>
      <c r="W311">
        <v>5</v>
      </c>
      <c r="X311" t="str">
        <f>TEXT(cleaneddata[[#This Row],[Order Date]],"mmm")</f>
        <v>Oct</v>
      </c>
      <c r="Y311">
        <f>cleaneddata[[#This Row],[Unit Price]]*cleaneddata[[#This Row],[Quantity]]*(1-cleaneddata[[#This Row],[Discount %]]/100)</f>
        <v>1966.9275000000002</v>
      </c>
      <c r="Z311">
        <f>cleaneddata[[#This Row],[sales]]-cleaneddata[[#This Row],[Cost]]</f>
        <v>647.39750000000026</v>
      </c>
    </row>
    <row r="312" spans="1:26" x14ac:dyDescent="0.3">
      <c r="A312" t="s">
        <v>943</v>
      </c>
      <c r="B312" s="1">
        <v>46122</v>
      </c>
      <c r="C312" t="s">
        <v>944</v>
      </c>
      <c r="D312" t="s">
        <v>3431</v>
      </c>
      <c r="E312" s="1">
        <v>46126</v>
      </c>
      <c r="F312" t="s">
        <v>140</v>
      </c>
      <c r="G312" t="s">
        <v>38</v>
      </c>
      <c r="H312" t="s">
        <v>139</v>
      </c>
      <c r="I312" t="s">
        <v>2665</v>
      </c>
      <c r="J312" t="s">
        <v>2693</v>
      </c>
      <c r="K312" t="s">
        <v>52</v>
      </c>
      <c r="L312">
        <v>31</v>
      </c>
      <c r="M312">
        <v>5</v>
      </c>
      <c r="N312">
        <v>20</v>
      </c>
      <c r="O312" t="s">
        <v>945</v>
      </c>
      <c r="P312" t="s">
        <v>75</v>
      </c>
      <c r="Q312" t="s">
        <v>31</v>
      </c>
      <c r="R312" t="s">
        <v>32</v>
      </c>
      <c r="S312" t="s">
        <v>141</v>
      </c>
      <c r="T312">
        <v>2</v>
      </c>
      <c r="U312">
        <v>92.25</v>
      </c>
      <c r="V312">
        <v>215.61</v>
      </c>
      <c r="W312">
        <v>4</v>
      </c>
      <c r="X312" t="str">
        <f>TEXT(cleaneddata[[#This Row],[Order Date]],"mmm")</f>
        <v>Apr</v>
      </c>
      <c r="Y312">
        <f>cleaneddata[[#This Row],[Unit Price]]*cleaneddata[[#This Row],[Quantity]]*(1-cleaneddata[[#This Row],[Discount %]]/100)</f>
        <v>369</v>
      </c>
      <c r="Z312">
        <f>cleaneddata[[#This Row],[sales]]-cleaneddata[[#This Row],[Cost]]</f>
        <v>153.38999999999999</v>
      </c>
    </row>
    <row r="313" spans="1:26" x14ac:dyDescent="0.3">
      <c r="A313" t="s">
        <v>946</v>
      </c>
      <c r="B313" s="1">
        <v>45351</v>
      </c>
      <c r="C313" t="s">
        <v>947</v>
      </c>
      <c r="D313" t="s">
        <v>3430</v>
      </c>
      <c r="E313" s="1">
        <v>45357</v>
      </c>
      <c r="F313" t="s">
        <v>122</v>
      </c>
      <c r="G313" t="s">
        <v>120</v>
      </c>
      <c r="H313" t="s">
        <v>121</v>
      </c>
      <c r="I313" t="s">
        <v>2625</v>
      </c>
      <c r="J313" t="s">
        <v>2703</v>
      </c>
      <c r="K313" t="s">
        <v>25</v>
      </c>
      <c r="L313">
        <v>40</v>
      </c>
      <c r="M313">
        <v>1</v>
      </c>
      <c r="N313">
        <v>15</v>
      </c>
      <c r="O313" t="s">
        <v>948</v>
      </c>
      <c r="P313" t="s">
        <v>33</v>
      </c>
      <c r="Q313" t="s">
        <v>58</v>
      </c>
      <c r="R313" t="s">
        <v>43</v>
      </c>
      <c r="S313" t="s">
        <v>123</v>
      </c>
      <c r="T313">
        <v>2</v>
      </c>
      <c r="U313">
        <v>145.97</v>
      </c>
      <c r="V313">
        <v>64.790000000000006</v>
      </c>
      <c r="W313">
        <v>6</v>
      </c>
      <c r="X313" t="str">
        <f>TEXT(cleaneddata[[#This Row],[Order Date]],"mmm")</f>
        <v>Feb</v>
      </c>
      <c r="Y313">
        <f>cleaneddata[[#This Row],[Unit Price]]*cleaneddata[[#This Row],[Quantity]]*(1-cleaneddata[[#This Row],[Discount %]]/100)</f>
        <v>124.0745</v>
      </c>
      <c r="Z313">
        <f>cleaneddata[[#This Row],[sales]]-cleaneddata[[#This Row],[Cost]]</f>
        <v>59.284499999999994</v>
      </c>
    </row>
    <row r="314" spans="1:26" x14ac:dyDescent="0.3">
      <c r="A314" t="s">
        <v>949</v>
      </c>
      <c r="B314" s="1">
        <v>45882</v>
      </c>
      <c r="C314" t="s">
        <v>950</v>
      </c>
      <c r="D314" t="s">
        <v>3429</v>
      </c>
      <c r="E314" s="1">
        <v>45888</v>
      </c>
      <c r="F314" t="s">
        <v>56</v>
      </c>
      <c r="G314" t="s">
        <v>54</v>
      </c>
      <c r="H314" t="s">
        <v>55</v>
      </c>
      <c r="I314" t="s">
        <v>2637</v>
      </c>
      <c r="J314" t="s">
        <v>2649</v>
      </c>
      <c r="K314" t="s">
        <v>52</v>
      </c>
      <c r="L314">
        <v>37</v>
      </c>
      <c r="M314">
        <v>4</v>
      </c>
      <c r="N314">
        <v>10</v>
      </c>
      <c r="O314" t="s">
        <v>951</v>
      </c>
      <c r="P314" t="s">
        <v>33</v>
      </c>
      <c r="Q314" t="s">
        <v>70</v>
      </c>
      <c r="R314" t="s">
        <v>62</v>
      </c>
      <c r="S314" t="s">
        <v>57</v>
      </c>
      <c r="T314">
        <v>4</v>
      </c>
      <c r="U314">
        <v>323.41000000000003</v>
      </c>
      <c r="V314">
        <v>762.17</v>
      </c>
      <c r="W314">
        <v>6</v>
      </c>
      <c r="X314" t="str">
        <f>TEXT(cleaneddata[[#This Row],[Order Date]],"mmm")</f>
        <v>Aug</v>
      </c>
      <c r="Y314">
        <f>cleaneddata[[#This Row],[Unit Price]]*cleaneddata[[#This Row],[Quantity]]*(1-cleaneddata[[#This Row],[Discount %]]/100)</f>
        <v>1164.2760000000001</v>
      </c>
      <c r="Z314">
        <f>cleaneddata[[#This Row],[sales]]-cleaneddata[[#This Row],[Cost]]</f>
        <v>402.10600000000011</v>
      </c>
    </row>
    <row r="315" spans="1:26" x14ac:dyDescent="0.3">
      <c r="A315" t="s">
        <v>952</v>
      </c>
      <c r="B315" s="1">
        <v>46183</v>
      </c>
      <c r="C315" t="s">
        <v>812</v>
      </c>
      <c r="D315" t="s">
        <v>3428</v>
      </c>
      <c r="E315" s="1">
        <v>46188</v>
      </c>
      <c r="F315" t="s">
        <v>68</v>
      </c>
      <c r="G315" t="s">
        <v>66</v>
      </c>
      <c r="H315" t="s">
        <v>67</v>
      </c>
      <c r="I315" t="s">
        <v>2622</v>
      </c>
      <c r="J315" t="s">
        <v>2705</v>
      </c>
      <c r="K315" t="s">
        <v>25</v>
      </c>
      <c r="L315">
        <v>36</v>
      </c>
      <c r="M315">
        <v>4</v>
      </c>
      <c r="N315">
        <v>0</v>
      </c>
      <c r="O315" t="s">
        <v>953</v>
      </c>
      <c r="P315" t="s">
        <v>75</v>
      </c>
      <c r="Q315" t="s">
        <v>31</v>
      </c>
      <c r="R315" t="s">
        <v>62</v>
      </c>
      <c r="S315" t="s">
        <v>69</v>
      </c>
      <c r="T315">
        <v>3</v>
      </c>
      <c r="U315">
        <v>397.43</v>
      </c>
      <c r="V315">
        <v>1166.94</v>
      </c>
      <c r="W315">
        <v>5</v>
      </c>
      <c r="X315" t="str">
        <f>TEXT(cleaneddata[[#This Row],[Order Date]],"mmm")</f>
        <v>Jun</v>
      </c>
      <c r="Y315">
        <f>cleaneddata[[#This Row],[Unit Price]]*cleaneddata[[#This Row],[Quantity]]*(1-cleaneddata[[#This Row],[Discount %]]/100)</f>
        <v>1589.72</v>
      </c>
      <c r="Z315">
        <f>cleaneddata[[#This Row],[sales]]-cleaneddata[[#This Row],[Cost]]</f>
        <v>422.78</v>
      </c>
    </row>
    <row r="316" spans="1:26" x14ac:dyDescent="0.3">
      <c r="A316" t="s">
        <v>954</v>
      </c>
      <c r="B316" s="1">
        <v>45811</v>
      </c>
      <c r="C316" t="s">
        <v>955</v>
      </c>
      <c r="D316" t="s">
        <v>3427</v>
      </c>
      <c r="E316" s="1">
        <v>45814</v>
      </c>
      <c r="F316" t="s">
        <v>122</v>
      </c>
      <c r="G316" t="s">
        <v>120</v>
      </c>
      <c r="H316" t="s">
        <v>121</v>
      </c>
      <c r="I316" t="s">
        <v>2634</v>
      </c>
      <c r="J316" t="s">
        <v>2650</v>
      </c>
      <c r="K316" t="s">
        <v>25</v>
      </c>
      <c r="L316">
        <v>30</v>
      </c>
      <c r="M316">
        <v>4</v>
      </c>
      <c r="N316">
        <v>5</v>
      </c>
      <c r="O316" t="s">
        <v>706</v>
      </c>
      <c r="P316" t="s">
        <v>44</v>
      </c>
      <c r="Q316" t="s">
        <v>117</v>
      </c>
      <c r="R316" t="s">
        <v>43</v>
      </c>
      <c r="S316" t="s">
        <v>123</v>
      </c>
      <c r="T316">
        <v>3</v>
      </c>
      <c r="U316">
        <v>360.19</v>
      </c>
      <c r="V316">
        <v>1034.0999999999999</v>
      </c>
      <c r="W316">
        <v>3</v>
      </c>
      <c r="X316" t="str">
        <f>TEXT(cleaneddata[[#This Row],[Order Date]],"mmm")</f>
        <v>Jun</v>
      </c>
      <c r="Y316">
        <f>cleaneddata[[#This Row],[Unit Price]]*cleaneddata[[#This Row],[Quantity]]*(1-cleaneddata[[#This Row],[Discount %]]/100)</f>
        <v>1368.722</v>
      </c>
      <c r="Z316">
        <f>cleaneddata[[#This Row],[sales]]-cleaneddata[[#This Row],[Cost]]</f>
        <v>334.62200000000007</v>
      </c>
    </row>
    <row r="317" spans="1:26" x14ac:dyDescent="0.3">
      <c r="A317" t="s">
        <v>956</v>
      </c>
      <c r="B317" s="1">
        <v>45564</v>
      </c>
      <c r="C317" t="s">
        <v>957</v>
      </c>
      <c r="D317" t="s">
        <v>2777</v>
      </c>
      <c r="E317" s="1">
        <v>45570</v>
      </c>
      <c r="F317" t="s">
        <v>40</v>
      </c>
      <c r="G317" t="s">
        <v>38</v>
      </c>
      <c r="H317" t="s">
        <v>39</v>
      </c>
      <c r="I317" t="s">
        <v>2641</v>
      </c>
      <c r="J317" t="s">
        <v>2713</v>
      </c>
      <c r="K317" t="s">
        <v>52</v>
      </c>
      <c r="L317">
        <v>61</v>
      </c>
      <c r="M317">
        <v>5</v>
      </c>
      <c r="N317">
        <v>15</v>
      </c>
      <c r="O317" t="s">
        <v>712</v>
      </c>
      <c r="P317" t="s">
        <v>33</v>
      </c>
      <c r="Q317" t="s">
        <v>31</v>
      </c>
      <c r="R317" t="s">
        <v>71</v>
      </c>
      <c r="S317" t="s">
        <v>41</v>
      </c>
      <c r="T317">
        <v>3</v>
      </c>
      <c r="U317">
        <v>352.91</v>
      </c>
      <c r="V317">
        <v>1208.82</v>
      </c>
      <c r="W317">
        <v>6</v>
      </c>
      <c r="X317" t="str">
        <f>TEXT(cleaneddata[[#This Row],[Order Date]],"mmm")</f>
        <v>Sep</v>
      </c>
      <c r="Y317">
        <f>cleaneddata[[#This Row],[Unit Price]]*cleaneddata[[#This Row],[Quantity]]*(1-cleaneddata[[#This Row],[Discount %]]/100)</f>
        <v>1499.8675000000001</v>
      </c>
      <c r="Z317">
        <f>cleaneddata[[#This Row],[sales]]-cleaneddata[[#This Row],[Cost]]</f>
        <v>291.04750000000013</v>
      </c>
    </row>
    <row r="318" spans="1:26" x14ac:dyDescent="0.3">
      <c r="A318" t="s">
        <v>958</v>
      </c>
      <c r="B318" s="1">
        <v>46013</v>
      </c>
      <c r="C318" t="s">
        <v>959</v>
      </c>
      <c r="D318" t="s">
        <v>2776</v>
      </c>
      <c r="E318" s="1">
        <v>46019</v>
      </c>
      <c r="F318" t="s">
        <v>2617</v>
      </c>
      <c r="G318" t="s">
        <v>27</v>
      </c>
      <c r="H318" t="s">
        <v>28</v>
      </c>
      <c r="I318" t="s">
        <v>2627</v>
      </c>
      <c r="J318" t="s">
        <v>2628</v>
      </c>
      <c r="K318" t="s">
        <v>25</v>
      </c>
      <c r="L318">
        <v>45</v>
      </c>
      <c r="M318">
        <v>4</v>
      </c>
      <c r="N318">
        <v>5</v>
      </c>
      <c r="O318" t="s">
        <v>960</v>
      </c>
      <c r="P318" t="s">
        <v>75</v>
      </c>
      <c r="Q318" t="s">
        <v>58</v>
      </c>
      <c r="R318" t="s">
        <v>71</v>
      </c>
      <c r="S318" t="s">
        <v>30</v>
      </c>
      <c r="T318">
        <v>1</v>
      </c>
      <c r="U318">
        <v>126.62</v>
      </c>
      <c r="V318">
        <v>310.79000000000002</v>
      </c>
      <c r="W318">
        <v>6</v>
      </c>
      <c r="X318" t="str">
        <f>TEXT(cleaneddata[[#This Row],[Order Date]],"mmm")</f>
        <v>Dec</v>
      </c>
      <c r="Y318">
        <f>cleaneddata[[#This Row],[Unit Price]]*cleaneddata[[#This Row],[Quantity]]*(1-cleaneddata[[#This Row],[Discount %]]/100)</f>
        <v>481.15600000000001</v>
      </c>
      <c r="Z318">
        <f>cleaneddata[[#This Row],[sales]]-cleaneddata[[#This Row],[Cost]]</f>
        <v>170.36599999999999</v>
      </c>
    </row>
    <row r="319" spans="1:26" x14ac:dyDescent="0.3">
      <c r="A319" t="s">
        <v>961</v>
      </c>
      <c r="B319" s="1">
        <v>45322</v>
      </c>
      <c r="C319" t="s">
        <v>962</v>
      </c>
      <c r="D319" t="s">
        <v>2775</v>
      </c>
      <c r="E319" s="1">
        <v>45326</v>
      </c>
      <c r="F319" t="s">
        <v>115</v>
      </c>
      <c r="G319" t="s">
        <v>66</v>
      </c>
      <c r="H319" t="s">
        <v>114</v>
      </c>
      <c r="I319" t="s">
        <v>2659</v>
      </c>
      <c r="J319" t="s">
        <v>2718</v>
      </c>
      <c r="K319" t="s">
        <v>52</v>
      </c>
      <c r="L319">
        <v>23</v>
      </c>
      <c r="M319">
        <v>5</v>
      </c>
      <c r="N319">
        <v>25</v>
      </c>
      <c r="O319" t="s">
        <v>963</v>
      </c>
      <c r="P319" t="s">
        <v>44</v>
      </c>
      <c r="Q319" t="s">
        <v>58</v>
      </c>
      <c r="R319" t="s">
        <v>71</v>
      </c>
      <c r="S319" t="s">
        <v>116</v>
      </c>
      <c r="T319">
        <v>2</v>
      </c>
      <c r="U319">
        <v>208.45</v>
      </c>
      <c r="V319">
        <v>659.19</v>
      </c>
      <c r="W319">
        <v>4</v>
      </c>
      <c r="X319" t="str">
        <f>TEXT(cleaneddata[[#This Row],[Order Date]],"mmm")</f>
        <v>Jan</v>
      </c>
      <c r="Y319">
        <f>cleaneddata[[#This Row],[Unit Price]]*cleaneddata[[#This Row],[Quantity]]*(1-cleaneddata[[#This Row],[Discount %]]/100)</f>
        <v>781.6875</v>
      </c>
      <c r="Z319">
        <f>cleaneddata[[#This Row],[sales]]-cleaneddata[[#This Row],[Cost]]</f>
        <v>122.49749999999995</v>
      </c>
    </row>
    <row r="320" spans="1:26" x14ac:dyDescent="0.3">
      <c r="A320" t="s">
        <v>964</v>
      </c>
      <c r="B320" s="1">
        <v>45640</v>
      </c>
      <c r="C320" t="s">
        <v>965</v>
      </c>
      <c r="D320" t="s">
        <v>2774</v>
      </c>
      <c r="E320" s="1">
        <v>45642</v>
      </c>
      <c r="F320" t="s">
        <v>40</v>
      </c>
      <c r="G320" t="s">
        <v>38</v>
      </c>
      <c r="H320" t="s">
        <v>39</v>
      </c>
      <c r="I320" t="s">
        <v>2656</v>
      </c>
      <c r="J320" t="s">
        <v>2683</v>
      </c>
      <c r="K320" t="s">
        <v>25</v>
      </c>
      <c r="L320">
        <v>45</v>
      </c>
      <c r="M320">
        <v>5</v>
      </c>
      <c r="N320">
        <v>30</v>
      </c>
      <c r="O320" t="s">
        <v>966</v>
      </c>
      <c r="P320" t="s">
        <v>33</v>
      </c>
      <c r="Q320" t="s">
        <v>58</v>
      </c>
      <c r="R320" t="s">
        <v>43</v>
      </c>
      <c r="S320" t="s">
        <v>41</v>
      </c>
      <c r="T320">
        <v>1</v>
      </c>
      <c r="U320">
        <v>843.53</v>
      </c>
      <c r="V320">
        <v>2115.37</v>
      </c>
      <c r="W320">
        <v>2</v>
      </c>
      <c r="X320" t="str">
        <f>TEXT(cleaneddata[[#This Row],[Order Date]],"mmm")</f>
        <v>Dec</v>
      </c>
      <c r="Y320">
        <f>cleaneddata[[#This Row],[Unit Price]]*cleaneddata[[#This Row],[Quantity]]*(1-cleaneddata[[#This Row],[Discount %]]/100)</f>
        <v>2952.3549999999996</v>
      </c>
      <c r="Z320">
        <f>cleaneddata[[#This Row],[sales]]-cleaneddata[[#This Row],[Cost]]</f>
        <v>836.98499999999967</v>
      </c>
    </row>
    <row r="321" spans="1:26" x14ac:dyDescent="0.3">
      <c r="A321" t="s">
        <v>967</v>
      </c>
      <c r="B321" s="1">
        <v>45772</v>
      </c>
      <c r="C321" t="s">
        <v>968</v>
      </c>
      <c r="D321" t="s">
        <v>3426</v>
      </c>
      <c r="E321" s="1">
        <v>45779</v>
      </c>
      <c r="F321" t="s">
        <v>128</v>
      </c>
      <c r="G321" t="s">
        <v>98</v>
      </c>
      <c r="H321" t="s">
        <v>127</v>
      </c>
      <c r="I321" t="s">
        <v>2632</v>
      </c>
      <c r="J321" t="s">
        <v>2645</v>
      </c>
      <c r="K321" t="s">
        <v>52</v>
      </c>
      <c r="L321">
        <v>34</v>
      </c>
      <c r="M321">
        <v>4</v>
      </c>
      <c r="N321">
        <v>0</v>
      </c>
      <c r="O321" t="s">
        <v>969</v>
      </c>
      <c r="P321" t="s">
        <v>33</v>
      </c>
      <c r="Q321" t="s">
        <v>42</v>
      </c>
      <c r="R321" t="s">
        <v>43</v>
      </c>
      <c r="S321" t="s">
        <v>129</v>
      </c>
      <c r="T321">
        <v>2</v>
      </c>
      <c r="U321">
        <v>244.2</v>
      </c>
      <c r="V321">
        <v>650.20000000000005</v>
      </c>
      <c r="W321">
        <v>7</v>
      </c>
      <c r="X321" t="str">
        <f>TEXT(cleaneddata[[#This Row],[Order Date]],"mmm")</f>
        <v>Apr</v>
      </c>
      <c r="Y321">
        <f>cleaneddata[[#This Row],[Unit Price]]*cleaneddata[[#This Row],[Quantity]]*(1-cleaneddata[[#This Row],[Discount %]]/100)</f>
        <v>976.8</v>
      </c>
      <c r="Z321">
        <f>cleaneddata[[#This Row],[sales]]-cleaneddata[[#This Row],[Cost]]</f>
        <v>326.59999999999991</v>
      </c>
    </row>
    <row r="322" spans="1:26" x14ac:dyDescent="0.3">
      <c r="A322" t="s">
        <v>970</v>
      </c>
      <c r="B322" s="1">
        <v>46110</v>
      </c>
      <c r="C322" t="s">
        <v>971</v>
      </c>
      <c r="D322" t="s">
        <v>3425</v>
      </c>
      <c r="E322" s="1">
        <v>46115</v>
      </c>
      <c r="F322" t="s">
        <v>68</v>
      </c>
      <c r="G322" t="s">
        <v>66</v>
      </c>
      <c r="H322" t="s">
        <v>67</v>
      </c>
      <c r="I322" t="s">
        <v>2647</v>
      </c>
      <c r="J322" t="s">
        <v>2648</v>
      </c>
      <c r="K322" t="s">
        <v>52</v>
      </c>
      <c r="L322">
        <v>20</v>
      </c>
      <c r="M322">
        <v>2</v>
      </c>
      <c r="N322">
        <v>25</v>
      </c>
      <c r="O322" t="s">
        <v>972</v>
      </c>
      <c r="P322" t="s">
        <v>44</v>
      </c>
      <c r="Q322" t="s">
        <v>117</v>
      </c>
      <c r="R322" t="s">
        <v>71</v>
      </c>
      <c r="S322" t="s">
        <v>69</v>
      </c>
      <c r="T322">
        <v>2</v>
      </c>
      <c r="U322">
        <v>323.97000000000003</v>
      </c>
      <c r="V322">
        <v>325.60000000000002</v>
      </c>
      <c r="W322">
        <v>5</v>
      </c>
      <c r="X322" t="str">
        <f>TEXT(cleaneddata[[#This Row],[Order Date]],"mmm")</f>
        <v>Mar</v>
      </c>
      <c r="Y322">
        <f>cleaneddata[[#This Row],[Unit Price]]*cleaneddata[[#This Row],[Quantity]]*(1-cleaneddata[[#This Row],[Discount %]]/100)</f>
        <v>485.95500000000004</v>
      </c>
      <c r="Z322">
        <f>cleaneddata[[#This Row],[sales]]-cleaneddata[[#This Row],[Cost]]</f>
        <v>160.35500000000002</v>
      </c>
    </row>
    <row r="323" spans="1:26" x14ac:dyDescent="0.3">
      <c r="A323" t="s">
        <v>973</v>
      </c>
      <c r="B323" s="1">
        <v>45314</v>
      </c>
      <c r="C323" t="s">
        <v>974</v>
      </c>
      <c r="D323" t="s">
        <v>3424</v>
      </c>
      <c r="E323" s="1">
        <v>45317</v>
      </c>
      <c r="F323" t="s">
        <v>40</v>
      </c>
      <c r="G323" t="s">
        <v>38</v>
      </c>
      <c r="H323" t="s">
        <v>39</v>
      </c>
      <c r="I323" t="s">
        <v>2672</v>
      </c>
      <c r="J323" t="s">
        <v>2673</v>
      </c>
      <c r="K323" t="s">
        <v>25</v>
      </c>
      <c r="L323">
        <v>21</v>
      </c>
      <c r="M323">
        <v>5</v>
      </c>
      <c r="N323">
        <v>30</v>
      </c>
      <c r="O323" t="s">
        <v>975</v>
      </c>
      <c r="P323" t="s">
        <v>75</v>
      </c>
      <c r="Q323" t="s">
        <v>117</v>
      </c>
      <c r="R323" t="s">
        <v>71</v>
      </c>
      <c r="S323" t="s">
        <v>41</v>
      </c>
      <c r="T323">
        <v>4</v>
      </c>
      <c r="U323">
        <v>303.69</v>
      </c>
      <c r="V323">
        <v>785.77</v>
      </c>
      <c r="W323">
        <v>3</v>
      </c>
      <c r="X323" t="str">
        <f>TEXT(cleaneddata[[#This Row],[Order Date]],"mmm")</f>
        <v>Jan</v>
      </c>
      <c r="Y323">
        <f>cleaneddata[[#This Row],[Unit Price]]*cleaneddata[[#This Row],[Quantity]]*(1-cleaneddata[[#This Row],[Discount %]]/100)</f>
        <v>1062.915</v>
      </c>
      <c r="Z323">
        <f>cleaneddata[[#This Row],[sales]]-cleaneddata[[#This Row],[Cost]]</f>
        <v>277.14499999999998</v>
      </c>
    </row>
    <row r="324" spans="1:26" x14ac:dyDescent="0.3">
      <c r="A324" t="s">
        <v>976</v>
      </c>
      <c r="B324" s="1">
        <v>46033</v>
      </c>
      <c r="C324" t="s">
        <v>977</v>
      </c>
      <c r="D324" t="s">
        <v>3423</v>
      </c>
      <c r="E324" s="1">
        <v>46039</v>
      </c>
      <c r="F324" t="s">
        <v>115</v>
      </c>
      <c r="G324" t="s">
        <v>66</v>
      </c>
      <c r="H324" t="s">
        <v>114</v>
      </c>
      <c r="I324" t="s">
        <v>2652</v>
      </c>
      <c r="J324" t="s">
        <v>2706</v>
      </c>
      <c r="K324" t="s">
        <v>25</v>
      </c>
      <c r="L324">
        <v>32</v>
      </c>
      <c r="M324">
        <v>3</v>
      </c>
      <c r="N324">
        <v>20</v>
      </c>
      <c r="O324" t="s">
        <v>978</v>
      </c>
      <c r="P324" t="s">
        <v>75</v>
      </c>
      <c r="Q324" t="s">
        <v>42</v>
      </c>
      <c r="R324" t="s">
        <v>71</v>
      </c>
      <c r="S324" t="s">
        <v>116</v>
      </c>
      <c r="T324">
        <v>1</v>
      </c>
      <c r="U324">
        <v>673.65</v>
      </c>
      <c r="V324">
        <v>1072.71</v>
      </c>
      <c r="W324">
        <v>6</v>
      </c>
      <c r="X324" t="str">
        <f>TEXT(cleaneddata[[#This Row],[Order Date]],"mmm")</f>
        <v>Jan</v>
      </c>
      <c r="Y324">
        <f>cleaneddata[[#This Row],[Unit Price]]*cleaneddata[[#This Row],[Quantity]]*(1-cleaneddata[[#This Row],[Discount %]]/100)</f>
        <v>1616.76</v>
      </c>
      <c r="Z324">
        <f>cleaneddata[[#This Row],[sales]]-cleaneddata[[#This Row],[Cost]]</f>
        <v>544.04999999999995</v>
      </c>
    </row>
    <row r="325" spans="1:26" x14ac:dyDescent="0.3">
      <c r="A325" t="s">
        <v>979</v>
      </c>
      <c r="B325" s="1">
        <v>45851</v>
      </c>
      <c r="C325" t="s">
        <v>146</v>
      </c>
      <c r="D325" t="s">
        <v>3422</v>
      </c>
      <c r="E325" s="1">
        <v>45858</v>
      </c>
      <c r="F325" t="s">
        <v>100</v>
      </c>
      <c r="G325" t="s">
        <v>98</v>
      </c>
      <c r="H325" t="s">
        <v>99</v>
      </c>
      <c r="I325" t="s">
        <v>2672</v>
      </c>
      <c r="J325" t="s">
        <v>2690</v>
      </c>
      <c r="K325" t="s">
        <v>25</v>
      </c>
      <c r="L325">
        <v>61</v>
      </c>
      <c r="M325">
        <v>1</v>
      </c>
      <c r="N325">
        <v>30</v>
      </c>
      <c r="O325" t="s">
        <v>980</v>
      </c>
      <c r="P325" t="s">
        <v>75</v>
      </c>
      <c r="Q325" t="s">
        <v>42</v>
      </c>
      <c r="R325" t="s">
        <v>62</v>
      </c>
      <c r="S325" t="s">
        <v>101</v>
      </c>
      <c r="T325">
        <v>5</v>
      </c>
      <c r="U325">
        <v>85.04</v>
      </c>
      <c r="V325">
        <v>38.61</v>
      </c>
      <c r="W325">
        <v>7</v>
      </c>
      <c r="X325" t="str">
        <f>TEXT(cleaneddata[[#This Row],[Order Date]],"mmm")</f>
        <v>Jul</v>
      </c>
      <c r="Y325">
        <f>cleaneddata[[#This Row],[Unit Price]]*cleaneddata[[#This Row],[Quantity]]*(1-cleaneddata[[#This Row],[Discount %]]/100)</f>
        <v>59.527999999999999</v>
      </c>
      <c r="Z325">
        <f>cleaneddata[[#This Row],[sales]]-cleaneddata[[#This Row],[Cost]]</f>
        <v>20.917999999999999</v>
      </c>
    </row>
    <row r="326" spans="1:26" x14ac:dyDescent="0.3">
      <c r="A326" t="s">
        <v>981</v>
      </c>
      <c r="B326" s="1">
        <v>45347</v>
      </c>
      <c r="C326" t="s">
        <v>982</v>
      </c>
      <c r="D326" t="s">
        <v>3421</v>
      </c>
      <c r="E326" s="1">
        <v>45351</v>
      </c>
      <c r="F326" t="s">
        <v>140</v>
      </c>
      <c r="G326" t="s">
        <v>38</v>
      </c>
      <c r="H326" t="s">
        <v>139</v>
      </c>
      <c r="I326" t="s">
        <v>2635</v>
      </c>
      <c r="J326" t="s">
        <v>2720</v>
      </c>
      <c r="K326" t="s">
        <v>25</v>
      </c>
      <c r="L326">
        <v>56</v>
      </c>
      <c r="M326">
        <v>5</v>
      </c>
      <c r="N326">
        <v>0</v>
      </c>
      <c r="O326" t="s">
        <v>983</v>
      </c>
      <c r="P326" t="s">
        <v>44</v>
      </c>
      <c r="Q326" t="s">
        <v>58</v>
      </c>
      <c r="R326" t="s">
        <v>71</v>
      </c>
      <c r="S326" t="s">
        <v>141</v>
      </c>
      <c r="T326">
        <v>5</v>
      </c>
      <c r="U326">
        <v>298.92</v>
      </c>
      <c r="V326">
        <v>1208.29</v>
      </c>
      <c r="W326">
        <v>4</v>
      </c>
      <c r="X326" t="str">
        <f>TEXT(cleaneddata[[#This Row],[Order Date]],"mmm")</f>
        <v>Feb</v>
      </c>
      <c r="Y326">
        <f>cleaneddata[[#This Row],[Unit Price]]*cleaneddata[[#This Row],[Quantity]]*(1-cleaneddata[[#This Row],[Discount %]]/100)</f>
        <v>1494.6000000000001</v>
      </c>
      <c r="Z326">
        <f>cleaneddata[[#This Row],[sales]]-cleaneddata[[#This Row],[Cost]]</f>
        <v>286.31000000000017</v>
      </c>
    </row>
    <row r="327" spans="1:26" x14ac:dyDescent="0.3">
      <c r="A327" t="s">
        <v>984</v>
      </c>
      <c r="B327" s="1">
        <v>45742</v>
      </c>
      <c r="C327" t="s">
        <v>985</v>
      </c>
      <c r="D327" t="s">
        <v>3420</v>
      </c>
      <c r="E327" s="1">
        <v>45748</v>
      </c>
      <c r="F327" t="s">
        <v>68</v>
      </c>
      <c r="G327" t="s">
        <v>66</v>
      </c>
      <c r="H327" t="s">
        <v>67</v>
      </c>
      <c r="I327" t="s">
        <v>2637</v>
      </c>
      <c r="J327" t="s">
        <v>2649</v>
      </c>
      <c r="K327" t="s">
        <v>52</v>
      </c>
      <c r="L327">
        <v>63</v>
      </c>
      <c r="M327">
        <v>3</v>
      </c>
      <c r="N327">
        <v>15</v>
      </c>
      <c r="O327" t="s">
        <v>986</v>
      </c>
      <c r="P327" t="s">
        <v>75</v>
      </c>
      <c r="Q327" t="s">
        <v>70</v>
      </c>
      <c r="R327" t="s">
        <v>71</v>
      </c>
      <c r="S327" t="s">
        <v>69</v>
      </c>
      <c r="T327">
        <v>1</v>
      </c>
      <c r="U327">
        <v>51.78</v>
      </c>
      <c r="V327">
        <v>91.81</v>
      </c>
      <c r="W327">
        <v>6</v>
      </c>
      <c r="X327" t="str">
        <f>TEXT(cleaneddata[[#This Row],[Order Date]],"mmm")</f>
        <v>Mar</v>
      </c>
      <c r="Y327">
        <f>cleaneddata[[#This Row],[Unit Price]]*cleaneddata[[#This Row],[Quantity]]*(1-cleaneddata[[#This Row],[Discount %]]/100)</f>
        <v>132.03899999999999</v>
      </c>
      <c r="Z327">
        <f>cleaneddata[[#This Row],[sales]]-cleaneddata[[#This Row],[Cost]]</f>
        <v>40.228999999999985</v>
      </c>
    </row>
    <row r="328" spans="1:26" x14ac:dyDescent="0.3">
      <c r="A328" t="s">
        <v>987</v>
      </c>
      <c r="B328" s="1">
        <v>45625</v>
      </c>
      <c r="C328" t="s">
        <v>988</v>
      </c>
      <c r="D328" t="s">
        <v>3419</v>
      </c>
      <c r="E328" s="1">
        <v>45631</v>
      </c>
      <c r="F328" t="s">
        <v>56</v>
      </c>
      <c r="G328" t="s">
        <v>54</v>
      </c>
      <c r="H328" t="s">
        <v>55</v>
      </c>
      <c r="I328" t="s">
        <v>2629</v>
      </c>
      <c r="J328" t="s">
        <v>2709</v>
      </c>
      <c r="K328" t="s">
        <v>25</v>
      </c>
      <c r="L328">
        <v>61</v>
      </c>
      <c r="M328">
        <v>5</v>
      </c>
      <c r="N328">
        <v>20</v>
      </c>
      <c r="O328" t="s">
        <v>989</v>
      </c>
      <c r="P328" t="s">
        <v>33</v>
      </c>
      <c r="Q328" t="s">
        <v>70</v>
      </c>
      <c r="R328" t="s">
        <v>62</v>
      </c>
      <c r="S328" t="s">
        <v>57</v>
      </c>
      <c r="T328">
        <v>4</v>
      </c>
      <c r="U328">
        <v>193.29</v>
      </c>
      <c r="V328">
        <v>405.27</v>
      </c>
      <c r="W328">
        <v>6</v>
      </c>
      <c r="X328" t="str">
        <f>TEXT(cleaneddata[[#This Row],[Order Date]],"mmm")</f>
        <v>Nov</v>
      </c>
      <c r="Y328">
        <f>cleaneddata[[#This Row],[Unit Price]]*cleaneddata[[#This Row],[Quantity]]*(1-cleaneddata[[#This Row],[Discount %]]/100)</f>
        <v>773.16</v>
      </c>
      <c r="Z328">
        <f>cleaneddata[[#This Row],[sales]]-cleaneddata[[#This Row],[Cost]]</f>
        <v>367.89</v>
      </c>
    </row>
    <row r="329" spans="1:26" x14ac:dyDescent="0.3">
      <c r="A329" t="s">
        <v>990</v>
      </c>
      <c r="B329" s="1">
        <v>45464</v>
      </c>
      <c r="C329" t="s">
        <v>991</v>
      </c>
      <c r="D329" t="s">
        <v>3418</v>
      </c>
      <c r="E329" s="1">
        <v>45470</v>
      </c>
      <c r="F329" t="s">
        <v>68</v>
      </c>
      <c r="G329" t="s">
        <v>66</v>
      </c>
      <c r="H329" t="s">
        <v>67</v>
      </c>
      <c r="I329" t="s">
        <v>2663</v>
      </c>
      <c r="J329" t="s">
        <v>2694</v>
      </c>
      <c r="K329" t="s">
        <v>52</v>
      </c>
      <c r="L329">
        <v>37</v>
      </c>
      <c r="M329">
        <v>1</v>
      </c>
      <c r="N329">
        <v>15</v>
      </c>
      <c r="O329" t="s">
        <v>992</v>
      </c>
      <c r="P329" t="s">
        <v>75</v>
      </c>
      <c r="Q329" t="s">
        <v>42</v>
      </c>
      <c r="R329" t="s">
        <v>32</v>
      </c>
      <c r="S329" t="s">
        <v>69</v>
      </c>
      <c r="T329">
        <v>4</v>
      </c>
      <c r="U329">
        <v>569.64</v>
      </c>
      <c r="V329">
        <v>350.15</v>
      </c>
      <c r="W329">
        <v>6</v>
      </c>
      <c r="X329" t="str">
        <f>TEXT(cleaneddata[[#This Row],[Order Date]],"mmm")</f>
        <v>Jun</v>
      </c>
      <c r="Y329">
        <f>cleaneddata[[#This Row],[Unit Price]]*cleaneddata[[#This Row],[Quantity]]*(1-cleaneddata[[#This Row],[Discount %]]/100)</f>
        <v>484.19399999999996</v>
      </c>
      <c r="Z329">
        <f>cleaneddata[[#This Row],[sales]]-cleaneddata[[#This Row],[Cost]]</f>
        <v>134.04399999999998</v>
      </c>
    </row>
    <row r="330" spans="1:26" x14ac:dyDescent="0.3">
      <c r="A330" t="s">
        <v>993</v>
      </c>
      <c r="B330" s="1">
        <v>45635</v>
      </c>
      <c r="C330" t="s">
        <v>994</v>
      </c>
      <c r="D330" t="s">
        <v>3417</v>
      </c>
      <c r="E330" s="1">
        <v>45638</v>
      </c>
      <c r="F330" t="s">
        <v>40</v>
      </c>
      <c r="G330" t="s">
        <v>38</v>
      </c>
      <c r="H330" t="s">
        <v>39</v>
      </c>
      <c r="I330" t="s">
        <v>2641</v>
      </c>
      <c r="J330" t="s">
        <v>2713</v>
      </c>
      <c r="K330" t="s">
        <v>52</v>
      </c>
      <c r="L330">
        <v>25</v>
      </c>
      <c r="M330">
        <v>3</v>
      </c>
      <c r="N330">
        <v>20</v>
      </c>
      <c r="O330" t="s">
        <v>509</v>
      </c>
      <c r="P330" t="s">
        <v>33</v>
      </c>
      <c r="Q330" t="s">
        <v>70</v>
      </c>
      <c r="R330" t="s">
        <v>71</v>
      </c>
      <c r="S330" t="s">
        <v>41</v>
      </c>
      <c r="T330">
        <v>1</v>
      </c>
      <c r="U330">
        <v>265.31</v>
      </c>
      <c r="V330">
        <v>404.29</v>
      </c>
      <c r="W330">
        <v>3</v>
      </c>
      <c r="X330" t="str">
        <f>TEXT(cleaneddata[[#This Row],[Order Date]],"mmm")</f>
        <v>Dec</v>
      </c>
      <c r="Y330">
        <f>cleaneddata[[#This Row],[Unit Price]]*cleaneddata[[#This Row],[Quantity]]*(1-cleaneddata[[#This Row],[Discount %]]/100)</f>
        <v>636.74400000000014</v>
      </c>
      <c r="Z330">
        <f>cleaneddata[[#This Row],[sales]]-cleaneddata[[#This Row],[Cost]]</f>
        <v>232.45400000000012</v>
      </c>
    </row>
    <row r="331" spans="1:26" x14ac:dyDescent="0.3">
      <c r="A331" t="s">
        <v>995</v>
      </c>
      <c r="B331" s="1">
        <v>45973</v>
      </c>
      <c r="C331" t="s">
        <v>996</v>
      </c>
      <c r="D331" t="s">
        <v>3416</v>
      </c>
      <c r="E331" s="1">
        <v>45975</v>
      </c>
      <c r="F331" t="s">
        <v>128</v>
      </c>
      <c r="G331" t="s">
        <v>98</v>
      </c>
      <c r="H331" t="s">
        <v>127</v>
      </c>
      <c r="I331" t="s">
        <v>2652</v>
      </c>
      <c r="J331" t="s">
        <v>2653</v>
      </c>
      <c r="K331" t="s">
        <v>52</v>
      </c>
      <c r="L331">
        <v>43</v>
      </c>
      <c r="M331">
        <v>3</v>
      </c>
      <c r="N331">
        <v>5</v>
      </c>
      <c r="O331" t="s">
        <v>997</v>
      </c>
      <c r="P331" t="s">
        <v>33</v>
      </c>
      <c r="Q331" t="s">
        <v>117</v>
      </c>
      <c r="R331" t="s">
        <v>32</v>
      </c>
      <c r="S331" t="s">
        <v>129</v>
      </c>
      <c r="T331">
        <v>1</v>
      </c>
      <c r="U331">
        <v>535.41999999999996</v>
      </c>
      <c r="V331">
        <v>896.93</v>
      </c>
      <c r="W331">
        <v>2</v>
      </c>
      <c r="X331" t="str">
        <f>TEXT(cleaneddata[[#This Row],[Order Date]],"mmm")</f>
        <v>Nov</v>
      </c>
      <c r="Y331">
        <f>cleaneddata[[#This Row],[Unit Price]]*cleaneddata[[#This Row],[Quantity]]*(1-cleaneddata[[#This Row],[Discount %]]/100)</f>
        <v>1525.9469999999997</v>
      </c>
      <c r="Z331">
        <f>cleaneddata[[#This Row],[sales]]-cleaneddata[[#This Row],[Cost]]</f>
        <v>629.01699999999971</v>
      </c>
    </row>
    <row r="332" spans="1:26" x14ac:dyDescent="0.3">
      <c r="A332" t="s">
        <v>998</v>
      </c>
      <c r="B332" s="1">
        <v>46097</v>
      </c>
      <c r="C332" t="s">
        <v>999</v>
      </c>
      <c r="D332" t="s">
        <v>3415</v>
      </c>
      <c r="E332" s="1">
        <v>46102</v>
      </c>
      <c r="F332" t="s">
        <v>68</v>
      </c>
      <c r="G332" t="s">
        <v>66</v>
      </c>
      <c r="H332" t="s">
        <v>67</v>
      </c>
      <c r="I332" t="s">
        <v>2623</v>
      </c>
      <c r="J332" t="s">
        <v>2701</v>
      </c>
      <c r="K332" t="s">
        <v>52</v>
      </c>
      <c r="L332">
        <v>28</v>
      </c>
      <c r="M332">
        <v>4</v>
      </c>
      <c r="N332">
        <v>10</v>
      </c>
      <c r="O332" t="s">
        <v>1000</v>
      </c>
      <c r="P332" t="s">
        <v>75</v>
      </c>
      <c r="Q332" t="s">
        <v>70</v>
      </c>
      <c r="R332" t="s">
        <v>71</v>
      </c>
      <c r="S332" t="s">
        <v>69</v>
      </c>
      <c r="T332">
        <v>2</v>
      </c>
      <c r="U332">
        <v>34.06</v>
      </c>
      <c r="V332">
        <v>71.180000000000007</v>
      </c>
      <c r="W332">
        <v>5</v>
      </c>
      <c r="X332" t="str">
        <f>TEXT(cleaneddata[[#This Row],[Order Date]],"mmm")</f>
        <v>Mar</v>
      </c>
      <c r="Y332">
        <f>cleaneddata[[#This Row],[Unit Price]]*cleaneddata[[#This Row],[Quantity]]*(1-cleaneddata[[#This Row],[Discount %]]/100)</f>
        <v>122.61600000000001</v>
      </c>
      <c r="Z332">
        <f>cleaneddata[[#This Row],[sales]]-cleaneddata[[#This Row],[Cost]]</f>
        <v>51.436000000000007</v>
      </c>
    </row>
    <row r="333" spans="1:26" x14ac:dyDescent="0.3">
      <c r="A333" t="s">
        <v>1001</v>
      </c>
      <c r="B333" s="1">
        <v>45421</v>
      </c>
      <c r="C333" t="s">
        <v>1002</v>
      </c>
      <c r="D333" t="s">
        <v>3414</v>
      </c>
      <c r="E333" s="1">
        <v>45427</v>
      </c>
      <c r="F333" t="s">
        <v>122</v>
      </c>
      <c r="G333" t="s">
        <v>120</v>
      </c>
      <c r="H333" t="s">
        <v>121</v>
      </c>
      <c r="I333" t="s">
        <v>2622</v>
      </c>
      <c r="J333" t="s">
        <v>2622</v>
      </c>
      <c r="K333" t="s">
        <v>25</v>
      </c>
      <c r="L333">
        <v>25</v>
      </c>
      <c r="M333">
        <v>4</v>
      </c>
      <c r="N333">
        <v>25</v>
      </c>
      <c r="O333" t="s">
        <v>84</v>
      </c>
      <c r="P333" t="s">
        <v>75</v>
      </c>
      <c r="Q333" t="s">
        <v>117</v>
      </c>
      <c r="R333" t="s">
        <v>71</v>
      </c>
      <c r="S333" t="s">
        <v>123</v>
      </c>
      <c r="T333">
        <v>1</v>
      </c>
      <c r="U333">
        <v>713.54</v>
      </c>
      <c r="V333">
        <v>1184.03</v>
      </c>
      <c r="W333">
        <v>6</v>
      </c>
      <c r="X333" t="str">
        <f>TEXT(cleaneddata[[#This Row],[Order Date]],"mmm")</f>
        <v>May</v>
      </c>
      <c r="Y333">
        <f>cleaneddata[[#This Row],[Unit Price]]*cleaneddata[[#This Row],[Quantity]]*(1-cleaneddata[[#This Row],[Discount %]]/100)</f>
        <v>2140.62</v>
      </c>
      <c r="Z333">
        <f>cleaneddata[[#This Row],[sales]]-cleaneddata[[#This Row],[Cost]]</f>
        <v>956.58999999999992</v>
      </c>
    </row>
    <row r="334" spans="1:26" x14ac:dyDescent="0.3">
      <c r="A334" t="s">
        <v>1003</v>
      </c>
      <c r="B334" s="1">
        <v>46065</v>
      </c>
      <c r="C334" t="s">
        <v>1004</v>
      </c>
      <c r="D334" t="s">
        <v>3413</v>
      </c>
      <c r="E334" s="1">
        <v>46066</v>
      </c>
      <c r="F334" t="s">
        <v>115</v>
      </c>
      <c r="G334" t="s">
        <v>66</v>
      </c>
      <c r="H334" t="s">
        <v>114</v>
      </c>
      <c r="I334" t="s">
        <v>2632</v>
      </c>
      <c r="J334" t="s">
        <v>2645</v>
      </c>
      <c r="K334" t="s">
        <v>25</v>
      </c>
      <c r="L334">
        <v>54</v>
      </c>
      <c r="M334">
        <v>3</v>
      </c>
      <c r="N334">
        <v>5</v>
      </c>
      <c r="O334" t="s">
        <v>1005</v>
      </c>
      <c r="P334" t="s">
        <v>75</v>
      </c>
      <c r="Q334" t="s">
        <v>42</v>
      </c>
      <c r="R334" t="s">
        <v>62</v>
      </c>
      <c r="S334" t="s">
        <v>116</v>
      </c>
      <c r="T334">
        <v>3</v>
      </c>
      <c r="U334">
        <v>302.52</v>
      </c>
      <c r="V334">
        <v>572.73</v>
      </c>
      <c r="W334">
        <v>1</v>
      </c>
      <c r="X334" t="str">
        <f>TEXT(cleaneddata[[#This Row],[Order Date]],"mmm")</f>
        <v>Feb</v>
      </c>
      <c r="Y334">
        <f>cleaneddata[[#This Row],[Unit Price]]*cleaneddata[[#This Row],[Quantity]]*(1-cleaneddata[[#This Row],[Discount %]]/100)</f>
        <v>862.1819999999999</v>
      </c>
      <c r="Z334">
        <f>cleaneddata[[#This Row],[sales]]-cleaneddata[[#This Row],[Cost]]</f>
        <v>289.45199999999988</v>
      </c>
    </row>
    <row r="335" spans="1:26" x14ac:dyDescent="0.3">
      <c r="A335" t="s">
        <v>1006</v>
      </c>
      <c r="B335" s="1">
        <v>45351</v>
      </c>
      <c r="C335" t="s">
        <v>1007</v>
      </c>
      <c r="D335" t="s">
        <v>3412</v>
      </c>
      <c r="E335" s="1">
        <v>45358</v>
      </c>
      <c r="F335" t="s">
        <v>2617</v>
      </c>
      <c r="G335" t="s">
        <v>27</v>
      </c>
      <c r="H335" t="s">
        <v>28</v>
      </c>
      <c r="I335" t="s">
        <v>2654</v>
      </c>
      <c r="J335" t="s">
        <v>2684</v>
      </c>
      <c r="K335" t="s">
        <v>25</v>
      </c>
      <c r="L335">
        <v>64</v>
      </c>
      <c r="M335">
        <v>3</v>
      </c>
      <c r="N335">
        <v>20</v>
      </c>
      <c r="O335" t="s">
        <v>580</v>
      </c>
      <c r="P335" t="s">
        <v>75</v>
      </c>
      <c r="Q335" t="s">
        <v>58</v>
      </c>
      <c r="R335" t="s">
        <v>71</v>
      </c>
      <c r="S335" t="s">
        <v>30</v>
      </c>
      <c r="T335">
        <v>5</v>
      </c>
      <c r="U335">
        <v>468.12</v>
      </c>
      <c r="V335">
        <v>747.37</v>
      </c>
      <c r="W335">
        <v>7</v>
      </c>
      <c r="X335" t="str">
        <f>TEXT(cleaneddata[[#This Row],[Order Date]],"mmm")</f>
        <v>Feb</v>
      </c>
      <c r="Y335">
        <f>cleaneddata[[#This Row],[Unit Price]]*cleaneddata[[#This Row],[Quantity]]*(1-cleaneddata[[#This Row],[Discount %]]/100)</f>
        <v>1123.4880000000001</v>
      </c>
      <c r="Z335">
        <f>cleaneddata[[#This Row],[sales]]-cleaneddata[[#This Row],[Cost]]</f>
        <v>376.11800000000005</v>
      </c>
    </row>
    <row r="336" spans="1:26" x14ac:dyDescent="0.3">
      <c r="A336" t="s">
        <v>1008</v>
      </c>
      <c r="B336" s="1">
        <v>45742</v>
      </c>
      <c r="C336" t="s">
        <v>1009</v>
      </c>
      <c r="D336" t="s">
        <v>3411</v>
      </c>
      <c r="E336" s="1">
        <v>45749</v>
      </c>
      <c r="F336" t="s">
        <v>56</v>
      </c>
      <c r="G336" t="s">
        <v>54</v>
      </c>
      <c r="H336" t="s">
        <v>55</v>
      </c>
      <c r="I336" t="s">
        <v>2625</v>
      </c>
      <c r="J336" t="s">
        <v>2651</v>
      </c>
      <c r="K336" t="s">
        <v>52</v>
      </c>
      <c r="L336">
        <v>44</v>
      </c>
      <c r="M336">
        <v>5</v>
      </c>
      <c r="N336">
        <v>10</v>
      </c>
      <c r="O336" t="s">
        <v>1010</v>
      </c>
      <c r="P336" t="s">
        <v>75</v>
      </c>
      <c r="Q336" t="s">
        <v>31</v>
      </c>
      <c r="R336" t="s">
        <v>62</v>
      </c>
      <c r="S336" t="s">
        <v>57</v>
      </c>
      <c r="T336">
        <v>1</v>
      </c>
      <c r="U336">
        <v>980.35</v>
      </c>
      <c r="V336">
        <v>3199.24</v>
      </c>
      <c r="W336">
        <v>7</v>
      </c>
      <c r="X336" t="str">
        <f>TEXT(cleaneddata[[#This Row],[Order Date]],"mmm")</f>
        <v>Mar</v>
      </c>
      <c r="Y336">
        <f>cleaneddata[[#This Row],[Unit Price]]*cleaneddata[[#This Row],[Quantity]]*(1-cleaneddata[[#This Row],[Discount %]]/100)</f>
        <v>4411.5749999999998</v>
      </c>
      <c r="Z336">
        <f>cleaneddata[[#This Row],[sales]]-cleaneddata[[#This Row],[Cost]]</f>
        <v>1212.335</v>
      </c>
    </row>
    <row r="337" spans="1:26" x14ac:dyDescent="0.3">
      <c r="A337" t="s">
        <v>1011</v>
      </c>
      <c r="B337" s="1">
        <v>46123</v>
      </c>
      <c r="C337" t="s">
        <v>1012</v>
      </c>
      <c r="D337" t="s">
        <v>3410</v>
      </c>
      <c r="E337" s="1">
        <v>46128</v>
      </c>
      <c r="F337" t="s">
        <v>140</v>
      </c>
      <c r="G337" t="s">
        <v>38</v>
      </c>
      <c r="H337" t="s">
        <v>139</v>
      </c>
      <c r="I337" t="s">
        <v>2675</v>
      </c>
      <c r="J337" t="s">
        <v>2699</v>
      </c>
      <c r="K337" t="s">
        <v>25</v>
      </c>
      <c r="L337">
        <v>59</v>
      </c>
      <c r="M337">
        <v>4</v>
      </c>
      <c r="N337">
        <v>15</v>
      </c>
      <c r="O337" t="s">
        <v>1013</v>
      </c>
      <c r="P337" t="s">
        <v>44</v>
      </c>
      <c r="Q337" t="s">
        <v>117</v>
      </c>
      <c r="R337" t="s">
        <v>62</v>
      </c>
      <c r="S337" t="s">
        <v>141</v>
      </c>
      <c r="T337">
        <v>4</v>
      </c>
      <c r="U337">
        <v>742.99</v>
      </c>
      <c r="V337">
        <v>1314.7</v>
      </c>
      <c r="W337">
        <v>5</v>
      </c>
      <c r="X337" t="str">
        <f>TEXT(cleaneddata[[#This Row],[Order Date]],"mmm")</f>
        <v>Apr</v>
      </c>
      <c r="Y337">
        <f>cleaneddata[[#This Row],[Unit Price]]*cleaneddata[[#This Row],[Quantity]]*(1-cleaneddata[[#This Row],[Discount %]]/100)</f>
        <v>2526.1660000000002</v>
      </c>
      <c r="Z337">
        <f>cleaneddata[[#This Row],[sales]]-cleaneddata[[#This Row],[Cost]]</f>
        <v>1211.4660000000001</v>
      </c>
    </row>
    <row r="338" spans="1:26" x14ac:dyDescent="0.3">
      <c r="A338" t="s">
        <v>1014</v>
      </c>
      <c r="B338" s="1">
        <v>46130</v>
      </c>
      <c r="C338" t="s">
        <v>1015</v>
      </c>
      <c r="D338" t="s">
        <v>3409</v>
      </c>
      <c r="E338" s="1">
        <v>46136</v>
      </c>
      <c r="F338" t="s">
        <v>29</v>
      </c>
      <c r="G338" t="s">
        <v>27</v>
      </c>
      <c r="H338" t="s">
        <v>28</v>
      </c>
      <c r="I338" t="s">
        <v>2652</v>
      </c>
      <c r="J338" t="s">
        <v>2706</v>
      </c>
      <c r="K338" t="s">
        <v>52</v>
      </c>
      <c r="L338">
        <v>30</v>
      </c>
      <c r="M338">
        <v>2</v>
      </c>
      <c r="N338">
        <v>10</v>
      </c>
      <c r="O338" t="s">
        <v>580</v>
      </c>
      <c r="P338" t="s">
        <v>33</v>
      </c>
      <c r="Q338" t="s">
        <v>117</v>
      </c>
      <c r="R338" t="s">
        <v>32</v>
      </c>
      <c r="S338" t="s">
        <v>30</v>
      </c>
      <c r="T338">
        <v>5</v>
      </c>
      <c r="U338">
        <v>335.57</v>
      </c>
      <c r="V338">
        <v>463.14</v>
      </c>
      <c r="W338">
        <v>6</v>
      </c>
      <c r="X338" t="str">
        <f>TEXT(cleaneddata[[#This Row],[Order Date]],"mmm")</f>
        <v>Apr</v>
      </c>
      <c r="Y338">
        <f>cleaneddata[[#This Row],[Unit Price]]*cleaneddata[[#This Row],[Quantity]]*(1-cleaneddata[[#This Row],[Discount %]]/100)</f>
        <v>604.02599999999995</v>
      </c>
      <c r="Z338">
        <f>cleaneddata[[#This Row],[sales]]-cleaneddata[[#This Row],[Cost]]</f>
        <v>140.88599999999997</v>
      </c>
    </row>
    <row r="339" spans="1:26" x14ac:dyDescent="0.3">
      <c r="A339" t="s">
        <v>1016</v>
      </c>
      <c r="B339" s="1">
        <v>45583</v>
      </c>
      <c r="C339" t="s">
        <v>1017</v>
      </c>
      <c r="D339" t="s">
        <v>3408</v>
      </c>
      <c r="E339" s="1">
        <v>45584</v>
      </c>
      <c r="F339" t="s">
        <v>29</v>
      </c>
      <c r="G339" t="s">
        <v>27</v>
      </c>
      <c r="H339" t="s">
        <v>28</v>
      </c>
      <c r="I339" t="s">
        <v>2629</v>
      </c>
      <c r="J339" t="s">
        <v>2697</v>
      </c>
      <c r="K339" t="s">
        <v>52</v>
      </c>
      <c r="L339">
        <v>59</v>
      </c>
      <c r="M339">
        <v>3</v>
      </c>
      <c r="N339">
        <v>0</v>
      </c>
      <c r="O339" t="s">
        <v>168</v>
      </c>
      <c r="P339" t="s">
        <v>44</v>
      </c>
      <c r="Q339" t="s">
        <v>58</v>
      </c>
      <c r="R339" t="s">
        <v>43</v>
      </c>
      <c r="S339" t="s">
        <v>30</v>
      </c>
      <c r="T339">
        <v>2</v>
      </c>
      <c r="U339">
        <v>485.06</v>
      </c>
      <c r="V339">
        <v>1092.29</v>
      </c>
      <c r="W339">
        <v>1</v>
      </c>
      <c r="X339" t="str">
        <f>TEXT(cleaneddata[[#This Row],[Order Date]],"mmm")</f>
        <v>Oct</v>
      </c>
      <c r="Y339">
        <f>cleaneddata[[#This Row],[Unit Price]]*cleaneddata[[#This Row],[Quantity]]*(1-cleaneddata[[#This Row],[Discount %]]/100)</f>
        <v>1455.18</v>
      </c>
      <c r="Z339">
        <f>cleaneddata[[#This Row],[sales]]-cleaneddata[[#This Row],[Cost]]</f>
        <v>362.8900000000001</v>
      </c>
    </row>
    <row r="340" spans="1:26" x14ac:dyDescent="0.3">
      <c r="A340" t="s">
        <v>1018</v>
      </c>
      <c r="B340" s="1">
        <v>45718</v>
      </c>
      <c r="C340" t="s">
        <v>1019</v>
      </c>
      <c r="D340" t="s">
        <v>3407</v>
      </c>
      <c r="E340" s="1">
        <v>45719</v>
      </c>
      <c r="F340" t="s">
        <v>56</v>
      </c>
      <c r="G340" t="s">
        <v>54</v>
      </c>
      <c r="H340" t="s">
        <v>55</v>
      </c>
      <c r="I340" t="s">
        <v>2652</v>
      </c>
      <c r="J340" t="s">
        <v>2706</v>
      </c>
      <c r="K340" t="s">
        <v>25</v>
      </c>
      <c r="L340">
        <v>26</v>
      </c>
      <c r="M340">
        <v>2</v>
      </c>
      <c r="N340">
        <v>5</v>
      </c>
      <c r="O340" t="s">
        <v>622</v>
      </c>
      <c r="P340" t="s">
        <v>44</v>
      </c>
      <c r="Q340" t="s">
        <v>31</v>
      </c>
      <c r="R340" t="s">
        <v>43</v>
      </c>
      <c r="S340" t="s">
        <v>57</v>
      </c>
      <c r="T340">
        <v>4</v>
      </c>
      <c r="U340">
        <v>923.56</v>
      </c>
      <c r="V340">
        <v>888.56</v>
      </c>
      <c r="W340">
        <v>1</v>
      </c>
      <c r="X340" t="str">
        <f>TEXT(cleaneddata[[#This Row],[Order Date]],"mmm")</f>
        <v>Mar</v>
      </c>
      <c r="Y340">
        <f>cleaneddata[[#This Row],[Unit Price]]*cleaneddata[[#This Row],[Quantity]]*(1-cleaneddata[[#This Row],[Discount %]]/100)</f>
        <v>1754.7639999999999</v>
      </c>
      <c r="Z340">
        <f>cleaneddata[[#This Row],[sales]]-cleaneddata[[#This Row],[Cost]]</f>
        <v>866.20399999999995</v>
      </c>
    </row>
    <row r="341" spans="1:26" x14ac:dyDescent="0.3">
      <c r="A341" t="s">
        <v>1020</v>
      </c>
      <c r="B341" s="1">
        <v>45433</v>
      </c>
      <c r="C341" t="s">
        <v>1021</v>
      </c>
      <c r="D341" t="s">
        <v>3406</v>
      </c>
      <c r="E341" s="1">
        <v>45438</v>
      </c>
      <c r="F341" t="s">
        <v>128</v>
      </c>
      <c r="G341" t="s">
        <v>98</v>
      </c>
      <c r="H341" t="s">
        <v>127</v>
      </c>
      <c r="I341" t="s">
        <v>2659</v>
      </c>
      <c r="J341" t="s">
        <v>2660</v>
      </c>
      <c r="K341" t="s">
        <v>25</v>
      </c>
      <c r="L341">
        <v>33</v>
      </c>
      <c r="M341">
        <v>4</v>
      </c>
      <c r="N341">
        <v>30</v>
      </c>
      <c r="O341" t="s">
        <v>1022</v>
      </c>
      <c r="P341" t="s">
        <v>44</v>
      </c>
      <c r="Q341" t="s">
        <v>58</v>
      </c>
      <c r="R341" t="s">
        <v>32</v>
      </c>
      <c r="S341" t="s">
        <v>129</v>
      </c>
      <c r="T341">
        <v>4</v>
      </c>
      <c r="U341">
        <v>629.97</v>
      </c>
      <c r="V341">
        <v>1423.56</v>
      </c>
      <c r="W341">
        <v>5</v>
      </c>
      <c r="X341" t="str">
        <f>TEXT(cleaneddata[[#This Row],[Order Date]],"mmm")</f>
        <v>May</v>
      </c>
      <c r="Y341">
        <f>cleaneddata[[#This Row],[Unit Price]]*cleaneddata[[#This Row],[Quantity]]*(1-cleaneddata[[#This Row],[Discount %]]/100)</f>
        <v>1763.9159999999999</v>
      </c>
      <c r="Z341">
        <f>cleaneddata[[#This Row],[sales]]-cleaneddata[[#This Row],[Cost]]</f>
        <v>340.35599999999999</v>
      </c>
    </row>
    <row r="342" spans="1:26" x14ac:dyDescent="0.3">
      <c r="A342" t="s">
        <v>1023</v>
      </c>
      <c r="B342" s="1">
        <v>46078</v>
      </c>
      <c r="C342" t="s">
        <v>1024</v>
      </c>
      <c r="D342" t="s">
        <v>3405</v>
      </c>
      <c r="E342" s="1">
        <v>46080</v>
      </c>
      <c r="F342" t="s">
        <v>122</v>
      </c>
      <c r="G342" t="s">
        <v>120</v>
      </c>
      <c r="H342" t="s">
        <v>121</v>
      </c>
      <c r="I342" t="s">
        <v>2625</v>
      </c>
      <c r="J342" t="s">
        <v>2703</v>
      </c>
      <c r="K342" t="s">
        <v>25</v>
      </c>
      <c r="L342">
        <v>50</v>
      </c>
      <c r="M342">
        <v>2</v>
      </c>
      <c r="N342">
        <v>20</v>
      </c>
      <c r="O342" t="s">
        <v>344</v>
      </c>
      <c r="P342" t="s">
        <v>44</v>
      </c>
      <c r="Q342" t="s">
        <v>58</v>
      </c>
      <c r="R342" t="s">
        <v>43</v>
      </c>
      <c r="S342" t="s">
        <v>123</v>
      </c>
      <c r="T342">
        <v>4</v>
      </c>
      <c r="U342">
        <v>55.43</v>
      </c>
      <c r="V342">
        <v>64.87</v>
      </c>
      <c r="W342">
        <v>2</v>
      </c>
      <c r="X342" t="str">
        <f>TEXT(cleaneddata[[#This Row],[Order Date]],"mmm")</f>
        <v>Feb</v>
      </c>
      <c r="Y342">
        <f>cleaneddata[[#This Row],[Unit Price]]*cleaneddata[[#This Row],[Quantity]]*(1-cleaneddata[[#This Row],[Discount %]]/100)</f>
        <v>88.688000000000002</v>
      </c>
      <c r="Z342">
        <f>cleaneddata[[#This Row],[sales]]-cleaneddata[[#This Row],[Cost]]</f>
        <v>23.817999999999998</v>
      </c>
    </row>
    <row r="343" spans="1:26" x14ac:dyDescent="0.3">
      <c r="A343" t="s">
        <v>1025</v>
      </c>
      <c r="B343" s="1">
        <v>45824</v>
      </c>
      <c r="C343" t="s">
        <v>1026</v>
      </c>
      <c r="D343" t="s">
        <v>3404</v>
      </c>
      <c r="E343" s="1">
        <v>45828</v>
      </c>
      <c r="F343" t="s">
        <v>128</v>
      </c>
      <c r="G343" t="s">
        <v>98</v>
      </c>
      <c r="H343" t="s">
        <v>127</v>
      </c>
      <c r="I343" t="s">
        <v>2632</v>
      </c>
      <c r="J343" t="s">
        <v>2715</v>
      </c>
      <c r="K343" t="s">
        <v>52</v>
      </c>
      <c r="L343">
        <v>63</v>
      </c>
      <c r="M343">
        <v>2</v>
      </c>
      <c r="N343">
        <v>5</v>
      </c>
      <c r="O343" t="s">
        <v>717</v>
      </c>
      <c r="P343" t="s">
        <v>33</v>
      </c>
      <c r="Q343" t="s">
        <v>42</v>
      </c>
      <c r="R343" t="s">
        <v>32</v>
      </c>
      <c r="S343" t="s">
        <v>129</v>
      </c>
      <c r="T343">
        <v>4</v>
      </c>
      <c r="U343">
        <v>21.91</v>
      </c>
      <c r="V343">
        <v>25.39</v>
      </c>
      <c r="W343">
        <v>4</v>
      </c>
      <c r="X343" t="str">
        <f>TEXT(cleaneddata[[#This Row],[Order Date]],"mmm")</f>
        <v>Jun</v>
      </c>
      <c r="Y343">
        <f>cleaneddata[[#This Row],[Unit Price]]*cleaneddata[[#This Row],[Quantity]]*(1-cleaneddata[[#This Row],[Discount %]]/100)</f>
        <v>41.628999999999998</v>
      </c>
      <c r="Z343">
        <f>cleaneddata[[#This Row],[sales]]-cleaneddata[[#This Row],[Cost]]</f>
        <v>16.238999999999997</v>
      </c>
    </row>
    <row r="344" spans="1:26" x14ac:dyDescent="0.3">
      <c r="A344" t="s">
        <v>1027</v>
      </c>
      <c r="B344" s="1">
        <v>45725</v>
      </c>
      <c r="C344" t="s">
        <v>1028</v>
      </c>
      <c r="D344" t="s">
        <v>3403</v>
      </c>
      <c r="E344" s="1">
        <v>45729</v>
      </c>
      <c r="F344" t="s">
        <v>100</v>
      </c>
      <c r="G344" t="s">
        <v>98</v>
      </c>
      <c r="H344" t="s">
        <v>99</v>
      </c>
      <c r="I344" t="s">
        <v>2633</v>
      </c>
      <c r="J344" t="s">
        <v>2636</v>
      </c>
      <c r="K344" t="s">
        <v>25</v>
      </c>
      <c r="L344">
        <v>26</v>
      </c>
      <c r="M344">
        <v>2</v>
      </c>
      <c r="N344">
        <v>0</v>
      </c>
      <c r="O344" t="s">
        <v>1029</v>
      </c>
      <c r="P344" t="s">
        <v>44</v>
      </c>
      <c r="Q344" t="s">
        <v>31</v>
      </c>
      <c r="R344" t="s">
        <v>71</v>
      </c>
      <c r="S344" t="s">
        <v>101</v>
      </c>
      <c r="T344">
        <v>2</v>
      </c>
      <c r="U344">
        <v>415.24</v>
      </c>
      <c r="V344">
        <v>450.53</v>
      </c>
      <c r="W344">
        <v>4</v>
      </c>
      <c r="X344" t="str">
        <f>TEXT(cleaneddata[[#This Row],[Order Date]],"mmm")</f>
        <v>Mar</v>
      </c>
      <c r="Y344">
        <f>cleaneddata[[#This Row],[Unit Price]]*cleaneddata[[#This Row],[Quantity]]*(1-cleaneddata[[#This Row],[Discount %]]/100)</f>
        <v>830.48</v>
      </c>
      <c r="Z344">
        <f>cleaneddata[[#This Row],[sales]]-cleaneddata[[#This Row],[Cost]]</f>
        <v>379.95000000000005</v>
      </c>
    </row>
    <row r="345" spans="1:26" x14ac:dyDescent="0.3">
      <c r="A345" t="s">
        <v>1030</v>
      </c>
      <c r="B345" s="1">
        <v>46180</v>
      </c>
      <c r="C345" t="s">
        <v>1031</v>
      </c>
      <c r="D345" t="s">
        <v>3402</v>
      </c>
      <c r="E345" s="1">
        <v>46187</v>
      </c>
      <c r="F345" t="s">
        <v>115</v>
      </c>
      <c r="G345" t="s">
        <v>66</v>
      </c>
      <c r="H345" t="s">
        <v>114</v>
      </c>
      <c r="I345" t="s">
        <v>2663</v>
      </c>
      <c r="J345" t="s">
        <v>2664</v>
      </c>
      <c r="K345" t="s">
        <v>25</v>
      </c>
      <c r="L345">
        <v>65</v>
      </c>
      <c r="M345">
        <v>3</v>
      </c>
      <c r="N345">
        <v>25</v>
      </c>
      <c r="O345" t="s">
        <v>1032</v>
      </c>
      <c r="P345" t="s">
        <v>75</v>
      </c>
      <c r="Q345" t="s">
        <v>31</v>
      </c>
      <c r="R345" t="s">
        <v>32</v>
      </c>
      <c r="S345" t="s">
        <v>116</v>
      </c>
      <c r="T345">
        <v>3</v>
      </c>
      <c r="U345">
        <v>821.05</v>
      </c>
      <c r="V345">
        <v>1215.29</v>
      </c>
      <c r="W345">
        <v>7</v>
      </c>
      <c r="X345" t="str">
        <f>TEXT(cleaneddata[[#This Row],[Order Date]],"mmm")</f>
        <v>Jun</v>
      </c>
      <c r="Y345">
        <f>cleaneddata[[#This Row],[Unit Price]]*cleaneddata[[#This Row],[Quantity]]*(1-cleaneddata[[#This Row],[Discount %]]/100)</f>
        <v>1847.3624999999997</v>
      </c>
      <c r="Z345">
        <f>cleaneddata[[#This Row],[sales]]-cleaneddata[[#This Row],[Cost]]</f>
        <v>632.07249999999976</v>
      </c>
    </row>
    <row r="346" spans="1:26" x14ac:dyDescent="0.3">
      <c r="A346" t="s">
        <v>1033</v>
      </c>
      <c r="B346" s="1">
        <v>45676</v>
      </c>
      <c r="C346" t="s">
        <v>1034</v>
      </c>
      <c r="D346" t="s">
        <v>3401</v>
      </c>
      <c r="E346" s="1">
        <v>45682</v>
      </c>
      <c r="F346" t="s">
        <v>56</v>
      </c>
      <c r="G346" t="s">
        <v>54</v>
      </c>
      <c r="H346" t="s">
        <v>55</v>
      </c>
      <c r="I346" t="s">
        <v>2632</v>
      </c>
      <c r="J346" t="s">
        <v>2646</v>
      </c>
      <c r="K346" t="s">
        <v>52</v>
      </c>
      <c r="L346">
        <v>22</v>
      </c>
      <c r="M346">
        <v>5</v>
      </c>
      <c r="N346">
        <v>15</v>
      </c>
      <c r="O346" t="s">
        <v>1035</v>
      </c>
      <c r="P346" t="s">
        <v>33</v>
      </c>
      <c r="Q346" t="s">
        <v>58</v>
      </c>
      <c r="R346" t="s">
        <v>71</v>
      </c>
      <c r="S346" t="s">
        <v>57</v>
      </c>
      <c r="T346">
        <v>5</v>
      </c>
      <c r="U346">
        <v>17.75</v>
      </c>
      <c r="V346">
        <v>48.45</v>
      </c>
      <c r="W346">
        <v>6</v>
      </c>
      <c r="X346" t="str">
        <f>TEXT(cleaneddata[[#This Row],[Order Date]],"mmm")</f>
        <v>Jan</v>
      </c>
      <c r="Y346">
        <f>cleaneddata[[#This Row],[Unit Price]]*cleaneddata[[#This Row],[Quantity]]*(1-cleaneddata[[#This Row],[Discount %]]/100)</f>
        <v>75.4375</v>
      </c>
      <c r="Z346">
        <f>cleaneddata[[#This Row],[sales]]-cleaneddata[[#This Row],[Cost]]</f>
        <v>26.987499999999997</v>
      </c>
    </row>
    <row r="347" spans="1:26" x14ac:dyDescent="0.3">
      <c r="A347" t="s">
        <v>1036</v>
      </c>
      <c r="B347" s="1">
        <v>45501</v>
      </c>
      <c r="C347" t="s">
        <v>1037</v>
      </c>
      <c r="D347" t="s">
        <v>3400</v>
      </c>
      <c r="E347" s="1">
        <v>45503</v>
      </c>
      <c r="F347" t="s">
        <v>29</v>
      </c>
      <c r="G347" t="s">
        <v>27</v>
      </c>
      <c r="H347" t="s">
        <v>28</v>
      </c>
      <c r="I347" t="s">
        <v>2623</v>
      </c>
      <c r="J347" t="s">
        <v>2624</v>
      </c>
      <c r="K347" t="s">
        <v>25</v>
      </c>
      <c r="L347">
        <v>20</v>
      </c>
      <c r="M347">
        <v>5</v>
      </c>
      <c r="N347">
        <v>25</v>
      </c>
      <c r="O347" t="s">
        <v>1038</v>
      </c>
      <c r="P347" t="s">
        <v>33</v>
      </c>
      <c r="Q347" t="s">
        <v>42</v>
      </c>
      <c r="R347" t="s">
        <v>43</v>
      </c>
      <c r="S347" t="s">
        <v>30</v>
      </c>
      <c r="T347">
        <v>3</v>
      </c>
      <c r="U347">
        <v>822.01</v>
      </c>
      <c r="V347">
        <v>2276.75</v>
      </c>
      <c r="W347">
        <v>2</v>
      </c>
      <c r="X347" t="str">
        <f>TEXT(cleaneddata[[#This Row],[Order Date]],"mmm")</f>
        <v>Jul</v>
      </c>
      <c r="Y347">
        <f>cleaneddata[[#This Row],[Unit Price]]*cleaneddata[[#This Row],[Quantity]]*(1-cleaneddata[[#This Row],[Discount %]]/100)</f>
        <v>3082.5375000000004</v>
      </c>
      <c r="Z347">
        <f>cleaneddata[[#This Row],[sales]]-cleaneddata[[#This Row],[Cost]]</f>
        <v>805.78750000000036</v>
      </c>
    </row>
    <row r="348" spans="1:26" x14ac:dyDescent="0.3">
      <c r="A348" t="s">
        <v>1039</v>
      </c>
      <c r="B348" s="1">
        <v>46130</v>
      </c>
      <c r="C348" t="s">
        <v>1040</v>
      </c>
      <c r="D348" t="s">
        <v>3399</v>
      </c>
      <c r="E348" s="1">
        <v>46133</v>
      </c>
      <c r="F348" t="s">
        <v>128</v>
      </c>
      <c r="G348" t="s">
        <v>98</v>
      </c>
      <c r="H348" t="s">
        <v>127</v>
      </c>
      <c r="I348" t="s">
        <v>2672</v>
      </c>
      <c r="J348" t="s">
        <v>2716</v>
      </c>
      <c r="K348" t="s">
        <v>25</v>
      </c>
      <c r="L348">
        <v>52</v>
      </c>
      <c r="M348">
        <v>5</v>
      </c>
      <c r="N348">
        <v>25</v>
      </c>
      <c r="O348" t="s">
        <v>1041</v>
      </c>
      <c r="P348" t="s">
        <v>75</v>
      </c>
      <c r="Q348" t="s">
        <v>42</v>
      </c>
      <c r="R348" t="s">
        <v>43</v>
      </c>
      <c r="S348" t="s">
        <v>129</v>
      </c>
      <c r="T348">
        <v>1</v>
      </c>
      <c r="U348">
        <v>325.39</v>
      </c>
      <c r="V348">
        <v>753.23</v>
      </c>
      <c r="W348">
        <v>3</v>
      </c>
      <c r="X348" t="str">
        <f>TEXT(cleaneddata[[#This Row],[Order Date]],"mmm")</f>
        <v>Apr</v>
      </c>
      <c r="Y348">
        <f>cleaneddata[[#This Row],[Unit Price]]*cleaneddata[[#This Row],[Quantity]]*(1-cleaneddata[[#This Row],[Discount %]]/100)</f>
        <v>1220.2124999999999</v>
      </c>
      <c r="Z348">
        <f>cleaneddata[[#This Row],[sales]]-cleaneddata[[#This Row],[Cost]]</f>
        <v>466.98249999999985</v>
      </c>
    </row>
    <row r="349" spans="1:26" x14ac:dyDescent="0.3">
      <c r="A349" t="s">
        <v>1042</v>
      </c>
      <c r="B349" s="1">
        <v>45577</v>
      </c>
      <c r="C349" t="s">
        <v>1043</v>
      </c>
      <c r="D349" t="s">
        <v>3398</v>
      </c>
      <c r="E349" s="1">
        <v>45583</v>
      </c>
      <c r="F349" t="s">
        <v>40</v>
      </c>
      <c r="G349" t="s">
        <v>38</v>
      </c>
      <c r="H349" t="s">
        <v>39</v>
      </c>
      <c r="I349" t="s">
        <v>2672</v>
      </c>
      <c r="J349" t="s">
        <v>2716</v>
      </c>
      <c r="K349" t="s">
        <v>25</v>
      </c>
      <c r="L349">
        <v>28</v>
      </c>
      <c r="M349">
        <v>4</v>
      </c>
      <c r="N349">
        <v>30</v>
      </c>
      <c r="O349" t="s">
        <v>1044</v>
      </c>
      <c r="P349" t="s">
        <v>75</v>
      </c>
      <c r="Q349" t="s">
        <v>58</v>
      </c>
      <c r="R349" t="s">
        <v>71</v>
      </c>
      <c r="S349" t="s">
        <v>41</v>
      </c>
      <c r="T349">
        <v>4</v>
      </c>
      <c r="U349">
        <v>793.03</v>
      </c>
      <c r="V349">
        <v>1776.87</v>
      </c>
      <c r="W349">
        <v>6</v>
      </c>
      <c r="X349" t="str">
        <f>TEXT(cleaneddata[[#This Row],[Order Date]],"mmm")</f>
        <v>Oct</v>
      </c>
      <c r="Y349">
        <f>cleaneddata[[#This Row],[Unit Price]]*cleaneddata[[#This Row],[Quantity]]*(1-cleaneddata[[#This Row],[Discount %]]/100)</f>
        <v>2220.4839999999999</v>
      </c>
      <c r="Z349">
        <f>cleaneddata[[#This Row],[sales]]-cleaneddata[[#This Row],[Cost]]</f>
        <v>443.61400000000003</v>
      </c>
    </row>
    <row r="350" spans="1:26" x14ac:dyDescent="0.3">
      <c r="A350" t="s">
        <v>1045</v>
      </c>
      <c r="B350" s="1">
        <v>45675</v>
      </c>
      <c r="C350" t="s">
        <v>1046</v>
      </c>
      <c r="D350" t="s">
        <v>3397</v>
      </c>
      <c r="E350" s="1">
        <v>45679</v>
      </c>
      <c r="F350" t="s">
        <v>29</v>
      </c>
      <c r="G350" t="s">
        <v>27</v>
      </c>
      <c r="H350" t="s">
        <v>28</v>
      </c>
      <c r="I350" t="s">
        <v>2627</v>
      </c>
      <c r="J350" t="s">
        <v>2717</v>
      </c>
      <c r="K350" t="s">
        <v>52</v>
      </c>
      <c r="L350">
        <v>36</v>
      </c>
      <c r="M350">
        <v>4</v>
      </c>
      <c r="N350">
        <v>5</v>
      </c>
      <c r="O350" t="s">
        <v>1047</v>
      </c>
      <c r="P350" t="s">
        <v>33</v>
      </c>
      <c r="Q350" t="s">
        <v>117</v>
      </c>
      <c r="R350" t="s">
        <v>43</v>
      </c>
      <c r="S350" t="s">
        <v>30</v>
      </c>
      <c r="T350">
        <v>4</v>
      </c>
      <c r="U350">
        <v>933.46</v>
      </c>
      <c r="V350">
        <v>2629.59</v>
      </c>
      <c r="W350">
        <v>4</v>
      </c>
      <c r="X350" t="str">
        <f>TEXT(cleaneddata[[#This Row],[Order Date]],"mmm")</f>
        <v>Jan</v>
      </c>
      <c r="Y350">
        <f>cleaneddata[[#This Row],[Unit Price]]*cleaneddata[[#This Row],[Quantity]]*(1-cleaneddata[[#This Row],[Discount %]]/100)</f>
        <v>3547.1480000000001</v>
      </c>
      <c r="Z350">
        <f>cleaneddata[[#This Row],[sales]]-cleaneddata[[#This Row],[Cost]]</f>
        <v>917.55799999999999</v>
      </c>
    </row>
    <row r="351" spans="1:26" x14ac:dyDescent="0.3">
      <c r="A351" t="s">
        <v>1048</v>
      </c>
      <c r="B351" s="1">
        <v>45536</v>
      </c>
      <c r="C351" t="s">
        <v>1049</v>
      </c>
      <c r="D351" t="s">
        <v>3396</v>
      </c>
      <c r="E351" s="1">
        <v>45543</v>
      </c>
      <c r="F351" t="s">
        <v>122</v>
      </c>
      <c r="G351" t="s">
        <v>120</v>
      </c>
      <c r="H351" t="s">
        <v>121</v>
      </c>
      <c r="I351" t="s">
        <v>2679</v>
      </c>
      <c r="J351" t="s">
        <v>2707</v>
      </c>
      <c r="K351" t="s">
        <v>52</v>
      </c>
      <c r="L351">
        <v>31</v>
      </c>
      <c r="M351">
        <v>4</v>
      </c>
      <c r="N351">
        <v>15</v>
      </c>
      <c r="O351" t="s">
        <v>948</v>
      </c>
      <c r="P351" t="s">
        <v>44</v>
      </c>
      <c r="Q351" t="s">
        <v>58</v>
      </c>
      <c r="R351" t="s">
        <v>62</v>
      </c>
      <c r="S351" t="s">
        <v>123</v>
      </c>
      <c r="T351">
        <v>5</v>
      </c>
      <c r="U351">
        <v>885.96</v>
      </c>
      <c r="V351">
        <v>2127.16</v>
      </c>
      <c r="W351">
        <v>7</v>
      </c>
      <c r="X351" t="str">
        <f>TEXT(cleaneddata[[#This Row],[Order Date]],"mmm")</f>
        <v>Sep</v>
      </c>
      <c r="Y351">
        <f>cleaneddata[[#This Row],[Unit Price]]*cleaneddata[[#This Row],[Quantity]]*(1-cleaneddata[[#This Row],[Discount %]]/100)</f>
        <v>3012.2640000000001</v>
      </c>
      <c r="Z351">
        <f>cleaneddata[[#This Row],[sales]]-cleaneddata[[#This Row],[Cost]]</f>
        <v>885.10400000000027</v>
      </c>
    </row>
    <row r="352" spans="1:26" x14ac:dyDescent="0.3">
      <c r="A352" t="s">
        <v>1050</v>
      </c>
      <c r="B352" s="1">
        <v>46084</v>
      </c>
      <c r="C352" t="s">
        <v>1051</v>
      </c>
      <c r="D352" t="s">
        <v>3395</v>
      </c>
      <c r="E352" s="1">
        <v>46087</v>
      </c>
      <c r="F352" t="s">
        <v>122</v>
      </c>
      <c r="G352" t="s">
        <v>120</v>
      </c>
      <c r="H352" t="s">
        <v>121</v>
      </c>
      <c r="I352" t="s">
        <v>2668</v>
      </c>
      <c r="J352" t="s">
        <v>2669</v>
      </c>
      <c r="K352" t="s">
        <v>25</v>
      </c>
      <c r="L352">
        <v>53</v>
      </c>
      <c r="M352">
        <v>4</v>
      </c>
      <c r="N352">
        <v>10</v>
      </c>
      <c r="O352" t="s">
        <v>1052</v>
      </c>
      <c r="P352" t="s">
        <v>75</v>
      </c>
      <c r="Q352" t="s">
        <v>31</v>
      </c>
      <c r="R352" t="s">
        <v>43</v>
      </c>
      <c r="S352" t="s">
        <v>123</v>
      </c>
      <c r="T352">
        <v>2</v>
      </c>
      <c r="U352">
        <v>900.85</v>
      </c>
      <c r="V352">
        <v>1947.89</v>
      </c>
      <c r="W352">
        <v>3</v>
      </c>
      <c r="X352" t="str">
        <f>TEXT(cleaneddata[[#This Row],[Order Date]],"mmm")</f>
        <v>Mar</v>
      </c>
      <c r="Y352">
        <f>cleaneddata[[#This Row],[Unit Price]]*cleaneddata[[#This Row],[Quantity]]*(1-cleaneddata[[#This Row],[Discount %]]/100)</f>
        <v>3243.06</v>
      </c>
      <c r="Z352">
        <f>cleaneddata[[#This Row],[sales]]-cleaneddata[[#This Row],[Cost]]</f>
        <v>1295.1699999999998</v>
      </c>
    </row>
    <row r="353" spans="1:26" x14ac:dyDescent="0.3">
      <c r="A353" t="s">
        <v>1053</v>
      </c>
      <c r="B353" s="1">
        <v>45979</v>
      </c>
      <c r="C353" t="s">
        <v>1054</v>
      </c>
      <c r="D353" t="s">
        <v>3394</v>
      </c>
      <c r="E353" s="1">
        <v>45982</v>
      </c>
      <c r="F353" t="s">
        <v>29</v>
      </c>
      <c r="G353" t="s">
        <v>27</v>
      </c>
      <c r="H353" t="s">
        <v>28</v>
      </c>
      <c r="I353" t="s">
        <v>2629</v>
      </c>
      <c r="J353" t="s">
        <v>2709</v>
      </c>
      <c r="K353" t="s">
        <v>25</v>
      </c>
      <c r="L353">
        <v>44</v>
      </c>
      <c r="M353">
        <v>4</v>
      </c>
      <c r="N353">
        <v>25</v>
      </c>
      <c r="O353" t="s">
        <v>1055</v>
      </c>
      <c r="P353" t="s">
        <v>75</v>
      </c>
      <c r="Q353" t="s">
        <v>58</v>
      </c>
      <c r="R353" t="s">
        <v>62</v>
      </c>
      <c r="S353" t="s">
        <v>30</v>
      </c>
      <c r="T353">
        <v>4</v>
      </c>
      <c r="U353">
        <v>816.64</v>
      </c>
      <c r="V353">
        <v>1632.86</v>
      </c>
      <c r="W353">
        <v>3</v>
      </c>
      <c r="X353" t="str">
        <f>TEXT(cleaneddata[[#This Row],[Order Date]],"mmm")</f>
        <v>Nov</v>
      </c>
      <c r="Y353">
        <f>cleaneddata[[#This Row],[Unit Price]]*cleaneddata[[#This Row],[Quantity]]*(1-cleaneddata[[#This Row],[Discount %]]/100)</f>
        <v>2449.92</v>
      </c>
      <c r="Z353">
        <f>cleaneddata[[#This Row],[sales]]-cleaneddata[[#This Row],[Cost]]</f>
        <v>817.06000000000017</v>
      </c>
    </row>
    <row r="354" spans="1:26" x14ac:dyDescent="0.3">
      <c r="A354" t="s">
        <v>1056</v>
      </c>
      <c r="B354" s="1">
        <v>45604</v>
      </c>
      <c r="C354" t="s">
        <v>483</v>
      </c>
      <c r="D354" t="s">
        <v>3393</v>
      </c>
      <c r="E354" s="1">
        <v>45610</v>
      </c>
      <c r="F354" t="s">
        <v>115</v>
      </c>
      <c r="G354" t="s">
        <v>66</v>
      </c>
      <c r="H354" t="s">
        <v>114</v>
      </c>
      <c r="I354" t="s">
        <v>2663</v>
      </c>
      <c r="J354" t="s">
        <v>2670</v>
      </c>
      <c r="K354" t="s">
        <v>25</v>
      </c>
      <c r="L354">
        <v>32</v>
      </c>
      <c r="M354">
        <v>2</v>
      </c>
      <c r="N354">
        <v>15</v>
      </c>
      <c r="O354" t="s">
        <v>758</v>
      </c>
      <c r="P354" t="s">
        <v>44</v>
      </c>
      <c r="Q354" t="s">
        <v>58</v>
      </c>
      <c r="R354" t="s">
        <v>32</v>
      </c>
      <c r="S354" t="s">
        <v>116</v>
      </c>
      <c r="T354">
        <v>2</v>
      </c>
      <c r="U354">
        <v>991.84</v>
      </c>
      <c r="V354">
        <v>1175.06</v>
      </c>
      <c r="W354">
        <v>6</v>
      </c>
      <c r="X354" t="str">
        <f>TEXT(cleaneddata[[#This Row],[Order Date]],"mmm")</f>
        <v>Nov</v>
      </c>
      <c r="Y354">
        <f>cleaneddata[[#This Row],[Unit Price]]*cleaneddata[[#This Row],[Quantity]]*(1-cleaneddata[[#This Row],[Discount %]]/100)</f>
        <v>1686.1279999999999</v>
      </c>
      <c r="Z354">
        <f>cleaneddata[[#This Row],[sales]]-cleaneddata[[#This Row],[Cost]]</f>
        <v>511.06799999999998</v>
      </c>
    </row>
    <row r="355" spans="1:26" x14ac:dyDescent="0.3">
      <c r="A355" t="s">
        <v>1057</v>
      </c>
      <c r="B355" s="1">
        <v>45424</v>
      </c>
      <c r="C355" t="s">
        <v>1058</v>
      </c>
      <c r="D355" t="s">
        <v>3392</v>
      </c>
      <c r="E355" s="1">
        <v>45425</v>
      </c>
      <c r="F355" t="s">
        <v>122</v>
      </c>
      <c r="G355" t="s">
        <v>120</v>
      </c>
      <c r="H355" t="s">
        <v>121</v>
      </c>
      <c r="I355" t="s">
        <v>2625</v>
      </c>
      <c r="J355" t="s">
        <v>2651</v>
      </c>
      <c r="K355" t="s">
        <v>52</v>
      </c>
      <c r="L355">
        <v>20</v>
      </c>
      <c r="M355">
        <v>5</v>
      </c>
      <c r="N355">
        <v>25</v>
      </c>
      <c r="O355" t="s">
        <v>1059</v>
      </c>
      <c r="P355" t="s">
        <v>33</v>
      </c>
      <c r="Q355" t="s">
        <v>42</v>
      </c>
      <c r="R355" t="s">
        <v>62</v>
      </c>
      <c r="S355" t="s">
        <v>123</v>
      </c>
      <c r="T355">
        <v>5</v>
      </c>
      <c r="U355">
        <v>383.3</v>
      </c>
      <c r="V355">
        <v>1043.9100000000001</v>
      </c>
      <c r="W355">
        <v>1</v>
      </c>
      <c r="X355" t="str">
        <f>TEXT(cleaneddata[[#This Row],[Order Date]],"mmm")</f>
        <v>May</v>
      </c>
      <c r="Y355">
        <f>cleaneddata[[#This Row],[Unit Price]]*cleaneddata[[#This Row],[Quantity]]*(1-cleaneddata[[#This Row],[Discount %]]/100)</f>
        <v>1437.375</v>
      </c>
      <c r="Z355">
        <f>cleaneddata[[#This Row],[sales]]-cleaneddata[[#This Row],[Cost]]</f>
        <v>393.46499999999992</v>
      </c>
    </row>
    <row r="356" spans="1:26" x14ac:dyDescent="0.3">
      <c r="A356" t="s">
        <v>1060</v>
      </c>
      <c r="B356" s="1">
        <v>45604</v>
      </c>
      <c r="C356" t="s">
        <v>1061</v>
      </c>
      <c r="D356" t="s">
        <v>3391</v>
      </c>
      <c r="E356" s="1">
        <v>45609</v>
      </c>
      <c r="F356" t="s">
        <v>56</v>
      </c>
      <c r="G356" t="s">
        <v>54</v>
      </c>
      <c r="H356" t="s">
        <v>55</v>
      </c>
      <c r="I356" t="s">
        <v>2659</v>
      </c>
      <c r="J356" t="s">
        <v>2718</v>
      </c>
      <c r="K356" t="s">
        <v>52</v>
      </c>
      <c r="L356">
        <v>44</v>
      </c>
      <c r="M356">
        <v>4</v>
      </c>
      <c r="N356">
        <v>30</v>
      </c>
      <c r="O356" t="s">
        <v>1062</v>
      </c>
      <c r="P356" t="s">
        <v>75</v>
      </c>
      <c r="Q356" t="s">
        <v>70</v>
      </c>
      <c r="R356" t="s">
        <v>43</v>
      </c>
      <c r="S356" t="s">
        <v>57</v>
      </c>
      <c r="T356">
        <v>2</v>
      </c>
      <c r="U356">
        <v>588.14</v>
      </c>
      <c r="V356">
        <v>1150.6500000000001</v>
      </c>
      <c r="W356">
        <v>5</v>
      </c>
      <c r="X356" t="str">
        <f>TEXT(cleaneddata[[#This Row],[Order Date]],"mmm")</f>
        <v>Nov</v>
      </c>
      <c r="Y356">
        <f>cleaneddata[[#This Row],[Unit Price]]*cleaneddata[[#This Row],[Quantity]]*(1-cleaneddata[[#This Row],[Discount %]]/100)</f>
        <v>1646.7919999999999</v>
      </c>
      <c r="Z356">
        <f>cleaneddata[[#This Row],[sales]]-cleaneddata[[#This Row],[Cost]]</f>
        <v>496.14199999999983</v>
      </c>
    </row>
    <row r="357" spans="1:26" x14ac:dyDescent="0.3">
      <c r="A357" t="s">
        <v>1063</v>
      </c>
      <c r="B357" s="1">
        <v>45741</v>
      </c>
      <c r="C357" t="s">
        <v>1064</v>
      </c>
      <c r="D357" t="s">
        <v>3390</v>
      </c>
      <c r="E357" s="1">
        <v>45746</v>
      </c>
      <c r="F357" t="s">
        <v>122</v>
      </c>
      <c r="G357" t="s">
        <v>120</v>
      </c>
      <c r="H357" t="s">
        <v>121</v>
      </c>
      <c r="I357" t="s">
        <v>2631</v>
      </c>
      <c r="J357" t="s">
        <v>2694</v>
      </c>
      <c r="K357" t="s">
        <v>25</v>
      </c>
      <c r="L357">
        <v>19</v>
      </c>
      <c r="M357">
        <v>1</v>
      </c>
      <c r="N357">
        <v>20</v>
      </c>
      <c r="O357" t="s">
        <v>1065</v>
      </c>
      <c r="P357" t="s">
        <v>33</v>
      </c>
      <c r="Q357" t="s">
        <v>117</v>
      </c>
      <c r="R357" t="s">
        <v>71</v>
      </c>
      <c r="S357" t="s">
        <v>123</v>
      </c>
      <c r="T357">
        <v>1</v>
      </c>
      <c r="U357">
        <v>23.62</v>
      </c>
      <c r="V357">
        <v>9.84</v>
      </c>
      <c r="W357">
        <v>5</v>
      </c>
      <c r="X357" t="str">
        <f>TEXT(cleaneddata[[#This Row],[Order Date]],"mmm")</f>
        <v>Mar</v>
      </c>
      <c r="Y357">
        <f>cleaneddata[[#This Row],[Unit Price]]*cleaneddata[[#This Row],[Quantity]]*(1-cleaneddata[[#This Row],[Discount %]]/100)</f>
        <v>18.896000000000001</v>
      </c>
      <c r="Z357">
        <f>cleaneddata[[#This Row],[sales]]-cleaneddata[[#This Row],[Cost]]</f>
        <v>9.0560000000000009</v>
      </c>
    </row>
    <row r="358" spans="1:26" x14ac:dyDescent="0.3">
      <c r="A358" t="s">
        <v>1066</v>
      </c>
      <c r="B358" s="1">
        <v>45405</v>
      </c>
      <c r="C358" t="s">
        <v>1067</v>
      </c>
      <c r="D358" t="s">
        <v>3389</v>
      </c>
      <c r="E358" s="1">
        <v>45406</v>
      </c>
      <c r="F358" t="s">
        <v>100</v>
      </c>
      <c r="G358" t="s">
        <v>98</v>
      </c>
      <c r="H358" t="s">
        <v>99</v>
      </c>
      <c r="I358" t="s">
        <v>2661</v>
      </c>
      <c r="J358" t="s">
        <v>2662</v>
      </c>
      <c r="K358" t="s">
        <v>25</v>
      </c>
      <c r="L358">
        <v>30</v>
      </c>
      <c r="M358">
        <v>1</v>
      </c>
      <c r="N358">
        <v>15</v>
      </c>
      <c r="O358" t="s">
        <v>461</v>
      </c>
      <c r="P358" t="s">
        <v>75</v>
      </c>
      <c r="Q358" t="s">
        <v>31</v>
      </c>
      <c r="R358" t="s">
        <v>32</v>
      </c>
      <c r="S358" t="s">
        <v>101</v>
      </c>
      <c r="T358">
        <v>5</v>
      </c>
      <c r="U358">
        <v>829.4</v>
      </c>
      <c r="V358">
        <v>421.76</v>
      </c>
      <c r="W358">
        <v>1</v>
      </c>
      <c r="X358" t="str">
        <f>TEXT(cleaneddata[[#This Row],[Order Date]],"mmm")</f>
        <v>Apr</v>
      </c>
      <c r="Y358">
        <f>cleaneddata[[#This Row],[Unit Price]]*cleaneddata[[#This Row],[Quantity]]*(1-cleaneddata[[#This Row],[Discount %]]/100)</f>
        <v>704.99</v>
      </c>
      <c r="Z358">
        <f>cleaneddata[[#This Row],[sales]]-cleaneddata[[#This Row],[Cost]]</f>
        <v>283.23</v>
      </c>
    </row>
    <row r="359" spans="1:26" x14ac:dyDescent="0.3">
      <c r="A359" t="s">
        <v>1068</v>
      </c>
      <c r="B359" s="1">
        <v>45772</v>
      </c>
      <c r="C359" t="s">
        <v>1069</v>
      </c>
      <c r="D359" t="s">
        <v>3388</v>
      </c>
      <c r="E359" s="1">
        <v>45777</v>
      </c>
      <c r="F359" t="s">
        <v>68</v>
      </c>
      <c r="G359" t="s">
        <v>66</v>
      </c>
      <c r="H359" t="s">
        <v>67</v>
      </c>
      <c r="I359" t="s">
        <v>2672</v>
      </c>
      <c r="J359" t="s">
        <v>2716</v>
      </c>
      <c r="K359" t="s">
        <v>25</v>
      </c>
      <c r="L359">
        <v>23</v>
      </c>
      <c r="M359">
        <v>3</v>
      </c>
      <c r="N359">
        <v>30</v>
      </c>
      <c r="O359" t="s">
        <v>1070</v>
      </c>
      <c r="P359" t="s">
        <v>33</v>
      </c>
      <c r="Q359" t="s">
        <v>117</v>
      </c>
      <c r="R359" t="s">
        <v>32</v>
      </c>
      <c r="S359" t="s">
        <v>69</v>
      </c>
      <c r="T359">
        <v>2</v>
      </c>
      <c r="U359">
        <v>702.78</v>
      </c>
      <c r="V359">
        <v>1190.57</v>
      </c>
      <c r="W359">
        <v>5</v>
      </c>
      <c r="X359" t="str">
        <f>TEXT(cleaneddata[[#This Row],[Order Date]],"mmm")</f>
        <v>Apr</v>
      </c>
      <c r="Y359">
        <f>cleaneddata[[#This Row],[Unit Price]]*cleaneddata[[#This Row],[Quantity]]*(1-cleaneddata[[#This Row],[Discount %]]/100)</f>
        <v>1475.838</v>
      </c>
      <c r="Z359">
        <f>cleaneddata[[#This Row],[sales]]-cleaneddata[[#This Row],[Cost]]</f>
        <v>285.26800000000003</v>
      </c>
    </row>
    <row r="360" spans="1:26" x14ac:dyDescent="0.3">
      <c r="A360" t="s">
        <v>1071</v>
      </c>
      <c r="B360" s="1">
        <v>45921</v>
      </c>
      <c r="C360" t="s">
        <v>1072</v>
      </c>
      <c r="D360" t="s">
        <v>3387</v>
      </c>
      <c r="E360" s="1">
        <v>45923</v>
      </c>
      <c r="F360" t="s">
        <v>68</v>
      </c>
      <c r="G360" t="s">
        <v>66</v>
      </c>
      <c r="H360" t="s">
        <v>67</v>
      </c>
      <c r="I360" t="s">
        <v>2629</v>
      </c>
      <c r="J360" t="s">
        <v>2630</v>
      </c>
      <c r="K360" t="s">
        <v>25</v>
      </c>
      <c r="L360">
        <v>49</v>
      </c>
      <c r="M360">
        <v>3</v>
      </c>
      <c r="N360">
        <v>20</v>
      </c>
      <c r="O360" t="s">
        <v>1073</v>
      </c>
      <c r="P360" t="s">
        <v>75</v>
      </c>
      <c r="Q360" t="s">
        <v>42</v>
      </c>
      <c r="R360" t="s">
        <v>32</v>
      </c>
      <c r="S360" t="s">
        <v>69</v>
      </c>
      <c r="T360">
        <v>4</v>
      </c>
      <c r="U360">
        <v>167</v>
      </c>
      <c r="V360">
        <v>201.57</v>
      </c>
      <c r="W360">
        <v>2</v>
      </c>
      <c r="X360" t="str">
        <f>TEXT(cleaneddata[[#This Row],[Order Date]],"mmm")</f>
        <v>Sep</v>
      </c>
      <c r="Y360">
        <f>cleaneddata[[#This Row],[Unit Price]]*cleaneddata[[#This Row],[Quantity]]*(1-cleaneddata[[#This Row],[Discount %]]/100)</f>
        <v>400.8</v>
      </c>
      <c r="Z360">
        <f>cleaneddata[[#This Row],[sales]]-cleaneddata[[#This Row],[Cost]]</f>
        <v>199.23000000000002</v>
      </c>
    </row>
    <row r="361" spans="1:26" x14ac:dyDescent="0.3">
      <c r="A361" t="s">
        <v>1074</v>
      </c>
      <c r="B361" s="1">
        <v>45398</v>
      </c>
      <c r="C361" t="s">
        <v>1075</v>
      </c>
      <c r="D361" t="s">
        <v>3386</v>
      </c>
      <c r="E361" s="1">
        <v>45404</v>
      </c>
      <c r="F361" t="s">
        <v>115</v>
      </c>
      <c r="G361" t="s">
        <v>66</v>
      </c>
      <c r="H361" t="s">
        <v>114</v>
      </c>
      <c r="I361" t="s">
        <v>2663</v>
      </c>
      <c r="J361" t="s">
        <v>2664</v>
      </c>
      <c r="K361" t="s">
        <v>25</v>
      </c>
      <c r="L361">
        <v>50</v>
      </c>
      <c r="M361">
        <v>5</v>
      </c>
      <c r="N361">
        <v>5</v>
      </c>
      <c r="O361" t="s">
        <v>1076</v>
      </c>
      <c r="P361" t="s">
        <v>33</v>
      </c>
      <c r="Q361" t="s">
        <v>70</v>
      </c>
      <c r="R361" t="s">
        <v>71</v>
      </c>
      <c r="S361" t="s">
        <v>116</v>
      </c>
      <c r="T361">
        <v>2</v>
      </c>
      <c r="U361">
        <v>788.76</v>
      </c>
      <c r="V361">
        <v>2473.92</v>
      </c>
      <c r="W361">
        <v>6</v>
      </c>
      <c r="X361" t="str">
        <f>TEXT(cleaneddata[[#This Row],[Order Date]],"mmm")</f>
        <v>Apr</v>
      </c>
      <c r="Y361">
        <f>cleaneddata[[#This Row],[Unit Price]]*cleaneddata[[#This Row],[Quantity]]*(1-cleaneddata[[#This Row],[Discount %]]/100)</f>
        <v>3746.61</v>
      </c>
      <c r="Z361">
        <f>cleaneddata[[#This Row],[sales]]-cleaneddata[[#This Row],[Cost]]</f>
        <v>1272.69</v>
      </c>
    </row>
    <row r="362" spans="1:26" x14ac:dyDescent="0.3">
      <c r="A362" t="s">
        <v>1077</v>
      </c>
      <c r="B362" s="1">
        <v>45449</v>
      </c>
      <c r="C362" t="s">
        <v>1078</v>
      </c>
      <c r="D362" t="s">
        <v>3385</v>
      </c>
      <c r="E362" s="1">
        <v>45455</v>
      </c>
      <c r="F362" t="s">
        <v>122</v>
      </c>
      <c r="G362" t="s">
        <v>120</v>
      </c>
      <c r="H362" t="s">
        <v>121</v>
      </c>
      <c r="I362" t="s">
        <v>2641</v>
      </c>
      <c r="J362" t="s">
        <v>2642</v>
      </c>
      <c r="K362" t="s">
        <v>25</v>
      </c>
      <c r="L362">
        <v>25</v>
      </c>
      <c r="M362">
        <v>2</v>
      </c>
      <c r="N362">
        <v>15</v>
      </c>
      <c r="O362" t="s">
        <v>1079</v>
      </c>
      <c r="P362" t="s">
        <v>33</v>
      </c>
      <c r="Q362" t="s">
        <v>31</v>
      </c>
      <c r="R362" t="s">
        <v>32</v>
      </c>
      <c r="S362" t="s">
        <v>123</v>
      </c>
      <c r="T362">
        <v>5</v>
      </c>
      <c r="U362">
        <v>979.52</v>
      </c>
      <c r="V362">
        <v>976.44</v>
      </c>
      <c r="W362">
        <v>6</v>
      </c>
      <c r="X362" t="str">
        <f>TEXT(cleaneddata[[#This Row],[Order Date]],"mmm")</f>
        <v>Jun</v>
      </c>
      <c r="Y362">
        <f>cleaneddata[[#This Row],[Unit Price]]*cleaneddata[[#This Row],[Quantity]]*(1-cleaneddata[[#This Row],[Discount %]]/100)</f>
        <v>1665.184</v>
      </c>
      <c r="Z362">
        <f>cleaneddata[[#This Row],[sales]]-cleaneddata[[#This Row],[Cost]]</f>
        <v>688.74399999999991</v>
      </c>
    </row>
    <row r="363" spans="1:26" x14ac:dyDescent="0.3">
      <c r="A363" t="s">
        <v>1080</v>
      </c>
      <c r="B363" s="1">
        <v>45599</v>
      </c>
      <c r="C363" t="s">
        <v>1081</v>
      </c>
      <c r="D363" t="s">
        <v>3384</v>
      </c>
      <c r="E363" s="1">
        <v>45606</v>
      </c>
      <c r="F363" t="s">
        <v>115</v>
      </c>
      <c r="G363" t="s">
        <v>66</v>
      </c>
      <c r="H363" t="s">
        <v>114</v>
      </c>
      <c r="I363" t="s">
        <v>2625</v>
      </c>
      <c r="J363" t="s">
        <v>2667</v>
      </c>
      <c r="K363" t="s">
        <v>52</v>
      </c>
      <c r="L363">
        <v>35</v>
      </c>
      <c r="M363">
        <v>5</v>
      </c>
      <c r="N363">
        <v>20</v>
      </c>
      <c r="O363" t="s">
        <v>1082</v>
      </c>
      <c r="P363" t="s">
        <v>75</v>
      </c>
      <c r="Q363" t="s">
        <v>117</v>
      </c>
      <c r="R363" t="s">
        <v>62</v>
      </c>
      <c r="S363" t="s">
        <v>116</v>
      </c>
      <c r="T363">
        <v>3</v>
      </c>
      <c r="U363">
        <v>957.29</v>
      </c>
      <c r="V363">
        <v>2523.84</v>
      </c>
      <c r="W363">
        <v>7</v>
      </c>
      <c r="X363" t="str">
        <f>TEXT(cleaneddata[[#This Row],[Order Date]],"mmm")</f>
        <v>Nov</v>
      </c>
      <c r="Y363">
        <f>cleaneddata[[#This Row],[Unit Price]]*cleaneddata[[#This Row],[Quantity]]*(1-cleaneddata[[#This Row],[Discount %]]/100)</f>
        <v>3829.16</v>
      </c>
      <c r="Z363">
        <f>cleaneddata[[#This Row],[sales]]-cleaneddata[[#This Row],[Cost]]</f>
        <v>1305.3199999999997</v>
      </c>
    </row>
    <row r="364" spans="1:26" x14ac:dyDescent="0.3">
      <c r="A364" t="s">
        <v>1083</v>
      </c>
      <c r="B364" s="1">
        <v>45818</v>
      </c>
      <c r="C364" t="s">
        <v>416</v>
      </c>
      <c r="D364" t="s">
        <v>3383</v>
      </c>
      <c r="E364" s="1">
        <v>45825</v>
      </c>
      <c r="F364" t="s">
        <v>140</v>
      </c>
      <c r="G364" t="s">
        <v>38</v>
      </c>
      <c r="H364" t="s">
        <v>139</v>
      </c>
      <c r="I364" t="s">
        <v>2631</v>
      </c>
      <c r="J364" t="s">
        <v>2694</v>
      </c>
      <c r="K364" t="s">
        <v>25</v>
      </c>
      <c r="L364">
        <v>30</v>
      </c>
      <c r="M364">
        <v>3</v>
      </c>
      <c r="N364">
        <v>30</v>
      </c>
      <c r="O364" t="s">
        <v>1084</v>
      </c>
      <c r="P364" t="s">
        <v>44</v>
      </c>
      <c r="Q364" t="s">
        <v>117</v>
      </c>
      <c r="R364" t="s">
        <v>32</v>
      </c>
      <c r="S364" t="s">
        <v>141</v>
      </c>
      <c r="T364">
        <v>3</v>
      </c>
      <c r="U364">
        <v>298.79000000000002</v>
      </c>
      <c r="V364">
        <v>467.82</v>
      </c>
      <c r="W364">
        <v>7</v>
      </c>
      <c r="X364" t="str">
        <f>TEXT(cleaneddata[[#This Row],[Order Date]],"mmm")</f>
        <v>Jun</v>
      </c>
      <c r="Y364">
        <f>cleaneddata[[#This Row],[Unit Price]]*cleaneddata[[#This Row],[Quantity]]*(1-cleaneddata[[#This Row],[Discount %]]/100)</f>
        <v>627.45900000000006</v>
      </c>
      <c r="Z364">
        <f>cleaneddata[[#This Row],[sales]]-cleaneddata[[#This Row],[Cost]]</f>
        <v>159.63900000000007</v>
      </c>
    </row>
    <row r="365" spans="1:26" x14ac:dyDescent="0.3">
      <c r="A365" t="s">
        <v>1085</v>
      </c>
      <c r="B365" s="1">
        <v>45840</v>
      </c>
      <c r="C365" t="s">
        <v>1086</v>
      </c>
      <c r="D365" t="s">
        <v>3382</v>
      </c>
      <c r="E365" s="1">
        <v>45847</v>
      </c>
      <c r="F365" t="s">
        <v>122</v>
      </c>
      <c r="G365" t="s">
        <v>120</v>
      </c>
      <c r="H365" t="s">
        <v>121</v>
      </c>
      <c r="I365" t="s">
        <v>2629</v>
      </c>
      <c r="J365" t="s">
        <v>2697</v>
      </c>
      <c r="K365" t="s">
        <v>52</v>
      </c>
      <c r="L365">
        <v>20</v>
      </c>
      <c r="M365">
        <v>4</v>
      </c>
      <c r="N365">
        <v>25</v>
      </c>
      <c r="O365" t="s">
        <v>1087</v>
      </c>
      <c r="P365" t="s">
        <v>44</v>
      </c>
      <c r="Q365" t="s">
        <v>70</v>
      </c>
      <c r="R365" t="s">
        <v>32</v>
      </c>
      <c r="S365" t="s">
        <v>123</v>
      </c>
      <c r="T365">
        <v>1</v>
      </c>
      <c r="U365">
        <v>187.45</v>
      </c>
      <c r="V365">
        <v>392.03</v>
      </c>
      <c r="W365">
        <v>7</v>
      </c>
      <c r="X365" t="str">
        <f>TEXT(cleaneddata[[#This Row],[Order Date]],"mmm")</f>
        <v>Jul</v>
      </c>
      <c r="Y365">
        <f>cleaneddata[[#This Row],[Unit Price]]*cleaneddata[[#This Row],[Quantity]]*(1-cleaneddata[[#This Row],[Discount %]]/100)</f>
        <v>562.34999999999991</v>
      </c>
      <c r="Z365">
        <f>cleaneddata[[#This Row],[sales]]-cleaneddata[[#This Row],[Cost]]</f>
        <v>170.31999999999994</v>
      </c>
    </row>
    <row r="366" spans="1:26" x14ac:dyDescent="0.3">
      <c r="A366" t="s">
        <v>1088</v>
      </c>
      <c r="B366" s="1">
        <v>45849</v>
      </c>
      <c r="C366" t="s">
        <v>1089</v>
      </c>
      <c r="D366" t="s">
        <v>2773</v>
      </c>
      <c r="E366" s="1">
        <v>45855</v>
      </c>
      <c r="F366" t="s">
        <v>29</v>
      </c>
      <c r="G366" t="s">
        <v>27</v>
      </c>
      <c r="H366" t="s">
        <v>28</v>
      </c>
      <c r="I366" t="s">
        <v>2631</v>
      </c>
      <c r="J366" t="s">
        <v>2711</v>
      </c>
      <c r="K366" t="s">
        <v>25</v>
      </c>
      <c r="L366">
        <v>58</v>
      </c>
      <c r="M366">
        <v>2</v>
      </c>
      <c r="N366">
        <v>20</v>
      </c>
      <c r="O366" t="s">
        <v>1090</v>
      </c>
      <c r="P366" t="s">
        <v>44</v>
      </c>
      <c r="Q366" t="s">
        <v>58</v>
      </c>
      <c r="R366" t="s">
        <v>32</v>
      </c>
      <c r="S366" t="s">
        <v>30</v>
      </c>
      <c r="T366">
        <v>3</v>
      </c>
      <c r="U366">
        <v>882.21</v>
      </c>
      <c r="V366">
        <v>1181.9100000000001</v>
      </c>
      <c r="W366">
        <v>6</v>
      </c>
      <c r="X366" t="str">
        <f>TEXT(cleaneddata[[#This Row],[Order Date]],"mmm")</f>
        <v>Jul</v>
      </c>
      <c r="Y366">
        <f>cleaneddata[[#This Row],[Unit Price]]*cleaneddata[[#This Row],[Quantity]]*(1-cleaneddata[[#This Row],[Discount %]]/100)</f>
        <v>1411.5360000000001</v>
      </c>
      <c r="Z366">
        <f>cleaneddata[[#This Row],[sales]]-cleaneddata[[#This Row],[Cost]]</f>
        <v>229.62599999999998</v>
      </c>
    </row>
    <row r="367" spans="1:26" x14ac:dyDescent="0.3">
      <c r="A367" t="s">
        <v>1091</v>
      </c>
      <c r="B367" s="1">
        <v>45735</v>
      </c>
      <c r="C367" t="s">
        <v>1092</v>
      </c>
      <c r="D367" t="s">
        <v>2772</v>
      </c>
      <c r="E367" s="1">
        <v>45737</v>
      </c>
      <c r="F367" t="s">
        <v>128</v>
      </c>
      <c r="G367" t="s">
        <v>98</v>
      </c>
      <c r="H367" t="s">
        <v>127</v>
      </c>
      <c r="I367" t="s">
        <v>2661</v>
      </c>
      <c r="J367" t="s">
        <v>2662</v>
      </c>
      <c r="K367" t="s">
        <v>52</v>
      </c>
      <c r="L367">
        <v>20</v>
      </c>
      <c r="M367">
        <v>1</v>
      </c>
      <c r="N367">
        <v>20</v>
      </c>
      <c r="O367" t="s">
        <v>1093</v>
      </c>
      <c r="P367" t="s">
        <v>44</v>
      </c>
      <c r="Q367" t="s">
        <v>42</v>
      </c>
      <c r="R367" t="s">
        <v>43</v>
      </c>
      <c r="S367" t="s">
        <v>129</v>
      </c>
      <c r="T367">
        <v>2</v>
      </c>
      <c r="U367">
        <v>593.19000000000005</v>
      </c>
      <c r="V367">
        <v>343.22</v>
      </c>
      <c r="W367">
        <v>2</v>
      </c>
      <c r="X367" t="str">
        <f>TEXT(cleaneddata[[#This Row],[Order Date]],"mmm")</f>
        <v>Mar</v>
      </c>
      <c r="Y367">
        <f>cleaneddata[[#This Row],[Unit Price]]*cleaneddata[[#This Row],[Quantity]]*(1-cleaneddata[[#This Row],[Discount %]]/100)</f>
        <v>474.55200000000008</v>
      </c>
      <c r="Z367">
        <f>cleaneddata[[#This Row],[sales]]-cleaneddata[[#This Row],[Cost]]</f>
        <v>131.33200000000005</v>
      </c>
    </row>
    <row r="368" spans="1:26" x14ac:dyDescent="0.3">
      <c r="A368" t="s">
        <v>1094</v>
      </c>
      <c r="B368" s="1">
        <v>45921</v>
      </c>
      <c r="C368" t="s">
        <v>1095</v>
      </c>
      <c r="D368" t="s">
        <v>2771</v>
      </c>
      <c r="E368" s="1">
        <v>45924</v>
      </c>
      <c r="F368" t="s">
        <v>40</v>
      </c>
      <c r="G368" t="s">
        <v>38</v>
      </c>
      <c r="H368" t="s">
        <v>39</v>
      </c>
      <c r="I368" t="s">
        <v>2641</v>
      </c>
      <c r="J368" t="s">
        <v>2713</v>
      </c>
      <c r="K368" t="s">
        <v>25</v>
      </c>
      <c r="L368">
        <v>32</v>
      </c>
      <c r="M368">
        <v>1</v>
      </c>
      <c r="N368">
        <v>10</v>
      </c>
      <c r="O368" t="s">
        <v>1096</v>
      </c>
      <c r="P368" t="s">
        <v>33</v>
      </c>
      <c r="Q368" t="s">
        <v>42</v>
      </c>
      <c r="R368" t="s">
        <v>62</v>
      </c>
      <c r="S368" t="s">
        <v>41</v>
      </c>
      <c r="T368">
        <v>1</v>
      </c>
      <c r="U368">
        <v>239.91</v>
      </c>
      <c r="V368">
        <v>169.56</v>
      </c>
      <c r="W368">
        <v>3</v>
      </c>
      <c r="X368" t="str">
        <f>TEXT(cleaneddata[[#This Row],[Order Date]],"mmm")</f>
        <v>Sep</v>
      </c>
      <c r="Y368">
        <f>cleaneddata[[#This Row],[Unit Price]]*cleaneddata[[#This Row],[Quantity]]*(1-cleaneddata[[#This Row],[Discount %]]/100)</f>
        <v>215.91900000000001</v>
      </c>
      <c r="Z368">
        <f>cleaneddata[[#This Row],[sales]]-cleaneddata[[#This Row],[Cost]]</f>
        <v>46.359000000000009</v>
      </c>
    </row>
    <row r="369" spans="1:26" x14ac:dyDescent="0.3">
      <c r="A369" t="s">
        <v>1097</v>
      </c>
      <c r="B369" s="1">
        <v>46113</v>
      </c>
      <c r="C369" t="s">
        <v>1098</v>
      </c>
      <c r="D369" t="s">
        <v>2770</v>
      </c>
      <c r="E369" s="1">
        <v>46116</v>
      </c>
      <c r="F369" t="s">
        <v>40</v>
      </c>
      <c r="G369" t="s">
        <v>38</v>
      </c>
      <c r="H369" t="s">
        <v>39</v>
      </c>
      <c r="I369" t="s">
        <v>2627</v>
      </c>
      <c r="J369" t="s">
        <v>2628</v>
      </c>
      <c r="K369" t="s">
        <v>25</v>
      </c>
      <c r="L369">
        <v>25</v>
      </c>
      <c r="M369">
        <v>2</v>
      </c>
      <c r="N369">
        <v>10</v>
      </c>
      <c r="O369" t="s">
        <v>1099</v>
      </c>
      <c r="P369" t="s">
        <v>33</v>
      </c>
      <c r="Q369" t="s">
        <v>58</v>
      </c>
      <c r="R369" t="s">
        <v>62</v>
      </c>
      <c r="S369" t="s">
        <v>41</v>
      </c>
      <c r="T369">
        <v>4</v>
      </c>
      <c r="U369">
        <v>141.13999999999999</v>
      </c>
      <c r="V369">
        <v>172.48</v>
      </c>
      <c r="W369">
        <v>3</v>
      </c>
      <c r="X369" t="str">
        <f>TEXT(cleaneddata[[#This Row],[Order Date]],"mmm")</f>
        <v>Apr</v>
      </c>
      <c r="Y369">
        <f>cleaneddata[[#This Row],[Unit Price]]*cleaneddata[[#This Row],[Quantity]]*(1-cleaneddata[[#This Row],[Discount %]]/100)</f>
        <v>254.05199999999999</v>
      </c>
      <c r="Z369">
        <f>cleaneddata[[#This Row],[sales]]-cleaneddata[[#This Row],[Cost]]</f>
        <v>81.572000000000003</v>
      </c>
    </row>
    <row r="370" spans="1:26" x14ac:dyDescent="0.3">
      <c r="A370" t="s">
        <v>1100</v>
      </c>
      <c r="B370" s="1">
        <v>45652</v>
      </c>
      <c r="C370" t="s">
        <v>1101</v>
      </c>
      <c r="D370" t="s">
        <v>3381</v>
      </c>
      <c r="E370" s="1">
        <v>45659</v>
      </c>
      <c r="F370" t="s">
        <v>115</v>
      </c>
      <c r="G370" t="s">
        <v>66</v>
      </c>
      <c r="H370" t="s">
        <v>114</v>
      </c>
      <c r="I370" t="s">
        <v>2623</v>
      </c>
      <c r="J370" t="s">
        <v>2701</v>
      </c>
      <c r="K370" t="s">
        <v>25</v>
      </c>
      <c r="L370">
        <v>34</v>
      </c>
      <c r="M370">
        <v>4</v>
      </c>
      <c r="N370">
        <v>15</v>
      </c>
      <c r="O370" t="s">
        <v>247</v>
      </c>
      <c r="P370" t="s">
        <v>33</v>
      </c>
      <c r="Q370" t="s">
        <v>42</v>
      </c>
      <c r="R370" t="s">
        <v>71</v>
      </c>
      <c r="S370" t="s">
        <v>116</v>
      </c>
      <c r="T370">
        <v>4</v>
      </c>
      <c r="U370">
        <v>933.24</v>
      </c>
      <c r="V370">
        <v>1979.72</v>
      </c>
      <c r="W370">
        <v>7</v>
      </c>
      <c r="X370" t="str">
        <f>TEXT(cleaneddata[[#This Row],[Order Date]],"mmm")</f>
        <v>Dec</v>
      </c>
      <c r="Y370">
        <f>cleaneddata[[#This Row],[Unit Price]]*cleaneddata[[#This Row],[Quantity]]*(1-cleaneddata[[#This Row],[Discount %]]/100)</f>
        <v>3173.0160000000001</v>
      </c>
      <c r="Z370">
        <f>cleaneddata[[#This Row],[sales]]-cleaneddata[[#This Row],[Cost]]</f>
        <v>1193.296</v>
      </c>
    </row>
    <row r="371" spans="1:26" x14ac:dyDescent="0.3">
      <c r="A371" t="s">
        <v>1102</v>
      </c>
      <c r="B371" s="1">
        <v>45997</v>
      </c>
      <c r="C371" t="s">
        <v>1103</v>
      </c>
      <c r="D371" t="s">
        <v>3380</v>
      </c>
      <c r="E371" s="1">
        <v>46000</v>
      </c>
      <c r="F371" t="s">
        <v>140</v>
      </c>
      <c r="G371" t="s">
        <v>38</v>
      </c>
      <c r="H371" t="s">
        <v>139</v>
      </c>
      <c r="I371" t="s">
        <v>2654</v>
      </c>
      <c r="J371" t="s">
        <v>2702</v>
      </c>
      <c r="K371" t="s">
        <v>52</v>
      </c>
      <c r="L371">
        <v>36</v>
      </c>
      <c r="M371">
        <v>2</v>
      </c>
      <c r="N371">
        <v>5</v>
      </c>
      <c r="O371" t="s">
        <v>700</v>
      </c>
      <c r="P371" t="s">
        <v>75</v>
      </c>
      <c r="Q371" t="s">
        <v>70</v>
      </c>
      <c r="R371" t="s">
        <v>32</v>
      </c>
      <c r="S371" t="s">
        <v>141</v>
      </c>
      <c r="T371">
        <v>1</v>
      </c>
      <c r="U371">
        <v>694.91</v>
      </c>
      <c r="V371">
        <v>1092.19</v>
      </c>
      <c r="W371">
        <v>3</v>
      </c>
      <c r="X371" t="str">
        <f>TEXT(cleaneddata[[#This Row],[Order Date]],"mmm")</f>
        <v>Dec</v>
      </c>
      <c r="Y371">
        <f>cleaneddata[[#This Row],[Unit Price]]*cleaneddata[[#This Row],[Quantity]]*(1-cleaneddata[[#This Row],[Discount %]]/100)</f>
        <v>1320.329</v>
      </c>
      <c r="Z371">
        <f>cleaneddata[[#This Row],[sales]]-cleaneddata[[#This Row],[Cost]]</f>
        <v>228.1389999999999</v>
      </c>
    </row>
    <row r="372" spans="1:26" x14ac:dyDescent="0.3">
      <c r="A372" t="s">
        <v>1104</v>
      </c>
      <c r="B372" s="1">
        <v>45710</v>
      </c>
      <c r="C372" t="s">
        <v>1105</v>
      </c>
      <c r="D372" t="s">
        <v>3379</v>
      </c>
      <c r="E372" s="1">
        <v>45716</v>
      </c>
      <c r="F372" t="s">
        <v>29</v>
      </c>
      <c r="G372" t="s">
        <v>27</v>
      </c>
      <c r="H372" t="s">
        <v>28</v>
      </c>
      <c r="I372" t="s">
        <v>2654</v>
      </c>
      <c r="J372" t="s">
        <v>2702</v>
      </c>
      <c r="K372" t="s">
        <v>52</v>
      </c>
      <c r="L372">
        <v>63</v>
      </c>
      <c r="M372">
        <v>4</v>
      </c>
      <c r="N372">
        <v>15</v>
      </c>
      <c r="O372" t="s">
        <v>1106</v>
      </c>
      <c r="P372" t="s">
        <v>33</v>
      </c>
      <c r="Q372" t="s">
        <v>31</v>
      </c>
      <c r="R372" t="s">
        <v>43</v>
      </c>
      <c r="S372" t="s">
        <v>30</v>
      </c>
      <c r="T372">
        <v>1</v>
      </c>
      <c r="U372">
        <v>994.83</v>
      </c>
      <c r="V372">
        <v>1991.93</v>
      </c>
      <c r="W372">
        <v>6</v>
      </c>
      <c r="X372" t="str">
        <f>TEXT(cleaneddata[[#This Row],[Order Date]],"mmm")</f>
        <v>Feb</v>
      </c>
      <c r="Y372">
        <f>cleaneddata[[#This Row],[Unit Price]]*cleaneddata[[#This Row],[Quantity]]*(1-cleaneddata[[#This Row],[Discount %]]/100)</f>
        <v>3382.422</v>
      </c>
      <c r="Z372">
        <f>cleaneddata[[#This Row],[sales]]-cleaneddata[[#This Row],[Cost]]</f>
        <v>1390.492</v>
      </c>
    </row>
    <row r="373" spans="1:26" x14ac:dyDescent="0.3">
      <c r="A373" t="s">
        <v>1107</v>
      </c>
      <c r="B373" s="1">
        <v>45603</v>
      </c>
      <c r="C373" t="s">
        <v>1108</v>
      </c>
      <c r="D373" t="s">
        <v>3378</v>
      </c>
      <c r="E373" s="1">
        <v>45608</v>
      </c>
      <c r="F373" t="s">
        <v>29</v>
      </c>
      <c r="G373" t="s">
        <v>27</v>
      </c>
      <c r="H373" t="s">
        <v>28</v>
      </c>
      <c r="I373" t="s">
        <v>2654</v>
      </c>
      <c r="J373" t="s">
        <v>2684</v>
      </c>
      <c r="K373" t="s">
        <v>52</v>
      </c>
      <c r="L373">
        <v>59</v>
      </c>
      <c r="M373">
        <v>4</v>
      </c>
      <c r="N373">
        <v>0</v>
      </c>
      <c r="O373" t="s">
        <v>1109</v>
      </c>
      <c r="P373" t="s">
        <v>44</v>
      </c>
      <c r="Q373" t="s">
        <v>58</v>
      </c>
      <c r="R373" t="s">
        <v>32</v>
      </c>
      <c r="S373" t="s">
        <v>30</v>
      </c>
      <c r="T373">
        <v>3</v>
      </c>
      <c r="U373">
        <v>143.15</v>
      </c>
      <c r="V373">
        <v>468.26</v>
      </c>
      <c r="W373">
        <v>5</v>
      </c>
      <c r="X373" t="str">
        <f>TEXT(cleaneddata[[#This Row],[Order Date]],"mmm")</f>
        <v>Nov</v>
      </c>
      <c r="Y373">
        <f>cleaneddata[[#This Row],[Unit Price]]*cleaneddata[[#This Row],[Quantity]]*(1-cleaneddata[[#This Row],[Discount %]]/100)</f>
        <v>572.6</v>
      </c>
      <c r="Z373">
        <f>cleaneddata[[#This Row],[sales]]-cleaneddata[[#This Row],[Cost]]</f>
        <v>104.34000000000003</v>
      </c>
    </row>
    <row r="374" spans="1:26" x14ac:dyDescent="0.3">
      <c r="A374" t="s">
        <v>1110</v>
      </c>
      <c r="B374" s="1">
        <v>45892</v>
      </c>
      <c r="C374" t="s">
        <v>1111</v>
      </c>
      <c r="D374" t="s">
        <v>3377</v>
      </c>
      <c r="E374" s="1">
        <v>45899</v>
      </c>
      <c r="F374" t="s">
        <v>29</v>
      </c>
      <c r="G374" t="s">
        <v>27</v>
      </c>
      <c r="H374" t="s">
        <v>28</v>
      </c>
      <c r="I374" t="s">
        <v>2623</v>
      </c>
      <c r="J374" t="s">
        <v>2624</v>
      </c>
      <c r="K374" t="s">
        <v>52</v>
      </c>
      <c r="L374">
        <v>48</v>
      </c>
      <c r="M374">
        <v>3</v>
      </c>
      <c r="N374">
        <v>20</v>
      </c>
      <c r="O374" t="s">
        <v>144</v>
      </c>
      <c r="P374" t="s">
        <v>33</v>
      </c>
      <c r="Q374" t="s">
        <v>70</v>
      </c>
      <c r="R374" t="s">
        <v>43</v>
      </c>
      <c r="S374" t="s">
        <v>30</v>
      </c>
      <c r="T374">
        <v>3</v>
      </c>
      <c r="U374">
        <v>986.15</v>
      </c>
      <c r="V374">
        <v>1773.61</v>
      </c>
      <c r="W374">
        <v>7</v>
      </c>
      <c r="X374" t="str">
        <f>TEXT(cleaneddata[[#This Row],[Order Date]],"mmm")</f>
        <v>Aug</v>
      </c>
      <c r="Y374">
        <f>cleaneddata[[#This Row],[Unit Price]]*cleaneddata[[#This Row],[Quantity]]*(1-cleaneddata[[#This Row],[Discount %]]/100)</f>
        <v>2366.7599999999998</v>
      </c>
      <c r="Z374">
        <f>cleaneddata[[#This Row],[sales]]-cleaneddata[[#This Row],[Cost]]</f>
        <v>593.14999999999986</v>
      </c>
    </row>
    <row r="375" spans="1:26" x14ac:dyDescent="0.3">
      <c r="A375" t="s">
        <v>1112</v>
      </c>
      <c r="B375" s="1">
        <v>45863</v>
      </c>
      <c r="C375" t="s">
        <v>1113</v>
      </c>
      <c r="D375" t="s">
        <v>3376</v>
      </c>
      <c r="E375" s="1">
        <v>45866</v>
      </c>
      <c r="F375" t="s">
        <v>40</v>
      </c>
      <c r="G375" t="s">
        <v>38</v>
      </c>
      <c r="H375" t="s">
        <v>39</v>
      </c>
      <c r="I375" t="s">
        <v>2663</v>
      </c>
      <c r="J375" t="s">
        <v>2664</v>
      </c>
      <c r="K375" t="s">
        <v>25</v>
      </c>
      <c r="L375">
        <v>24</v>
      </c>
      <c r="M375">
        <v>3</v>
      </c>
      <c r="N375">
        <v>0</v>
      </c>
      <c r="O375" t="s">
        <v>1114</v>
      </c>
      <c r="P375" t="s">
        <v>44</v>
      </c>
      <c r="Q375" t="s">
        <v>31</v>
      </c>
      <c r="R375" t="s">
        <v>71</v>
      </c>
      <c r="S375" t="s">
        <v>41</v>
      </c>
      <c r="T375">
        <v>4</v>
      </c>
      <c r="U375">
        <v>25.04</v>
      </c>
      <c r="V375">
        <v>59.23</v>
      </c>
      <c r="W375">
        <v>3</v>
      </c>
      <c r="X375" t="str">
        <f>TEXT(cleaneddata[[#This Row],[Order Date]],"mmm")</f>
        <v>Jul</v>
      </c>
      <c r="Y375">
        <f>cleaneddata[[#This Row],[Unit Price]]*cleaneddata[[#This Row],[Quantity]]*(1-cleaneddata[[#This Row],[Discount %]]/100)</f>
        <v>75.12</v>
      </c>
      <c r="Z375">
        <f>cleaneddata[[#This Row],[sales]]-cleaneddata[[#This Row],[Cost]]</f>
        <v>15.890000000000008</v>
      </c>
    </row>
    <row r="376" spans="1:26" x14ac:dyDescent="0.3">
      <c r="A376" t="s">
        <v>1115</v>
      </c>
      <c r="B376" s="1">
        <v>45704</v>
      </c>
      <c r="C376" t="s">
        <v>1116</v>
      </c>
      <c r="D376" t="s">
        <v>3375</v>
      </c>
      <c r="E376" s="1">
        <v>45709</v>
      </c>
      <c r="F376" t="s">
        <v>122</v>
      </c>
      <c r="G376" t="s">
        <v>120</v>
      </c>
      <c r="H376" t="s">
        <v>121</v>
      </c>
      <c r="I376" t="s">
        <v>2625</v>
      </c>
      <c r="J376" t="s">
        <v>2626</v>
      </c>
      <c r="K376" t="s">
        <v>52</v>
      </c>
      <c r="L376">
        <v>65</v>
      </c>
      <c r="M376">
        <v>5</v>
      </c>
      <c r="N376">
        <v>20</v>
      </c>
      <c r="O376" t="s">
        <v>1117</v>
      </c>
      <c r="P376" t="s">
        <v>33</v>
      </c>
      <c r="Q376" t="s">
        <v>42</v>
      </c>
      <c r="R376" t="s">
        <v>62</v>
      </c>
      <c r="S376" t="s">
        <v>123</v>
      </c>
      <c r="T376">
        <v>5</v>
      </c>
      <c r="U376">
        <v>994.52</v>
      </c>
      <c r="V376">
        <v>2178.91</v>
      </c>
      <c r="W376">
        <v>5</v>
      </c>
      <c r="X376" t="str">
        <f>TEXT(cleaneddata[[#This Row],[Order Date]],"mmm")</f>
        <v>Feb</v>
      </c>
      <c r="Y376">
        <f>cleaneddata[[#This Row],[Unit Price]]*cleaneddata[[#This Row],[Quantity]]*(1-cleaneddata[[#This Row],[Discount %]]/100)</f>
        <v>3978.0800000000004</v>
      </c>
      <c r="Z376">
        <f>cleaneddata[[#This Row],[sales]]-cleaneddata[[#This Row],[Cost]]</f>
        <v>1799.1700000000005</v>
      </c>
    </row>
    <row r="377" spans="1:26" x14ac:dyDescent="0.3">
      <c r="A377" t="s">
        <v>1118</v>
      </c>
      <c r="B377" s="1">
        <v>46127</v>
      </c>
      <c r="C377" t="s">
        <v>1119</v>
      </c>
      <c r="D377" t="s">
        <v>3374</v>
      </c>
      <c r="E377" s="1">
        <v>46131</v>
      </c>
      <c r="F377" t="s">
        <v>68</v>
      </c>
      <c r="G377" t="s">
        <v>66</v>
      </c>
      <c r="H377" t="s">
        <v>67</v>
      </c>
      <c r="I377" t="s">
        <v>2668</v>
      </c>
      <c r="J377" t="s">
        <v>2669</v>
      </c>
      <c r="K377" t="s">
        <v>25</v>
      </c>
      <c r="L377">
        <v>23</v>
      </c>
      <c r="M377">
        <v>2</v>
      </c>
      <c r="N377">
        <v>0</v>
      </c>
      <c r="O377" t="s">
        <v>192</v>
      </c>
      <c r="P377" t="s">
        <v>44</v>
      </c>
      <c r="Q377" t="s">
        <v>70</v>
      </c>
      <c r="R377" t="s">
        <v>62</v>
      </c>
      <c r="S377" t="s">
        <v>69</v>
      </c>
      <c r="T377">
        <v>5</v>
      </c>
      <c r="U377">
        <v>328.67</v>
      </c>
      <c r="V377">
        <v>383.62</v>
      </c>
      <c r="W377">
        <v>4</v>
      </c>
      <c r="X377" t="str">
        <f>TEXT(cleaneddata[[#This Row],[Order Date]],"mmm")</f>
        <v>Apr</v>
      </c>
      <c r="Y377">
        <f>cleaneddata[[#This Row],[Unit Price]]*cleaneddata[[#This Row],[Quantity]]*(1-cleaneddata[[#This Row],[Discount %]]/100)</f>
        <v>657.34</v>
      </c>
      <c r="Z377">
        <f>cleaneddata[[#This Row],[sales]]-cleaneddata[[#This Row],[Cost]]</f>
        <v>273.72000000000003</v>
      </c>
    </row>
    <row r="378" spans="1:26" x14ac:dyDescent="0.3">
      <c r="A378" t="s">
        <v>1120</v>
      </c>
      <c r="B378" s="1">
        <v>45768</v>
      </c>
      <c r="C378" t="s">
        <v>1121</v>
      </c>
      <c r="D378" t="s">
        <v>3373</v>
      </c>
      <c r="E378" s="1">
        <v>45770</v>
      </c>
      <c r="F378" t="s">
        <v>122</v>
      </c>
      <c r="G378" t="s">
        <v>120</v>
      </c>
      <c r="H378" t="s">
        <v>121</v>
      </c>
      <c r="I378" t="s">
        <v>2652</v>
      </c>
      <c r="J378" t="s">
        <v>2653</v>
      </c>
      <c r="K378" t="s">
        <v>25</v>
      </c>
      <c r="L378">
        <v>42</v>
      </c>
      <c r="M378">
        <v>4</v>
      </c>
      <c r="N378">
        <v>20</v>
      </c>
      <c r="O378" t="s">
        <v>1122</v>
      </c>
      <c r="P378" t="s">
        <v>33</v>
      </c>
      <c r="Q378" t="s">
        <v>117</v>
      </c>
      <c r="R378" t="s">
        <v>62</v>
      </c>
      <c r="S378" t="s">
        <v>123</v>
      </c>
      <c r="T378">
        <v>4</v>
      </c>
      <c r="U378">
        <v>148.18</v>
      </c>
      <c r="V378">
        <v>377.59</v>
      </c>
      <c r="W378">
        <v>2</v>
      </c>
      <c r="X378" t="str">
        <f>TEXT(cleaneddata[[#This Row],[Order Date]],"mmm")</f>
        <v>Apr</v>
      </c>
      <c r="Y378">
        <f>cleaneddata[[#This Row],[Unit Price]]*cleaneddata[[#This Row],[Quantity]]*(1-cleaneddata[[#This Row],[Discount %]]/100)</f>
        <v>474.17600000000004</v>
      </c>
      <c r="Z378">
        <f>cleaneddata[[#This Row],[sales]]-cleaneddata[[#This Row],[Cost]]</f>
        <v>96.58600000000007</v>
      </c>
    </row>
    <row r="379" spans="1:26" x14ac:dyDescent="0.3">
      <c r="A379" t="s">
        <v>1123</v>
      </c>
      <c r="B379" s="1">
        <v>45759</v>
      </c>
      <c r="C379" t="s">
        <v>1124</v>
      </c>
      <c r="D379" t="s">
        <v>3372</v>
      </c>
      <c r="E379" s="1">
        <v>45764</v>
      </c>
      <c r="F379" t="s">
        <v>100</v>
      </c>
      <c r="G379" t="s">
        <v>98</v>
      </c>
      <c r="H379" t="s">
        <v>99</v>
      </c>
      <c r="I379" t="s">
        <v>2623</v>
      </c>
      <c r="J379" t="s">
        <v>2624</v>
      </c>
      <c r="K379" t="s">
        <v>25</v>
      </c>
      <c r="L379">
        <v>33</v>
      </c>
      <c r="M379">
        <v>5</v>
      </c>
      <c r="N379">
        <v>10</v>
      </c>
      <c r="O379" t="s">
        <v>829</v>
      </c>
      <c r="P379" t="s">
        <v>33</v>
      </c>
      <c r="Q379" t="s">
        <v>42</v>
      </c>
      <c r="R379" t="s">
        <v>43</v>
      </c>
      <c r="S379" t="s">
        <v>101</v>
      </c>
      <c r="T379">
        <v>4</v>
      </c>
      <c r="U379">
        <v>948.45</v>
      </c>
      <c r="V379">
        <v>2886.33</v>
      </c>
      <c r="W379">
        <v>5</v>
      </c>
      <c r="X379" t="str">
        <f>TEXT(cleaneddata[[#This Row],[Order Date]],"mmm")</f>
        <v>Apr</v>
      </c>
      <c r="Y379">
        <f>cleaneddata[[#This Row],[Unit Price]]*cleaneddata[[#This Row],[Quantity]]*(1-cleaneddata[[#This Row],[Discount %]]/100)</f>
        <v>4268.0250000000005</v>
      </c>
      <c r="Z379">
        <f>cleaneddata[[#This Row],[sales]]-cleaneddata[[#This Row],[Cost]]</f>
        <v>1381.6950000000006</v>
      </c>
    </row>
    <row r="380" spans="1:26" x14ac:dyDescent="0.3">
      <c r="A380" t="s">
        <v>1125</v>
      </c>
      <c r="B380" s="1">
        <v>45880</v>
      </c>
      <c r="C380" t="s">
        <v>1126</v>
      </c>
      <c r="D380" t="s">
        <v>3371</v>
      </c>
      <c r="E380" s="1">
        <v>45887</v>
      </c>
      <c r="F380" t="s">
        <v>128</v>
      </c>
      <c r="G380" t="s">
        <v>98</v>
      </c>
      <c r="H380" t="s">
        <v>127</v>
      </c>
      <c r="I380" t="s">
        <v>2622</v>
      </c>
      <c r="J380" t="s">
        <v>2705</v>
      </c>
      <c r="K380" t="s">
        <v>25</v>
      </c>
      <c r="L380">
        <v>49</v>
      </c>
      <c r="M380">
        <v>3</v>
      </c>
      <c r="N380">
        <v>25</v>
      </c>
      <c r="O380" t="s">
        <v>1127</v>
      </c>
      <c r="P380" t="s">
        <v>75</v>
      </c>
      <c r="Q380" t="s">
        <v>31</v>
      </c>
      <c r="R380" t="s">
        <v>32</v>
      </c>
      <c r="S380" t="s">
        <v>129</v>
      </c>
      <c r="T380">
        <v>2</v>
      </c>
      <c r="U380">
        <v>517.88</v>
      </c>
      <c r="V380">
        <v>653.11</v>
      </c>
      <c r="W380">
        <v>7</v>
      </c>
      <c r="X380" t="str">
        <f>TEXT(cleaneddata[[#This Row],[Order Date]],"mmm")</f>
        <v>Aug</v>
      </c>
      <c r="Y380">
        <f>cleaneddata[[#This Row],[Unit Price]]*cleaneddata[[#This Row],[Quantity]]*(1-cleaneddata[[#This Row],[Discount %]]/100)</f>
        <v>1165.23</v>
      </c>
      <c r="Z380">
        <f>cleaneddata[[#This Row],[sales]]-cleaneddata[[#This Row],[Cost]]</f>
        <v>512.12</v>
      </c>
    </row>
    <row r="381" spans="1:26" x14ac:dyDescent="0.3">
      <c r="A381" t="s">
        <v>1128</v>
      </c>
      <c r="B381" s="1">
        <v>45455</v>
      </c>
      <c r="C381" t="s">
        <v>1129</v>
      </c>
      <c r="D381" t="s">
        <v>3370</v>
      </c>
      <c r="E381" s="1">
        <v>45457</v>
      </c>
      <c r="F381" t="s">
        <v>40</v>
      </c>
      <c r="G381" t="s">
        <v>38</v>
      </c>
      <c r="H381" t="s">
        <v>39</v>
      </c>
      <c r="I381" t="s">
        <v>2629</v>
      </c>
      <c r="J381" t="s">
        <v>2697</v>
      </c>
      <c r="K381" t="s">
        <v>25</v>
      </c>
      <c r="L381">
        <v>38</v>
      </c>
      <c r="M381">
        <v>2</v>
      </c>
      <c r="N381">
        <v>15</v>
      </c>
      <c r="O381" t="s">
        <v>1130</v>
      </c>
      <c r="P381" t="s">
        <v>75</v>
      </c>
      <c r="Q381" t="s">
        <v>117</v>
      </c>
      <c r="R381" t="s">
        <v>62</v>
      </c>
      <c r="S381" t="s">
        <v>41</v>
      </c>
      <c r="T381">
        <v>4</v>
      </c>
      <c r="U381">
        <v>440.09</v>
      </c>
      <c r="V381">
        <v>543.27</v>
      </c>
      <c r="W381">
        <v>2</v>
      </c>
      <c r="X381" t="str">
        <f>TEXT(cleaneddata[[#This Row],[Order Date]],"mmm")</f>
        <v>Jun</v>
      </c>
      <c r="Y381">
        <f>cleaneddata[[#This Row],[Unit Price]]*cleaneddata[[#This Row],[Quantity]]*(1-cleaneddata[[#This Row],[Discount %]]/100)</f>
        <v>748.15299999999991</v>
      </c>
      <c r="Z381">
        <f>cleaneddata[[#This Row],[sales]]-cleaneddata[[#This Row],[Cost]]</f>
        <v>204.88299999999992</v>
      </c>
    </row>
    <row r="382" spans="1:26" x14ac:dyDescent="0.3">
      <c r="A382" t="s">
        <v>1131</v>
      </c>
      <c r="B382" s="1">
        <v>45773</v>
      </c>
      <c r="C382" t="s">
        <v>1132</v>
      </c>
      <c r="D382" t="s">
        <v>3369</v>
      </c>
      <c r="E382" s="1">
        <v>45774</v>
      </c>
      <c r="F382" t="s">
        <v>56</v>
      </c>
      <c r="G382" t="s">
        <v>54</v>
      </c>
      <c r="H382" t="s">
        <v>55</v>
      </c>
      <c r="I382" t="s">
        <v>2622</v>
      </c>
      <c r="J382" t="s">
        <v>2705</v>
      </c>
      <c r="K382" t="s">
        <v>52</v>
      </c>
      <c r="L382">
        <v>23</v>
      </c>
      <c r="M382">
        <v>3</v>
      </c>
      <c r="N382">
        <v>20</v>
      </c>
      <c r="O382" t="s">
        <v>479</v>
      </c>
      <c r="P382" t="s">
        <v>44</v>
      </c>
      <c r="Q382" t="s">
        <v>117</v>
      </c>
      <c r="R382" t="s">
        <v>43</v>
      </c>
      <c r="S382" t="s">
        <v>57</v>
      </c>
      <c r="T382">
        <v>1</v>
      </c>
      <c r="U382">
        <v>837</v>
      </c>
      <c r="V382">
        <v>1315.56</v>
      </c>
      <c r="W382">
        <v>1</v>
      </c>
      <c r="X382" t="str">
        <f>TEXT(cleaneddata[[#This Row],[Order Date]],"mmm")</f>
        <v>Apr</v>
      </c>
      <c r="Y382">
        <f>cleaneddata[[#This Row],[Unit Price]]*cleaneddata[[#This Row],[Quantity]]*(1-cleaneddata[[#This Row],[Discount %]]/100)</f>
        <v>2008.8000000000002</v>
      </c>
      <c r="Z382">
        <f>cleaneddata[[#This Row],[sales]]-cleaneddata[[#This Row],[Cost]]</f>
        <v>693.24000000000024</v>
      </c>
    </row>
    <row r="383" spans="1:26" x14ac:dyDescent="0.3">
      <c r="A383" t="s">
        <v>1133</v>
      </c>
      <c r="B383" s="1">
        <v>46143</v>
      </c>
      <c r="C383" t="s">
        <v>1134</v>
      </c>
      <c r="D383" t="s">
        <v>3368</v>
      </c>
      <c r="E383" s="1">
        <v>46147</v>
      </c>
      <c r="F383" t="s">
        <v>115</v>
      </c>
      <c r="G383" t="s">
        <v>66</v>
      </c>
      <c r="H383" t="s">
        <v>114</v>
      </c>
      <c r="I383" t="s">
        <v>2631</v>
      </c>
      <c r="J383" t="s">
        <v>2711</v>
      </c>
      <c r="K383" t="s">
        <v>52</v>
      </c>
      <c r="L383">
        <v>46</v>
      </c>
      <c r="M383">
        <v>5</v>
      </c>
      <c r="N383">
        <v>5</v>
      </c>
      <c r="O383" t="s">
        <v>1135</v>
      </c>
      <c r="P383" t="s">
        <v>44</v>
      </c>
      <c r="Q383" t="s">
        <v>31</v>
      </c>
      <c r="R383" t="s">
        <v>71</v>
      </c>
      <c r="S383" t="s">
        <v>116</v>
      </c>
      <c r="T383">
        <v>5</v>
      </c>
      <c r="U383">
        <v>493.33</v>
      </c>
      <c r="V383">
        <v>1678.65</v>
      </c>
      <c r="W383">
        <v>4</v>
      </c>
      <c r="X383" t="str">
        <f>TEXT(cleaneddata[[#This Row],[Order Date]],"mmm")</f>
        <v>May</v>
      </c>
      <c r="Y383">
        <f>cleaneddata[[#This Row],[Unit Price]]*cleaneddata[[#This Row],[Quantity]]*(1-cleaneddata[[#This Row],[Discount %]]/100)</f>
        <v>2343.3175000000001</v>
      </c>
      <c r="Z383">
        <f>cleaneddata[[#This Row],[sales]]-cleaneddata[[#This Row],[Cost]]</f>
        <v>664.66750000000002</v>
      </c>
    </row>
    <row r="384" spans="1:26" x14ac:dyDescent="0.3">
      <c r="A384" t="s">
        <v>1136</v>
      </c>
      <c r="B384" s="1">
        <v>45799</v>
      </c>
      <c r="C384" t="s">
        <v>1137</v>
      </c>
      <c r="D384" t="s">
        <v>3367</v>
      </c>
      <c r="E384" s="1">
        <v>45806</v>
      </c>
      <c r="F384" t="s">
        <v>100</v>
      </c>
      <c r="G384" t="s">
        <v>98</v>
      </c>
      <c r="H384" t="s">
        <v>99</v>
      </c>
      <c r="I384" t="s">
        <v>2672</v>
      </c>
      <c r="J384" t="s">
        <v>2716</v>
      </c>
      <c r="K384" t="s">
        <v>25</v>
      </c>
      <c r="L384">
        <v>45</v>
      </c>
      <c r="M384">
        <v>4</v>
      </c>
      <c r="N384">
        <v>20</v>
      </c>
      <c r="O384" t="s">
        <v>1138</v>
      </c>
      <c r="P384" t="s">
        <v>33</v>
      </c>
      <c r="Q384" t="s">
        <v>117</v>
      </c>
      <c r="R384" t="s">
        <v>32</v>
      </c>
      <c r="S384" t="s">
        <v>101</v>
      </c>
      <c r="T384">
        <v>4</v>
      </c>
      <c r="U384">
        <v>410.49</v>
      </c>
      <c r="V384">
        <v>907.93</v>
      </c>
      <c r="W384">
        <v>7</v>
      </c>
      <c r="X384" t="str">
        <f>TEXT(cleaneddata[[#This Row],[Order Date]],"mmm")</f>
        <v>May</v>
      </c>
      <c r="Y384">
        <f>cleaneddata[[#This Row],[Unit Price]]*cleaneddata[[#This Row],[Quantity]]*(1-cleaneddata[[#This Row],[Discount %]]/100)</f>
        <v>1313.5680000000002</v>
      </c>
      <c r="Z384">
        <f>cleaneddata[[#This Row],[sales]]-cleaneddata[[#This Row],[Cost]]</f>
        <v>405.63800000000026</v>
      </c>
    </row>
    <row r="385" spans="1:26" x14ac:dyDescent="0.3">
      <c r="A385" t="s">
        <v>1139</v>
      </c>
      <c r="B385" s="1">
        <v>45557</v>
      </c>
      <c r="C385" t="s">
        <v>1140</v>
      </c>
      <c r="D385" t="s">
        <v>3366</v>
      </c>
      <c r="E385" s="1">
        <v>45559</v>
      </c>
      <c r="F385" t="s">
        <v>40</v>
      </c>
      <c r="G385" t="s">
        <v>38</v>
      </c>
      <c r="H385" t="s">
        <v>39</v>
      </c>
      <c r="I385" t="s">
        <v>2665</v>
      </c>
      <c r="J385" t="s">
        <v>2666</v>
      </c>
      <c r="K385" t="s">
        <v>25</v>
      </c>
      <c r="L385">
        <v>65</v>
      </c>
      <c r="M385">
        <v>5</v>
      </c>
      <c r="N385">
        <v>25</v>
      </c>
      <c r="O385" t="s">
        <v>1079</v>
      </c>
      <c r="P385" t="s">
        <v>44</v>
      </c>
      <c r="Q385" t="s">
        <v>70</v>
      </c>
      <c r="R385" t="s">
        <v>32</v>
      </c>
      <c r="S385" t="s">
        <v>41</v>
      </c>
      <c r="T385">
        <v>5</v>
      </c>
      <c r="U385">
        <v>881.14</v>
      </c>
      <c r="V385">
        <v>2157.38</v>
      </c>
      <c r="W385">
        <v>2</v>
      </c>
      <c r="X385" t="str">
        <f>TEXT(cleaneddata[[#This Row],[Order Date]],"mmm")</f>
        <v>Sep</v>
      </c>
      <c r="Y385">
        <f>cleaneddata[[#This Row],[Unit Price]]*cleaneddata[[#This Row],[Quantity]]*(1-cleaneddata[[#This Row],[Discount %]]/100)</f>
        <v>3304.2749999999996</v>
      </c>
      <c r="Z385">
        <f>cleaneddata[[#This Row],[sales]]-cleaneddata[[#This Row],[Cost]]</f>
        <v>1146.8949999999995</v>
      </c>
    </row>
    <row r="386" spans="1:26" x14ac:dyDescent="0.3">
      <c r="A386" t="s">
        <v>1141</v>
      </c>
      <c r="B386" s="1">
        <v>45678</v>
      </c>
      <c r="C386" t="s">
        <v>1142</v>
      </c>
      <c r="D386" t="s">
        <v>3365</v>
      </c>
      <c r="E386" s="1">
        <v>45685</v>
      </c>
      <c r="F386" t="s">
        <v>40</v>
      </c>
      <c r="G386" t="s">
        <v>38</v>
      </c>
      <c r="H386" t="s">
        <v>39</v>
      </c>
      <c r="I386" t="s">
        <v>2625</v>
      </c>
      <c r="J386" t="s">
        <v>2703</v>
      </c>
      <c r="K386" t="s">
        <v>25</v>
      </c>
      <c r="L386">
        <v>26</v>
      </c>
      <c r="M386">
        <v>4</v>
      </c>
      <c r="N386">
        <v>15</v>
      </c>
      <c r="O386" t="s">
        <v>1143</v>
      </c>
      <c r="P386" t="s">
        <v>33</v>
      </c>
      <c r="Q386" t="s">
        <v>31</v>
      </c>
      <c r="R386" t="s">
        <v>71</v>
      </c>
      <c r="S386" t="s">
        <v>41</v>
      </c>
      <c r="T386">
        <v>4</v>
      </c>
      <c r="U386">
        <v>428.73</v>
      </c>
      <c r="V386">
        <v>1071.81</v>
      </c>
      <c r="W386">
        <v>7</v>
      </c>
      <c r="X386" t="str">
        <f>TEXT(cleaneddata[[#This Row],[Order Date]],"mmm")</f>
        <v>Jan</v>
      </c>
      <c r="Y386">
        <f>cleaneddata[[#This Row],[Unit Price]]*cleaneddata[[#This Row],[Quantity]]*(1-cleaneddata[[#This Row],[Discount %]]/100)</f>
        <v>1457.682</v>
      </c>
      <c r="Z386">
        <f>cleaneddata[[#This Row],[sales]]-cleaneddata[[#This Row],[Cost]]</f>
        <v>385.87200000000007</v>
      </c>
    </row>
    <row r="387" spans="1:26" x14ac:dyDescent="0.3">
      <c r="A387" t="s">
        <v>1144</v>
      </c>
      <c r="B387" s="1">
        <v>45891</v>
      </c>
      <c r="C387" t="s">
        <v>1145</v>
      </c>
      <c r="D387" t="s">
        <v>3364</v>
      </c>
      <c r="E387" s="1">
        <v>45898</v>
      </c>
      <c r="F387" t="s">
        <v>40</v>
      </c>
      <c r="G387" t="s">
        <v>38</v>
      </c>
      <c r="H387" t="s">
        <v>39</v>
      </c>
      <c r="I387" t="s">
        <v>2641</v>
      </c>
      <c r="J387" t="s">
        <v>2642</v>
      </c>
      <c r="K387" t="s">
        <v>25</v>
      </c>
      <c r="L387">
        <v>57</v>
      </c>
      <c r="M387">
        <v>3</v>
      </c>
      <c r="N387">
        <v>25</v>
      </c>
      <c r="O387" t="s">
        <v>1146</v>
      </c>
      <c r="P387" t="s">
        <v>44</v>
      </c>
      <c r="Q387" t="s">
        <v>42</v>
      </c>
      <c r="R387" t="s">
        <v>43</v>
      </c>
      <c r="S387" t="s">
        <v>41</v>
      </c>
      <c r="T387">
        <v>4</v>
      </c>
      <c r="U387">
        <v>393.18</v>
      </c>
      <c r="V387">
        <v>666.89</v>
      </c>
      <c r="W387">
        <v>7</v>
      </c>
      <c r="X387" t="str">
        <f>TEXT(cleaneddata[[#This Row],[Order Date]],"mmm")</f>
        <v>Aug</v>
      </c>
      <c r="Y387">
        <f>cleaneddata[[#This Row],[Unit Price]]*cleaneddata[[#This Row],[Quantity]]*(1-cleaneddata[[#This Row],[Discount %]]/100)</f>
        <v>884.65499999999997</v>
      </c>
      <c r="Z387">
        <f>cleaneddata[[#This Row],[sales]]-cleaneddata[[#This Row],[Cost]]</f>
        <v>217.76499999999999</v>
      </c>
    </row>
    <row r="388" spans="1:26" x14ac:dyDescent="0.3">
      <c r="A388" t="s">
        <v>1147</v>
      </c>
      <c r="B388" s="1">
        <v>46047</v>
      </c>
      <c r="C388" t="s">
        <v>1148</v>
      </c>
      <c r="D388" t="s">
        <v>3363</v>
      </c>
      <c r="E388" s="1">
        <v>46050</v>
      </c>
      <c r="F388" t="s">
        <v>122</v>
      </c>
      <c r="G388" t="s">
        <v>120</v>
      </c>
      <c r="H388" t="s">
        <v>121</v>
      </c>
      <c r="I388" t="s">
        <v>2661</v>
      </c>
      <c r="J388" t="s">
        <v>2662</v>
      </c>
      <c r="K388" t="s">
        <v>52</v>
      </c>
      <c r="L388">
        <v>22</v>
      </c>
      <c r="M388">
        <v>3</v>
      </c>
      <c r="N388">
        <v>25</v>
      </c>
      <c r="O388" t="s">
        <v>1149</v>
      </c>
      <c r="P388" t="s">
        <v>44</v>
      </c>
      <c r="Q388" t="s">
        <v>31</v>
      </c>
      <c r="R388" t="s">
        <v>62</v>
      </c>
      <c r="S388" t="s">
        <v>123</v>
      </c>
      <c r="T388">
        <v>2</v>
      </c>
      <c r="U388">
        <v>736.19</v>
      </c>
      <c r="V388">
        <v>1028.95</v>
      </c>
      <c r="W388">
        <v>3</v>
      </c>
      <c r="X388" t="str">
        <f>TEXT(cleaneddata[[#This Row],[Order Date]],"mmm")</f>
        <v>Jan</v>
      </c>
      <c r="Y388">
        <f>cleaneddata[[#This Row],[Unit Price]]*cleaneddata[[#This Row],[Quantity]]*(1-cleaneddata[[#This Row],[Discount %]]/100)</f>
        <v>1656.4275000000002</v>
      </c>
      <c r="Z388">
        <f>cleaneddata[[#This Row],[sales]]-cleaneddata[[#This Row],[Cost]]</f>
        <v>627.47750000000019</v>
      </c>
    </row>
    <row r="389" spans="1:26" x14ac:dyDescent="0.3">
      <c r="A389" t="s">
        <v>1150</v>
      </c>
      <c r="B389" s="1">
        <v>45999</v>
      </c>
      <c r="C389" t="s">
        <v>1151</v>
      </c>
      <c r="D389" t="s">
        <v>3362</v>
      </c>
      <c r="E389" s="1">
        <v>46001</v>
      </c>
      <c r="F389" t="s">
        <v>128</v>
      </c>
      <c r="G389" t="s">
        <v>98</v>
      </c>
      <c r="H389" t="s">
        <v>127</v>
      </c>
      <c r="I389" t="s">
        <v>2668</v>
      </c>
      <c r="J389" t="s">
        <v>2708</v>
      </c>
      <c r="K389" t="s">
        <v>52</v>
      </c>
      <c r="L389">
        <v>21</v>
      </c>
      <c r="M389">
        <v>1</v>
      </c>
      <c r="N389">
        <v>30</v>
      </c>
      <c r="O389" t="s">
        <v>1152</v>
      </c>
      <c r="P389" t="s">
        <v>33</v>
      </c>
      <c r="Q389" t="s">
        <v>42</v>
      </c>
      <c r="R389" t="s">
        <v>43</v>
      </c>
      <c r="S389" t="s">
        <v>129</v>
      </c>
      <c r="T389">
        <v>3</v>
      </c>
      <c r="U389">
        <v>724.84</v>
      </c>
      <c r="V389">
        <v>384.91</v>
      </c>
      <c r="W389">
        <v>2</v>
      </c>
      <c r="X389" t="str">
        <f>TEXT(cleaneddata[[#This Row],[Order Date]],"mmm")</f>
        <v>Dec</v>
      </c>
      <c r="Y389">
        <f>cleaneddata[[#This Row],[Unit Price]]*cleaneddata[[#This Row],[Quantity]]*(1-cleaneddata[[#This Row],[Discount %]]/100)</f>
        <v>507.38799999999998</v>
      </c>
      <c r="Z389">
        <f>cleaneddata[[#This Row],[sales]]-cleaneddata[[#This Row],[Cost]]</f>
        <v>122.47799999999995</v>
      </c>
    </row>
    <row r="390" spans="1:26" x14ac:dyDescent="0.3">
      <c r="A390" t="s">
        <v>1153</v>
      </c>
      <c r="B390" s="1">
        <v>45660</v>
      </c>
      <c r="C390" t="s">
        <v>1154</v>
      </c>
      <c r="D390" t="s">
        <v>3361</v>
      </c>
      <c r="E390" s="1">
        <v>45665</v>
      </c>
      <c r="F390" t="s">
        <v>140</v>
      </c>
      <c r="G390" t="s">
        <v>38</v>
      </c>
      <c r="H390" t="s">
        <v>139</v>
      </c>
      <c r="I390" t="s">
        <v>2629</v>
      </c>
      <c r="J390" t="s">
        <v>2709</v>
      </c>
      <c r="K390" t="s">
        <v>25</v>
      </c>
      <c r="L390">
        <v>33</v>
      </c>
      <c r="M390">
        <v>5</v>
      </c>
      <c r="N390">
        <v>30</v>
      </c>
      <c r="O390" t="s">
        <v>1155</v>
      </c>
      <c r="P390" t="s">
        <v>33</v>
      </c>
      <c r="Q390" t="s">
        <v>42</v>
      </c>
      <c r="R390" t="s">
        <v>71</v>
      </c>
      <c r="S390" t="s">
        <v>141</v>
      </c>
      <c r="T390">
        <v>3</v>
      </c>
      <c r="U390">
        <v>413.27</v>
      </c>
      <c r="V390">
        <v>779.09</v>
      </c>
      <c r="W390">
        <v>5</v>
      </c>
      <c r="X390" t="str">
        <f>TEXT(cleaneddata[[#This Row],[Order Date]],"mmm")</f>
        <v>Jan</v>
      </c>
      <c r="Y390">
        <f>cleaneddata[[#This Row],[Unit Price]]*cleaneddata[[#This Row],[Quantity]]*(1-cleaneddata[[#This Row],[Discount %]]/100)</f>
        <v>1446.4449999999999</v>
      </c>
      <c r="Z390">
        <f>cleaneddata[[#This Row],[sales]]-cleaneddata[[#This Row],[Cost]]</f>
        <v>667.3549999999999</v>
      </c>
    </row>
    <row r="391" spans="1:26" x14ac:dyDescent="0.3">
      <c r="A391" t="s">
        <v>1156</v>
      </c>
      <c r="B391" s="1">
        <v>45944</v>
      </c>
      <c r="C391" t="s">
        <v>1157</v>
      </c>
      <c r="D391" t="s">
        <v>3360</v>
      </c>
      <c r="E391" s="1">
        <v>45950</v>
      </c>
      <c r="F391" t="s">
        <v>68</v>
      </c>
      <c r="G391" t="s">
        <v>66</v>
      </c>
      <c r="H391" t="s">
        <v>67</v>
      </c>
      <c r="I391" t="s">
        <v>2663</v>
      </c>
      <c r="J391" t="s">
        <v>2664</v>
      </c>
      <c r="K391" t="s">
        <v>25</v>
      </c>
      <c r="L391">
        <v>58</v>
      </c>
      <c r="M391">
        <v>2</v>
      </c>
      <c r="N391">
        <v>0</v>
      </c>
      <c r="O391" t="s">
        <v>1158</v>
      </c>
      <c r="P391" t="s">
        <v>44</v>
      </c>
      <c r="Q391" t="s">
        <v>70</v>
      </c>
      <c r="R391" t="s">
        <v>43</v>
      </c>
      <c r="S391" t="s">
        <v>69</v>
      </c>
      <c r="T391">
        <v>1</v>
      </c>
      <c r="U391">
        <v>413.63</v>
      </c>
      <c r="V391">
        <v>494.42</v>
      </c>
      <c r="W391">
        <v>6</v>
      </c>
      <c r="X391" t="str">
        <f>TEXT(cleaneddata[[#This Row],[Order Date]],"mmm")</f>
        <v>Oct</v>
      </c>
      <c r="Y391">
        <f>cleaneddata[[#This Row],[Unit Price]]*cleaneddata[[#This Row],[Quantity]]*(1-cleaneddata[[#This Row],[Discount %]]/100)</f>
        <v>827.26</v>
      </c>
      <c r="Z391">
        <f>cleaneddata[[#This Row],[sales]]-cleaneddata[[#This Row],[Cost]]</f>
        <v>332.84</v>
      </c>
    </row>
    <row r="392" spans="1:26" x14ac:dyDescent="0.3">
      <c r="A392" t="s">
        <v>1159</v>
      </c>
      <c r="B392" s="1">
        <v>46074</v>
      </c>
      <c r="C392" t="s">
        <v>1160</v>
      </c>
      <c r="D392" t="s">
        <v>3359</v>
      </c>
      <c r="E392" s="1">
        <v>46077</v>
      </c>
      <c r="F392" t="s">
        <v>122</v>
      </c>
      <c r="G392" t="s">
        <v>120</v>
      </c>
      <c r="H392" t="s">
        <v>121</v>
      </c>
      <c r="I392" t="s">
        <v>2622</v>
      </c>
      <c r="J392" t="s">
        <v>2622</v>
      </c>
      <c r="K392" t="s">
        <v>52</v>
      </c>
      <c r="L392">
        <v>65</v>
      </c>
      <c r="M392">
        <v>2</v>
      </c>
      <c r="N392">
        <v>5</v>
      </c>
      <c r="O392" t="s">
        <v>1161</v>
      </c>
      <c r="P392" t="s">
        <v>33</v>
      </c>
      <c r="Q392" t="s">
        <v>42</v>
      </c>
      <c r="R392" t="s">
        <v>71</v>
      </c>
      <c r="S392" t="s">
        <v>123</v>
      </c>
      <c r="T392">
        <v>1</v>
      </c>
      <c r="U392">
        <v>848.3</v>
      </c>
      <c r="V392">
        <v>1326.02</v>
      </c>
      <c r="W392">
        <v>3</v>
      </c>
      <c r="X392" t="str">
        <f>TEXT(cleaneddata[[#This Row],[Order Date]],"mmm")</f>
        <v>Feb</v>
      </c>
      <c r="Y392">
        <f>cleaneddata[[#This Row],[Unit Price]]*cleaneddata[[#This Row],[Quantity]]*(1-cleaneddata[[#This Row],[Discount %]]/100)</f>
        <v>1611.7699999999998</v>
      </c>
      <c r="Z392">
        <f>cleaneddata[[#This Row],[sales]]-cleaneddata[[#This Row],[Cost]]</f>
        <v>285.74999999999977</v>
      </c>
    </row>
    <row r="393" spans="1:26" x14ac:dyDescent="0.3">
      <c r="A393" t="s">
        <v>1162</v>
      </c>
      <c r="B393" s="1">
        <v>45736</v>
      </c>
      <c r="C393" t="s">
        <v>1163</v>
      </c>
      <c r="D393" t="s">
        <v>3358</v>
      </c>
      <c r="E393" s="1">
        <v>45742</v>
      </c>
      <c r="F393" t="s">
        <v>122</v>
      </c>
      <c r="G393" t="s">
        <v>120</v>
      </c>
      <c r="H393" t="s">
        <v>121</v>
      </c>
      <c r="I393" t="s">
        <v>2625</v>
      </c>
      <c r="J393" t="s">
        <v>2703</v>
      </c>
      <c r="K393" t="s">
        <v>52</v>
      </c>
      <c r="L393">
        <v>35</v>
      </c>
      <c r="M393">
        <v>5</v>
      </c>
      <c r="N393">
        <v>25</v>
      </c>
      <c r="O393" t="s">
        <v>1164</v>
      </c>
      <c r="P393" t="s">
        <v>44</v>
      </c>
      <c r="Q393" t="s">
        <v>31</v>
      </c>
      <c r="R393" t="s">
        <v>71</v>
      </c>
      <c r="S393" t="s">
        <v>123</v>
      </c>
      <c r="T393">
        <v>1</v>
      </c>
      <c r="U393">
        <v>802</v>
      </c>
      <c r="V393">
        <v>1859.31</v>
      </c>
      <c r="W393">
        <v>6</v>
      </c>
      <c r="X393" t="str">
        <f>TEXT(cleaneddata[[#This Row],[Order Date]],"mmm")</f>
        <v>Mar</v>
      </c>
      <c r="Y393">
        <f>cleaneddata[[#This Row],[Unit Price]]*cleaneddata[[#This Row],[Quantity]]*(1-cleaneddata[[#This Row],[Discount %]]/100)</f>
        <v>3007.5</v>
      </c>
      <c r="Z393">
        <f>cleaneddata[[#This Row],[sales]]-cleaneddata[[#This Row],[Cost]]</f>
        <v>1148.19</v>
      </c>
    </row>
    <row r="394" spans="1:26" x14ac:dyDescent="0.3">
      <c r="A394" t="s">
        <v>1165</v>
      </c>
      <c r="B394" s="1">
        <v>45559</v>
      </c>
      <c r="C394" t="s">
        <v>1166</v>
      </c>
      <c r="D394" t="s">
        <v>3357</v>
      </c>
      <c r="E394" s="1">
        <v>45560</v>
      </c>
      <c r="F394" t="s">
        <v>40</v>
      </c>
      <c r="G394" t="s">
        <v>38</v>
      </c>
      <c r="H394" t="s">
        <v>39</v>
      </c>
      <c r="I394" t="s">
        <v>2635</v>
      </c>
      <c r="J394" t="s">
        <v>2643</v>
      </c>
      <c r="K394" t="s">
        <v>52</v>
      </c>
      <c r="L394">
        <v>51</v>
      </c>
      <c r="M394">
        <v>3</v>
      </c>
      <c r="N394">
        <v>30</v>
      </c>
      <c r="O394" t="s">
        <v>1167</v>
      </c>
      <c r="P394" t="s">
        <v>44</v>
      </c>
      <c r="Q394" t="s">
        <v>117</v>
      </c>
      <c r="R394" t="s">
        <v>43</v>
      </c>
      <c r="S394" t="s">
        <v>41</v>
      </c>
      <c r="T394">
        <v>4</v>
      </c>
      <c r="U394">
        <v>591.41</v>
      </c>
      <c r="V394">
        <v>796.32</v>
      </c>
      <c r="W394">
        <v>1</v>
      </c>
      <c r="X394" t="str">
        <f>TEXT(cleaneddata[[#This Row],[Order Date]],"mmm")</f>
        <v>Sep</v>
      </c>
      <c r="Y394">
        <f>cleaneddata[[#This Row],[Unit Price]]*cleaneddata[[#This Row],[Quantity]]*(1-cleaneddata[[#This Row],[Discount %]]/100)</f>
        <v>1241.961</v>
      </c>
      <c r="Z394">
        <f>cleaneddata[[#This Row],[sales]]-cleaneddata[[#This Row],[Cost]]</f>
        <v>445.64099999999996</v>
      </c>
    </row>
    <row r="395" spans="1:26" x14ac:dyDescent="0.3">
      <c r="A395" t="s">
        <v>1168</v>
      </c>
      <c r="B395" s="1">
        <v>45637</v>
      </c>
      <c r="C395" t="s">
        <v>1169</v>
      </c>
      <c r="D395" t="s">
        <v>3356</v>
      </c>
      <c r="E395" s="1">
        <v>45642</v>
      </c>
      <c r="F395" t="s">
        <v>115</v>
      </c>
      <c r="G395" t="s">
        <v>66</v>
      </c>
      <c r="H395" t="s">
        <v>114</v>
      </c>
      <c r="I395" t="s">
        <v>2623</v>
      </c>
      <c r="J395" t="s">
        <v>2624</v>
      </c>
      <c r="K395" t="s">
        <v>52</v>
      </c>
      <c r="L395">
        <v>46</v>
      </c>
      <c r="M395">
        <v>1</v>
      </c>
      <c r="N395">
        <v>25</v>
      </c>
      <c r="O395" t="s">
        <v>755</v>
      </c>
      <c r="P395" t="s">
        <v>75</v>
      </c>
      <c r="Q395" t="s">
        <v>117</v>
      </c>
      <c r="R395" t="s">
        <v>71</v>
      </c>
      <c r="S395" t="s">
        <v>116</v>
      </c>
      <c r="T395">
        <v>3</v>
      </c>
      <c r="U395">
        <v>878.04</v>
      </c>
      <c r="V395">
        <v>374.24</v>
      </c>
      <c r="W395">
        <v>5</v>
      </c>
      <c r="X395" t="str">
        <f>TEXT(cleaneddata[[#This Row],[Order Date]],"mmm")</f>
        <v>Dec</v>
      </c>
      <c r="Y395">
        <f>cleaneddata[[#This Row],[Unit Price]]*cleaneddata[[#This Row],[Quantity]]*(1-cleaneddata[[#This Row],[Discount %]]/100)</f>
        <v>658.53</v>
      </c>
      <c r="Z395">
        <f>cleaneddata[[#This Row],[sales]]-cleaneddata[[#This Row],[Cost]]</f>
        <v>284.28999999999996</v>
      </c>
    </row>
    <row r="396" spans="1:26" x14ac:dyDescent="0.3">
      <c r="A396" t="s">
        <v>1170</v>
      </c>
      <c r="B396" s="1">
        <v>45997</v>
      </c>
      <c r="C396" t="s">
        <v>1171</v>
      </c>
      <c r="D396" t="s">
        <v>3355</v>
      </c>
      <c r="E396" s="1">
        <v>45998</v>
      </c>
      <c r="F396" t="s">
        <v>56</v>
      </c>
      <c r="G396" t="s">
        <v>54</v>
      </c>
      <c r="H396" t="s">
        <v>55</v>
      </c>
      <c r="I396" t="s">
        <v>2665</v>
      </c>
      <c r="J396" t="s">
        <v>2719</v>
      </c>
      <c r="K396" t="s">
        <v>52</v>
      </c>
      <c r="L396">
        <v>31</v>
      </c>
      <c r="M396">
        <v>2</v>
      </c>
      <c r="N396">
        <v>25</v>
      </c>
      <c r="O396" t="s">
        <v>1172</v>
      </c>
      <c r="P396" t="s">
        <v>33</v>
      </c>
      <c r="Q396" t="s">
        <v>58</v>
      </c>
      <c r="R396" t="s">
        <v>32</v>
      </c>
      <c r="S396" t="s">
        <v>57</v>
      </c>
      <c r="T396">
        <v>5</v>
      </c>
      <c r="U396">
        <v>506.51</v>
      </c>
      <c r="V396">
        <v>485.27</v>
      </c>
      <c r="W396">
        <v>1</v>
      </c>
      <c r="X396" t="str">
        <f>TEXT(cleaneddata[[#This Row],[Order Date]],"mmm")</f>
        <v>Dec</v>
      </c>
      <c r="Y396">
        <f>cleaneddata[[#This Row],[Unit Price]]*cleaneddata[[#This Row],[Quantity]]*(1-cleaneddata[[#This Row],[Discount %]]/100)</f>
        <v>759.76499999999999</v>
      </c>
      <c r="Z396">
        <f>cleaneddata[[#This Row],[sales]]-cleaneddata[[#This Row],[Cost]]</f>
        <v>274.495</v>
      </c>
    </row>
    <row r="397" spans="1:26" x14ac:dyDescent="0.3">
      <c r="A397" t="s">
        <v>1173</v>
      </c>
      <c r="B397" s="1">
        <v>45725</v>
      </c>
      <c r="C397" t="s">
        <v>1174</v>
      </c>
      <c r="D397" t="s">
        <v>3354</v>
      </c>
      <c r="E397" s="1">
        <v>45732</v>
      </c>
      <c r="F397" t="s">
        <v>56</v>
      </c>
      <c r="G397" t="s">
        <v>54</v>
      </c>
      <c r="H397" t="s">
        <v>55</v>
      </c>
      <c r="I397" t="s">
        <v>2631</v>
      </c>
      <c r="J397" t="s">
        <v>2674</v>
      </c>
      <c r="K397" t="s">
        <v>25</v>
      </c>
      <c r="L397">
        <v>24</v>
      </c>
      <c r="M397">
        <v>3</v>
      </c>
      <c r="N397">
        <v>5</v>
      </c>
      <c r="O397" t="s">
        <v>1175</v>
      </c>
      <c r="P397" t="s">
        <v>44</v>
      </c>
      <c r="Q397" t="s">
        <v>70</v>
      </c>
      <c r="R397" t="s">
        <v>43</v>
      </c>
      <c r="S397" t="s">
        <v>57</v>
      </c>
      <c r="T397">
        <v>2</v>
      </c>
      <c r="U397">
        <v>573.71</v>
      </c>
      <c r="V397">
        <v>865.33</v>
      </c>
      <c r="W397">
        <v>7</v>
      </c>
      <c r="X397" t="str">
        <f>TEXT(cleaneddata[[#This Row],[Order Date]],"mmm")</f>
        <v>Mar</v>
      </c>
      <c r="Y397">
        <f>cleaneddata[[#This Row],[Unit Price]]*cleaneddata[[#This Row],[Quantity]]*(1-cleaneddata[[#This Row],[Discount %]]/100)</f>
        <v>1635.0735</v>
      </c>
      <c r="Z397">
        <f>cleaneddata[[#This Row],[sales]]-cleaneddata[[#This Row],[Cost]]</f>
        <v>769.74349999999993</v>
      </c>
    </row>
    <row r="398" spans="1:26" x14ac:dyDescent="0.3">
      <c r="A398" t="s">
        <v>1176</v>
      </c>
      <c r="B398" s="1">
        <v>45401</v>
      </c>
      <c r="C398" t="s">
        <v>1177</v>
      </c>
      <c r="D398" t="s">
        <v>3353</v>
      </c>
      <c r="E398" s="1">
        <v>45408</v>
      </c>
      <c r="F398" t="s">
        <v>40</v>
      </c>
      <c r="G398" t="s">
        <v>38</v>
      </c>
      <c r="H398" t="s">
        <v>39</v>
      </c>
      <c r="I398" t="s">
        <v>2625</v>
      </c>
      <c r="J398" t="s">
        <v>2703</v>
      </c>
      <c r="K398" t="s">
        <v>52</v>
      </c>
      <c r="L398">
        <v>65</v>
      </c>
      <c r="M398">
        <v>4</v>
      </c>
      <c r="N398">
        <v>5</v>
      </c>
      <c r="O398" t="s">
        <v>634</v>
      </c>
      <c r="P398" t="s">
        <v>33</v>
      </c>
      <c r="Q398" t="s">
        <v>31</v>
      </c>
      <c r="R398" t="s">
        <v>71</v>
      </c>
      <c r="S398" t="s">
        <v>41</v>
      </c>
      <c r="T398">
        <v>1</v>
      </c>
      <c r="U398">
        <v>28.67</v>
      </c>
      <c r="V398">
        <v>64.47</v>
      </c>
      <c r="W398">
        <v>7</v>
      </c>
      <c r="X398" t="str">
        <f>TEXT(cleaneddata[[#This Row],[Order Date]],"mmm")</f>
        <v>Apr</v>
      </c>
      <c r="Y398">
        <f>cleaneddata[[#This Row],[Unit Price]]*cleaneddata[[#This Row],[Quantity]]*(1-cleaneddata[[#This Row],[Discount %]]/100)</f>
        <v>108.946</v>
      </c>
      <c r="Z398">
        <f>cleaneddata[[#This Row],[sales]]-cleaneddata[[#This Row],[Cost]]</f>
        <v>44.475999999999999</v>
      </c>
    </row>
    <row r="399" spans="1:26" x14ac:dyDescent="0.3">
      <c r="A399" t="s">
        <v>1178</v>
      </c>
      <c r="B399" s="1">
        <v>45409</v>
      </c>
      <c r="C399" t="s">
        <v>1179</v>
      </c>
      <c r="D399" t="s">
        <v>3352</v>
      </c>
      <c r="E399" s="1">
        <v>45412</v>
      </c>
      <c r="F399" t="s">
        <v>29</v>
      </c>
      <c r="G399" t="s">
        <v>27</v>
      </c>
      <c r="H399" t="s">
        <v>28</v>
      </c>
      <c r="I399" t="s">
        <v>2625</v>
      </c>
      <c r="J399" t="s">
        <v>2703</v>
      </c>
      <c r="K399" t="s">
        <v>25</v>
      </c>
      <c r="L399">
        <v>18</v>
      </c>
      <c r="M399">
        <v>4</v>
      </c>
      <c r="N399">
        <v>20</v>
      </c>
      <c r="O399" t="s">
        <v>1180</v>
      </c>
      <c r="P399" t="s">
        <v>33</v>
      </c>
      <c r="Q399" t="s">
        <v>42</v>
      </c>
      <c r="R399" t="s">
        <v>71</v>
      </c>
      <c r="S399" t="s">
        <v>30</v>
      </c>
      <c r="T399">
        <v>5</v>
      </c>
      <c r="U399">
        <v>133.53</v>
      </c>
      <c r="V399">
        <v>324.86</v>
      </c>
      <c r="W399">
        <v>3</v>
      </c>
      <c r="X399" t="str">
        <f>TEXT(cleaneddata[[#This Row],[Order Date]],"mmm")</f>
        <v>Apr</v>
      </c>
      <c r="Y399">
        <f>cleaneddata[[#This Row],[Unit Price]]*cleaneddata[[#This Row],[Quantity]]*(1-cleaneddata[[#This Row],[Discount %]]/100)</f>
        <v>427.29600000000005</v>
      </c>
      <c r="Z399">
        <f>cleaneddata[[#This Row],[sales]]-cleaneddata[[#This Row],[Cost]]</f>
        <v>102.43600000000004</v>
      </c>
    </row>
    <row r="400" spans="1:26" x14ac:dyDescent="0.3">
      <c r="A400" t="s">
        <v>1181</v>
      </c>
      <c r="B400" s="1">
        <v>45374</v>
      </c>
      <c r="C400" t="s">
        <v>1182</v>
      </c>
      <c r="D400" t="s">
        <v>3351</v>
      </c>
      <c r="E400" s="1">
        <v>45375</v>
      </c>
      <c r="F400" t="s">
        <v>56</v>
      </c>
      <c r="G400" t="s">
        <v>54</v>
      </c>
      <c r="H400" t="s">
        <v>55</v>
      </c>
      <c r="I400" t="s">
        <v>2641</v>
      </c>
      <c r="J400" t="s">
        <v>2642</v>
      </c>
      <c r="K400" t="s">
        <v>25</v>
      </c>
      <c r="L400">
        <v>55</v>
      </c>
      <c r="M400">
        <v>2</v>
      </c>
      <c r="N400">
        <v>10</v>
      </c>
      <c r="O400" t="s">
        <v>1183</v>
      </c>
      <c r="P400" t="s">
        <v>33</v>
      </c>
      <c r="Q400" t="s">
        <v>31</v>
      </c>
      <c r="R400" t="s">
        <v>32</v>
      </c>
      <c r="S400" t="s">
        <v>57</v>
      </c>
      <c r="T400">
        <v>1</v>
      </c>
      <c r="U400">
        <v>614.16999999999996</v>
      </c>
      <c r="V400">
        <v>655.77</v>
      </c>
      <c r="W400">
        <v>1</v>
      </c>
      <c r="X400" t="str">
        <f>TEXT(cleaneddata[[#This Row],[Order Date]],"mmm")</f>
        <v>Mar</v>
      </c>
      <c r="Y400">
        <f>cleaneddata[[#This Row],[Unit Price]]*cleaneddata[[#This Row],[Quantity]]*(1-cleaneddata[[#This Row],[Discount %]]/100)</f>
        <v>1105.5059999999999</v>
      </c>
      <c r="Z400">
        <f>cleaneddata[[#This Row],[sales]]-cleaneddata[[#This Row],[Cost]]</f>
        <v>449.73599999999988</v>
      </c>
    </row>
    <row r="401" spans="1:26" x14ac:dyDescent="0.3">
      <c r="A401" t="s">
        <v>1184</v>
      </c>
      <c r="B401" s="1">
        <v>45639</v>
      </c>
      <c r="C401" t="s">
        <v>134</v>
      </c>
      <c r="D401" t="s">
        <v>3350</v>
      </c>
      <c r="E401" s="1">
        <v>45643</v>
      </c>
      <c r="F401" t="s">
        <v>100</v>
      </c>
      <c r="G401" t="s">
        <v>98</v>
      </c>
      <c r="H401" t="s">
        <v>99</v>
      </c>
      <c r="I401" t="s">
        <v>2622</v>
      </c>
      <c r="J401" t="s">
        <v>2704</v>
      </c>
      <c r="K401" t="s">
        <v>52</v>
      </c>
      <c r="L401">
        <v>36</v>
      </c>
      <c r="M401">
        <v>5</v>
      </c>
      <c r="N401">
        <v>20</v>
      </c>
      <c r="O401" t="s">
        <v>1185</v>
      </c>
      <c r="P401" t="s">
        <v>33</v>
      </c>
      <c r="Q401" t="s">
        <v>70</v>
      </c>
      <c r="R401" t="s">
        <v>62</v>
      </c>
      <c r="S401" t="s">
        <v>101</v>
      </c>
      <c r="T401">
        <v>2</v>
      </c>
      <c r="U401">
        <v>358.06</v>
      </c>
      <c r="V401">
        <v>938.22</v>
      </c>
      <c r="W401">
        <v>4</v>
      </c>
      <c r="X401" t="str">
        <f>TEXT(cleaneddata[[#This Row],[Order Date]],"mmm")</f>
        <v>Dec</v>
      </c>
      <c r="Y401">
        <f>cleaneddata[[#This Row],[Unit Price]]*cleaneddata[[#This Row],[Quantity]]*(1-cleaneddata[[#This Row],[Discount %]]/100)</f>
        <v>1432.24</v>
      </c>
      <c r="Z401">
        <f>cleaneddata[[#This Row],[sales]]-cleaneddata[[#This Row],[Cost]]</f>
        <v>494.02</v>
      </c>
    </row>
    <row r="402" spans="1:26" x14ac:dyDescent="0.3">
      <c r="A402" t="s">
        <v>1186</v>
      </c>
      <c r="B402" s="1">
        <v>45310</v>
      </c>
      <c r="C402" t="s">
        <v>1187</v>
      </c>
      <c r="D402" t="s">
        <v>3349</v>
      </c>
      <c r="E402" s="1">
        <v>45316</v>
      </c>
      <c r="F402" t="s">
        <v>140</v>
      </c>
      <c r="G402" t="s">
        <v>38</v>
      </c>
      <c r="H402" t="s">
        <v>139</v>
      </c>
      <c r="I402" t="s">
        <v>2663</v>
      </c>
      <c r="J402" t="s">
        <v>2670</v>
      </c>
      <c r="K402" t="s">
        <v>52</v>
      </c>
      <c r="L402">
        <v>24</v>
      </c>
      <c r="M402">
        <v>5</v>
      </c>
      <c r="N402">
        <v>20</v>
      </c>
      <c r="O402" t="s">
        <v>1188</v>
      </c>
      <c r="P402" t="s">
        <v>33</v>
      </c>
      <c r="Q402" t="s">
        <v>42</v>
      </c>
      <c r="R402" t="s">
        <v>32</v>
      </c>
      <c r="S402" t="s">
        <v>141</v>
      </c>
      <c r="T402">
        <v>5</v>
      </c>
      <c r="U402">
        <v>218.55</v>
      </c>
      <c r="V402">
        <v>658.03</v>
      </c>
      <c r="W402">
        <v>6</v>
      </c>
      <c r="X402" t="str">
        <f>TEXT(cleaneddata[[#This Row],[Order Date]],"mmm")</f>
        <v>Jan</v>
      </c>
      <c r="Y402">
        <f>cleaneddata[[#This Row],[Unit Price]]*cleaneddata[[#This Row],[Quantity]]*(1-cleaneddata[[#This Row],[Discount %]]/100)</f>
        <v>874.2</v>
      </c>
      <c r="Z402">
        <f>cleaneddata[[#This Row],[sales]]-cleaneddata[[#This Row],[Cost]]</f>
        <v>216.17000000000007</v>
      </c>
    </row>
    <row r="403" spans="1:26" x14ac:dyDescent="0.3">
      <c r="A403" t="s">
        <v>1189</v>
      </c>
      <c r="B403" s="1">
        <v>45513</v>
      </c>
      <c r="C403" t="s">
        <v>1190</v>
      </c>
      <c r="D403" t="s">
        <v>3348</v>
      </c>
      <c r="E403" s="1">
        <v>45516</v>
      </c>
      <c r="F403" t="s">
        <v>56</v>
      </c>
      <c r="G403" t="s">
        <v>54</v>
      </c>
      <c r="H403" t="s">
        <v>55</v>
      </c>
      <c r="I403" t="s">
        <v>2661</v>
      </c>
      <c r="J403" t="s">
        <v>2671</v>
      </c>
      <c r="K403" t="s">
        <v>52</v>
      </c>
      <c r="L403">
        <v>61</v>
      </c>
      <c r="M403">
        <v>2</v>
      </c>
      <c r="N403">
        <v>10</v>
      </c>
      <c r="O403" t="s">
        <v>889</v>
      </c>
      <c r="P403" t="s">
        <v>44</v>
      </c>
      <c r="Q403" t="s">
        <v>58</v>
      </c>
      <c r="R403" t="s">
        <v>32</v>
      </c>
      <c r="S403" t="s">
        <v>57</v>
      </c>
      <c r="T403">
        <v>1</v>
      </c>
      <c r="U403">
        <v>533</v>
      </c>
      <c r="V403">
        <v>698.24</v>
      </c>
      <c r="W403">
        <v>3</v>
      </c>
      <c r="X403" t="str">
        <f>TEXT(cleaneddata[[#This Row],[Order Date]],"mmm")</f>
        <v>Aug</v>
      </c>
      <c r="Y403">
        <f>cleaneddata[[#This Row],[Unit Price]]*cleaneddata[[#This Row],[Quantity]]*(1-cleaneddata[[#This Row],[Discount %]]/100)</f>
        <v>959.4</v>
      </c>
      <c r="Z403">
        <f>cleaneddata[[#This Row],[sales]]-cleaneddata[[#This Row],[Cost]]</f>
        <v>261.15999999999997</v>
      </c>
    </row>
    <row r="404" spans="1:26" x14ac:dyDescent="0.3">
      <c r="A404" t="s">
        <v>1191</v>
      </c>
      <c r="B404" s="1">
        <v>45460</v>
      </c>
      <c r="C404" t="s">
        <v>1192</v>
      </c>
      <c r="D404" t="s">
        <v>3347</v>
      </c>
      <c r="E404" s="1">
        <v>45465</v>
      </c>
      <c r="F404" t="s">
        <v>68</v>
      </c>
      <c r="G404" t="s">
        <v>66</v>
      </c>
      <c r="H404" t="s">
        <v>67</v>
      </c>
      <c r="I404" t="s">
        <v>2634</v>
      </c>
      <c r="J404" t="s">
        <v>2644</v>
      </c>
      <c r="K404" t="s">
        <v>25</v>
      </c>
      <c r="L404">
        <v>31</v>
      </c>
      <c r="M404">
        <v>5</v>
      </c>
      <c r="N404">
        <v>0</v>
      </c>
      <c r="O404" t="s">
        <v>1193</v>
      </c>
      <c r="P404" t="s">
        <v>44</v>
      </c>
      <c r="Q404" t="s">
        <v>31</v>
      </c>
      <c r="R404" t="s">
        <v>71</v>
      </c>
      <c r="S404" t="s">
        <v>69</v>
      </c>
      <c r="T404">
        <v>2</v>
      </c>
      <c r="U404">
        <v>695.67</v>
      </c>
      <c r="V404">
        <v>2078.62</v>
      </c>
      <c r="W404">
        <v>5</v>
      </c>
      <c r="X404" t="str">
        <f>TEXT(cleaneddata[[#This Row],[Order Date]],"mmm")</f>
        <v>Jun</v>
      </c>
      <c r="Y404">
        <f>cleaneddata[[#This Row],[Unit Price]]*cleaneddata[[#This Row],[Quantity]]*(1-cleaneddata[[#This Row],[Discount %]]/100)</f>
        <v>3478.35</v>
      </c>
      <c r="Z404">
        <f>cleaneddata[[#This Row],[sales]]-cleaneddata[[#This Row],[Cost]]</f>
        <v>1399.73</v>
      </c>
    </row>
    <row r="405" spans="1:26" x14ac:dyDescent="0.3">
      <c r="A405" t="s">
        <v>1194</v>
      </c>
      <c r="B405" s="1">
        <v>45728</v>
      </c>
      <c r="C405" t="s">
        <v>1195</v>
      </c>
      <c r="D405" t="s">
        <v>3346</v>
      </c>
      <c r="E405" s="1">
        <v>45734</v>
      </c>
      <c r="F405" t="s">
        <v>56</v>
      </c>
      <c r="G405" t="s">
        <v>54</v>
      </c>
      <c r="H405" t="s">
        <v>55</v>
      </c>
      <c r="I405" t="s">
        <v>2622</v>
      </c>
      <c r="J405" t="s">
        <v>2704</v>
      </c>
      <c r="K405" t="s">
        <v>52</v>
      </c>
      <c r="L405">
        <v>41</v>
      </c>
      <c r="M405">
        <v>4</v>
      </c>
      <c r="N405">
        <v>5</v>
      </c>
      <c r="O405" t="s">
        <v>1196</v>
      </c>
      <c r="P405" t="s">
        <v>75</v>
      </c>
      <c r="Q405" t="s">
        <v>70</v>
      </c>
      <c r="R405" t="s">
        <v>32</v>
      </c>
      <c r="S405" t="s">
        <v>57</v>
      </c>
      <c r="T405">
        <v>3</v>
      </c>
      <c r="U405">
        <v>447.95</v>
      </c>
      <c r="V405">
        <v>1388.66</v>
      </c>
      <c r="W405">
        <v>6</v>
      </c>
      <c r="X405" t="str">
        <f>TEXT(cleaneddata[[#This Row],[Order Date]],"mmm")</f>
        <v>Mar</v>
      </c>
      <c r="Y405">
        <f>cleaneddata[[#This Row],[Unit Price]]*cleaneddata[[#This Row],[Quantity]]*(1-cleaneddata[[#This Row],[Discount %]]/100)</f>
        <v>1702.2099999999998</v>
      </c>
      <c r="Z405">
        <f>cleaneddata[[#This Row],[sales]]-cleaneddata[[#This Row],[Cost]]</f>
        <v>313.54999999999973</v>
      </c>
    </row>
    <row r="406" spans="1:26" x14ac:dyDescent="0.3">
      <c r="A406" t="s">
        <v>1197</v>
      </c>
      <c r="B406" s="1">
        <v>45514</v>
      </c>
      <c r="C406" t="s">
        <v>1198</v>
      </c>
      <c r="D406" t="s">
        <v>3345</v>
      </c>
      <c r="E406" s="1">
        <v>45519</v>
      </c>
      <c r="F406" t="s">
        <v>29</v>
      </c>
      <c r="G406" t="s">
        <v>27</v>
      </c>
      <c r="H406" t="s">
        <v>28</v>
      </c>
      <c r="I406" t="s">
        <v>2665</v>
      </c>
      <c r="J406" t="s">
        <v>2666</v>
      </c>
      <c r="K406" t="s">
        <v>25</v>
      </c>
      <c r="L406">
        <v>43</v>
      </c>
      <c r="M406">
        <v>4</v>
      </c>
      <c r="N406">
        <v>10</v>
      </c>
      <c r="O406" t="s">
        <v>217</v>
      </c>
      <c r="P406" t="s">
        <v>44</v>
      </c>
      <c r="Q406" t="s">
        <v>31</v>
      </c>
      <c r="R406" t="s">
        <v>32</v>
      </c>
      <c r="S406" t="s">
        <v>30</v>
      </c>
      <c r="T406">
        <v>1</v>
      </c>
      <c r="U406">
        <v>242.47</v>
      </c>
      <c r="V406">
        <v>511.92</v>
      </c>
      <c r="W406">
        <v>5</v>
      </c>
      <c r="X406" t="str">
        <f>TEXT(cleaneddata[[#This Row],[Order Date]],"mmm")</f>
        <v>Aug</v>
      </c>
      <c r="Y406">
        <f>cleaneddata[[#This Row],[Unit Price]]*cleaneddata[[#This Row],[Quantity]]*(1-cleaneddata[[#This Row],[Discount %]]/100)</f>
        <v>872.89200000000005</v>
      </c>
      <c r="Z406">
        <f>cleaneddata[[#This Row],[sales]]-cleaneddata[[#This Row],[Cost]]</f>
        <v>360.97200000000004</v>
      </c>
    </row>
    <row r="407" spans="1:26" x14ac:dyDescent="0.3">
      <c r="A407" t="s">
        <v>1199</v>
      </c>
      <c r="B407" s="1">
        <v>45658</v>
      </c>
      <c r="C407" t="s">
        <v>1200</v>
      </c>
      <c r="D407" t="s">
        <v>3344</v>
      </c>
      <c r="E407" s="1">
        <v>45659</v>
      </c>
      <c r="F407" t="s">
        <v>140</v>
      </c>
      <c r="G407" t="s">
        <v>38</v>
      </c>
      <c r="H407" t="s">
        <v>139</v>
      </c>
      <c r="I407" t="s">
        <v>2629</v>
      </c>
      <c r="J407" t="s">
        <v>2689</v>
      </c>
      <c r="K407" t="s">
        <v>25</v>
      </c>
      <c r="L407">
        <v>47</v>
      </c>
      <c r="M407">
        <v>1</v>
      </c>
      <c r="N407">
        <v>0</v>
      </c>
      <c r="O407" t="s">
        <v>1201</v>
      </c>
      <c r="P407" t="s">
        <v>75</v>
      </c>
      <c r="Q407" t="s">
        <v>58</v>
      </c>
      <c r="R407" t="s">
        <v>62</v>
      </c>
      <c r="S407" t="s">
        <v>141</v>
      </c>
      <c r="T407">
        <v>4</v>
      </c>
      <c r="U407">
        <v>240.8</v>
      </c>
      <c r="V407">
        <v>139.88999999999999</v>
      </c>
      <c r="W407">
        <v>1</v>
      </c>
      <c r="X407" t="str">
        <f>TEXT(cleaneddata[[#This Row],[Order Date]],"mmm")</f>
        <v>Jan</v>
      </c>
      <c r="Y407">
        <f>cleaneddata[[#This Row],[Unit Price]]*cleaneddata[[#This Row],[Quantity]]*(1-cleaneddata[[#This Row],[Discount %]]/100)</f>
        <v>240.8</v>
      </c>
      <c r="Z407">
        <f>cleaneddata[[#This Row],[sales]]-cleaneddata[[#This Row],[Cost]]</f>
        <v>100.91000000000003</v>
      </c>
    </row>
    <row r="408" spans="1:26" x14ac:dyDescent="0.3">
      <c r="A408" t="s">
        <v>1202</v>
      </c>
      <c r="B408" s="1">
        <v>45846</v>
      </c>
      <c r="C408" t="s">
        <v>1203</v>
      </c>
      <c r="D408" t="s">
        <v>3343</v>
      </c>
      <c r="E408" s="1">
        <v>45851</v>
      </c>
      <c r="F408" t="s">
        <v>29</v>
      </c>
      <c r="G408" t="s">
        <v>27</v>
      </c>
      <c r="H408" t="s">
        <v>28</v>
      </c>
      <c r="I408" t="s">
        <v>2668</v>
      </c>
      <c r="J408" t="s">
        <v>2669</v>
      </c>
      <c r="K408" t="s">
        <v>52</v>
      </c>
      <c r="L408">
        <v>27</v>
      </c>
      <c r="M408">
        <v>1</v>
      </c>
      <c r="N408">
        <v>0</v>
      </c>
      <c r="O408" t="s">
        <v>207</v>
      </c>
      <c r="P408" t="s">
        <v>75</v>
      </c>
      <c r="Q408" t="s">
        <v>42</v>
      </c>
      <c r="R408" t="s">
        <v>32</v>
      </c>
      <c r="S408" t="s">
        <v>30</v>
      </c>
      <c r="T408">
        <v>3</v>
      </c>
      <c r="U408">
        <v>297.97000000000003</v>
      </c>
      <c r="V408">
        <v>193.77</v>
      </c>
      <c r="W408">
        <v>5</v>
      </c>
      <c r="X408" t="str">
        <f>TEXT(cleaneddata[[#This Row],[Order Date]],"mmm")</f>
        <v>Jul</v>
      </c>
      <c r="Y408">
        <f>cleaneddata[[#This Row],[Unit Price]]*cleaneddata[[#This Row],[Quantity]]*(1-cleaneddata[[#This Row],[Discount %]]/100)</f>
        <v>297.97000000000003</v>
      </c>
      <c r="Z408">
        <f>cleaneddata[[#This Row],[sales]]-cleaneddata[[#This Row],[Cost]]</f>
        <v>104.20000000000002</v>
      </c>
    </row>
    <row r="409" spans="1:26" x14ac:dyDescent="0.3">
      <c r="A409" t="s">
        <v>1204</v>
      </c>
      <c r="B409" s="1">
        <v>45648</v>
      </c>
      <c r="C409" t="s">
        <v>1205</v>
      </c>
      <c r="D409" t="s">
        <v>3342</v>
      </c>
      <c r="E409" s="1">
        <v>45649</v>
      </c>
      <c r="F409" t="s">
        <v>122</v>
      </c>
      <c r="G409" t="s">
        <v>120</v>
      </c>
      <c r="H409" t="s">
        <v>121</v>
      </c>
      <c r="I409" t="s">
        <v>2629</v>
      </c>
      <c r="J409" t="s">
        <v>2689</v>
      </c>
      <c r="K409" t="s">
        <v>52</v>
      </c>
      <c r="L409">
        <v>59</v>
      </c>
      <c r="M409">
        <v>4</v>
      </c>
      <c r="N409">
        <v>20</v>
      </c>
      <c r="O409" t="s">
        <v>1206</v>
      </c>
      <c r="P409" t="s">
        <v>33</v>
      </c>
      <c r="Q409" t="s">
        <v>117</v>
      </c>
      <c r="R409" t="s">
        <v>62</v>
      </c>
      <c r="S409" t="s">
        <v>123</v>
      </c>
      <c r="T409">
        <v>4</v>
      </c>
      <c r="U409">
        <v>497.17</v>
      </c>
      <c r="V409">
        <v>1326.17</v>
      </c>
      <c r="W409">
        <v>1</v>
      </c>
      <c r="X409" t="str">
        <f>TEXT(cleaneddata[[#This Row],[Order Date]],"mmm")</f>
        <v>Dec</v>
      </c>
      <c r="Y409">
        <f>cleaneddata[[#This Row],[Unit Price]]*cleaneddata[[#This Row],[Quantity]]*(1-cleaneddata[[#This Row],[Discount %]]/100)</f>
        <v>1590.9440000000002</v>
      </c>
      <c r="Z409">
        <f>cleaneddata[[#This Row],[sales]]-cleaneddata[[#This Row],[Cost]]</f>
        <v>264.77400000000011</v>
      </c>
    </row>
    <row r="410" spans="1:26" x14ac:dyDescent="0.3">
      <c r="A410" t="s">
        <v>1207</v>
      </c>
      <c r="B410" s="1">
        <v>45928</v>
      </c>
      <c r="C410" t="s">
        <v>1208</v>
      </c>
      <c r="D410" t="s">
        <v>3341</v>
      </c>
      <c r="E410" s="1">
        <v>45933</v>
      </c>
      <c r="F410" t="s">
        <v>29</v>
      </c>
      <c r="G410" t="s">
        <v>27</v>
      </c>
      <c r="H410" t="s">
        <v>28</v>
      </c>
      <c r="I410" t="s">
        <v>2625</v>
      </c>
      <c r="J410" t="s">
        <v>2651</v>
      </c>
      <c r="K410" t="s">
        <v>52</v>
      </c>
      <c r="L410">
        <v>39</v>
      </c>
      <c r="M410">
        <v>3</v>
      </c>
      <c r="N410">
        <v>10</v>
      </c>
      <c r="O410" t="s">
        <v>1209</v>
      </c>
      <c r="P410" t="s">
        <v>44</v>
      </c>
      <c r="Q410" t="s">
        <v>117</v>
      </c>
      <c r="R410" t="s">
        <v>62</v>
      </c>
      <c r="S410" t="s">
        <v>30</v>
      </c>
      <c r="T410">
        <v>5</v>
      </c>
      <c r="U410">
        <v>20.37</v>
      </c>
      <c r="V410">
        <v>37.86</v>
      </c>
      <c r="W410">
        <v>5</v>
      </c>
      <c r="X410" t="str">
        <f>TEXT(cleaneddata[[#This Row],[Order Date]],"mmm")</f>
        <v>Sep</v>
      </c>
      <c r="Y410">
        <f>cleaneddata[[#This Row],[Unit Price]]*cleaneddata[[#This Row],[Quantity]]*(1-cleaneddata[[#This Row],[Discount %]]/100)</f>
        <v>54.999000000000002</v>
      </c>
      <c r="Z410">
        <f>cleaneddata[[#This Row],[sales]]-cleaneddata[[#This Row],[Cost]]</f>
        <v>17.139000000000003</v>
      </c>
    </row>
    <row r="411" spans="1:26" x14ac:dyDescent="0.3">
      <c r="A411" t="s">
        <v>1210</v>
      </c>
      <c r="B411" s="1">
        <v>45959</v>
      </c>
      <c r="C411" t="s">
        <v>1211</v>
      </c>
      <c r="D411" t="s">
        <v>3340</v>
      </c>
      <c r="E411" s="1">
        <v>45966</v>
      </c>
      <c r="F411" t="s">
        <v>29</v>
      </c>
      <c r="G411" t="s">
        <v>27</v>
      </c>
      <c r="H411" t="s">
        <v>28</v>
      </c>
      <c r="I411" t="s">
        <v>2634</v>
      </c>
      <c r="J411" t="s">
        <v>2650</v>
      </c>
      <c r="K411" t="s">
        <v>52</v>
      </c>
      <c r="L411">
        <v>32</v>
      </c>
      <c r="M411">
        <v>1</v>
      </c>
      <c r="N411">
        <v>10</v>
      </c>
      <c r="O411" t="s">
        <v>1212</v>
      </c>
      <c r="P411" t="s">
        <v>75</v>
      </c>
      <c r="Q411" t="s">
        <v>70</v>
      </c>
      <c r="R411" t="s">
        <v>71</v>
      </c>
      <c r="S411" t="s">
        <v>30</v>
      </c>
      <c r="T411">
        <v>1</v>
      </c>
      <c r="U411">
        <v>566.73</v>
      </c>
      <c r="V411">
        <v>317.60000000000002</v>
      </c>
      <c r="W411">
        <v>7</v>
      </c>
      <c r="X411" t="str">
        <f>TEXT(cleaneddata[[#This Row],[Order Date]],"mmm")</f>
        <v>Oct</v>
      </c>
      <c r="Y411">
        <f>cleaneddata[[#This Row],[Unit Price]]*cleaneddata[[#This Row],[Quantity]]*(1-cleaneddata[[#This Row],[Discount %]]/100)</f>
        <v>510.05700000000002</v>
      </c>
      <c r="Z411">
        <f>cleaneddata[[#This Row],[sales]]-cleaneddata[[#This Row],[Cost]]</f>
        <v>192.45699999999999</v>
      </c>
    </row>
    <row r="412" spans="1:26" x14ac:dyDescent="0.3">
      <c r="A412" t="s">
        <v>1213</v>
      </c>
      <c r="B412" s="1">
        <v>45629</v>
      </c>
      <c r="C412" t="s">
        <v>1214</v>
      </c>
      <c r="D412" t="s">
        <v>3339</v>
      </c>
      <c r="E412" s="1">
        <v>45630</v>
      </c>
      <c r="F412" t="s">
        <v>68</v>
      </c>
      <c r="G412" t="s">
        <v>66</v>
      </c>
      <c r="H412" t="s">
        <v>67</v>
      </c>
      <c r="I412" t="s">
        <v>2629</v>
      </c>
      <c r="J412" t="s">
        <v>2697</v>
      </c>
      <c r="K412" t="s">
        <v>52</v>
      </c>
      <c r="L412">
        <v>52</v>
      </c>
      <c r="M412">
        <v>2</v>
      </c>
      <c r="N412">
        <v>15</v>
      </c>
      <c r="O412" t="s">
        <v>934</v>
      </c>
      <c r="P412" t="s">
        <v>75</v>
      </c>
      <c r="Q412" t="s">
        <v>70</v>
      </c>
      <c r="R412" t="s">
        <v>71</v>
      </c>
      <c r="S412" t="s">
        <v>69</v>
      </c>
      <c r="T412">
        <v>2</v>
      </c>
      <c r="U412">
        <v>607.12</v>
      </c>
      <c r="V412">
        <v>806.7</v>
      </c>
      <c r="W412">
        <v>1</v>
      </c>
      <c r="X412" t="str">
        <f>TEXT(cleaneddata[[#This Row],[Order Date]],"mmm")</f>
        <v>Dec</v>
      </c>
      <c r="Y412">
        <f>cleaneddata[[#This Row],[Unit Price]]*cleaneddata[[#This Row],[Quantity]]*(1-cleaneddata[[#This Row],[Discount %]]/100)</f>
        <v>1032.104</v>
      </c>
      <c r="Z412">
        <f>cleaneddata[[#This Row],[sales]]-cleaneddata[[#This Row],[Cost]]</f>
        <v>225.404</v>
      </c>
    </row>
    <row r="413" spans="1:26" x14ac:dyDescent="0.3">
      <c r="A413" t="s">
        <v>1215</v>
      </c>
      <c r="B413" s="1">
        <v>45500</v>
      </c>
      <c r="C413" t="s">
        <v>1216</v>
      </c>
      <c r="D413" t="s">
        <v>3338</v>
      </c>
      <c r="E413" s="1">
        <v>45501</v>
      </c>
      <c r="F413" t="s">
        <v>122</v>
      </c>
      <c r="G413" t="s">
        <v>120</v>
      </c>
      <c r="H413" t="s">
        <v>121</v>
      </c>
      <c r="I413" t="s">
        <v>2656</v>
      </c>
      <c r="J413" t="s">
        <v>2683</v>
      </c>
      <c r="K413" t="s">
        <v>52</v>
      </c>
      <c r="L413">
        <v>61</v>
      </c>
      <c r="M413">
        <v>3</v>
      </c>
      <c r="N413">
        <v>30</v>
      </c>
      <c r="O413" t="s">
        <v>1055</v>
      </c>
      <c r="P413" t="s">
        <v>33</v>
      </c>
      <c r="Q413" t="s">
        <v>31</v>
      </c>
      <c r="R413" t="s">
        <v>43</v>
      </c>
      <c r="S413" t="s">
        <v>123</v>
      </c>
      <c r="T413">
        <v>2</v>
      </c>
      <c r="U413">
        <v>476.8</v>
      </c>
      <c r="V413">
        <v>721.64</v>
      </c>
      <c r="W413">
        <v>1</v>
      </c>
      <c r="X413" t="str">
        <f>TEXT(cleaneddata[[#This Row],[Order Date]],"mmm")</f>
        <v>Jul</v>
      </c>
      <c r="Y413">
        <f>cleaneddata[[#This Row],[Unit Price]]*cleaneddata[[#This Row],[Quantity]]*(1-cleaneddata[[#This Row],[Discount %]]/100)</f>
        <v>1001.28</v>
      </c>
      <c r="Z413">
        <f>cleaneddata[[#This Row],[sales]]-cleaneddata[[#This Row],[Cost]]</f>
        <v>279.64</v>
      </c>
    </row>
    <row r="414" spans="1:26" x14ac:dyDescent="0.3">
      <c r="A414" t="s">
        <v>1217</v>
      </c>
      <c r="B414" s="1">
        <v>46117</v>
      </c>
      <c r="C414" t="s">
        <v>1218</v>
      </c>
      <c r="D414" t="s">
        <v>3337</v>
      </c>
      <c r="E414" s="1">
        <v>46121</v>
      </c>
      <c r="F414" t="s">
        <v>100</v>
      </c>
      <c r="G414" t="s">
        <v>98</v>
      </c>
      <c r="H414" t="s">
        <v>99</v>
      </c>
      <c r="I414" t="s">
        <v>2633</v>
      </c>
      <c r="J414" t="s">
        <v>2695</v>
      </c>
      <c r="K414" t="s">
        <v>52</v>
      </c>
      <c r="L414">
        <v>60</v>
      </c>
      <c r="M414">
        <v>3</v>
      </c>
      <c r="N414">
        <v>25</v>
      </c>
      <c r="O414" t="s">
        <v>1219</v>
      </c>
      <c r="P414" t="s">
        <v>44</v>
      </c>
      <c r="Q414" t="s">
        <v>58</v>
      </c>
      <c r="R414" t="s">
        <v>62</v>
      </c>
      <c r="S414" t="s">
        <v>101</v>
      </c>
      <c r="T414">
        <v>1</v>
      </c>
      <c r="U414">
        <v>588.16</v>
      </c>
      <c r="V414">
        <v>1104.78</v>
      </c>
      <c r="W414">
        <v>4</v>
      </c>
      <c r="X414" t="str">
        <f>TEXT(cleaneddata[[#This Row],[Order Date]],"mmm")</f>
        <v>Apr</v>
      </c>
      <c r="Y414">
        <f>cleaneddata[[#This Row],[Unit Price]]*cleaneddata[[#This Row],[Quantity]]*(1-cleaneddata[[#This Row],[Discount %]]/100)</f>
        <v>1323.3600000000001</v>
      </c>
      <c r="Z414">
        <f>cleaneddata[[#This Row],[sales]]-cleaneddata[[#This Row],[Cost]]</f>
        <v>218.58000000000015</v>
      </c>
    </row>
    <row r="415" spans="1:26" x14ac:dyDescent="0.3">
      <c r="A415" t="s">
        <v>1220</v>
      </c>
      <c r="B415" s="1">
        <v>46162</v>
      </c>
      <c r="C415" t="s">
        <v>1221</v>
      </c>
      <c r="D415" t="s">
        <v>3336</v>
      </c>
      <c r="E415" s="1">
        <v>46165</v>
      </c>
      <c r="F415" t="s">
        <v>29</v>
      </c>
      <c r="G415" t="s">
        <v>27</v>
      </c>
      <c r="H415" t="s">
        <v>28</v>
      </c>
      <c r="I415" t="s">
        <v>2665</v>
      </c>
      <c r="J415" t="s">
        <v>2719</v>
      </c>
      <c r="K415" t="s">
        <v>25</v>
      </c>
      <c r="L415">
        <v>31</v>
      </c>
      <c r="M415">
        <v>5</v>
      </c>
      <c r="N415">
        <v>5</v>
      </c>
      <c r="O415" t="s">
        <v>1222</v>
      </c>
      <c r="P415" t="s">
        <v>33</v>
      </c>
      <c r="Q415" t="s">
        <v>117</v>
      </c>
      <c r="R415" t="s">
        <v>71</v>
      </c>
      <c r="S415" t="s">
        <v>30</v>
      </c>
      <c r="T415">
        <v>1</v>
      </c>
      <c r="U415">
        <v>822.34</v>
      </c>
      <c r="V415">
        <v>2244.29</v>
      </c>
      <c r="W415">
        <v>3</v>
      </c>
      <c r="X415" t="str">
        <f>TEXT(cleaneddata[[#This Row],[Order Date]],"mmm")</f>
        <v>May</v>
      </c>
      <c r="Y415">
        <f>cleaneddata[[#This Row],[Unit Price]]*cleaneddata[[#This Row],[Quantity]]*(1-cleaneddata[[#This Row],[Discount %]]/100)</f>
        <v>3906.1149999999998</v>
      </c>
      <c r="Z415">
        <f>cleaneddata[[#This Row],[sales]]-cleaneddata[[#This Row],[Cost]]</f>
        <v>1661.8249999999998</v>
      </c>
    </row>
    <row r="416" spans="1:26" x14ac:dyDescent="0.3">
      <c r="A416" t="s">
        <v>1223</v>
      </c>
      <c r="B416" s="1">
        <v>45982</v>
      </c>
      <c r="C416" t="s">
        <v>1224</v>
      </c>
      <c r="D416" t="s">
        <v>3335</v>
      </c>
      <c r="E416" s="1">
        <v>45985</v>
      </c>
      <c r="F416" t="s">
        <v>100</v>
      </c>
      <c r="G416" t="s">
        <v>98</v>
      </c>
      <c r="H416" t="s">
        <v>99</v>
      </c>
      <c r="I416" t="s">
        <v>2672</v>
      </c>
      <c r="J416" t="s">
        <v>2716</v>
      </c>
      <c r="K416" t="s">
        <v>25</v>
      </c>
      <c r="L416">
        <v>23</v>
      </c>
      <c r="M416">
        <v>2</v>
      </c>
      <c r="N416">
        <v>5</v>
      </c>
      <c r="O416" t="s">
        <v>1225</v>
      </c>
      <c r="P416" t="s">
        <v>75</v>
      </c>
      <c r="Q416" t="s">
        <v>42</v>
      </c>
      <c r="R416" t="s">
        <v>32</v>
      </c>
      <c r="S416" t="s">
        <v>101</v>
      </c>
      <c r="T416">
        <v>4</v>
      </c>
      <c r="U416">
        <v>782.61</v>
      </c>
      <c r="V416">
        <v>1005.79</v>
      </c>
      <c r="W416">
        <v>3</v>
      </c>
      <c r="X416" t="str">
        <f>TEXT(cleaneddata[[#This Row],[Order Date]],"mmm")</f>
        <v>Nov</v>
      </c>
      <c r="Y416">
        <f>cleaneddata[[#This Row],[Unit Price]]*cleaneddata[[#This Row],[Quantity]]*(1-cleaneddata[[#This Row],[Discount %]]/100)</f>
        <v>1486.9590000000001</v>
      </c>
      <c r="Z416">
        <f>cleaneddata[[#This Row],[sales]]-cleaneddata[[#This Row],[Cost]]</f>
        <v>481.1690000000001</v>
      </c>
    </row>
    <row r="417" spans="1:26" x14ac:dyDescent="0.3">
      <c r="A417" t="s">
        <v>1226</v>
      </c>
      <c r="B417" s="1">
        <v>45987</v>
      </c>
      <c r="C417" t="s">
        <v>1227</v>
      </c>
      <c r="D417" t="s">
        <v>3334</v>
      </c>
      <c r="E417" s="1">
        <v>45992</v>
      </c>
      <c r="F417" t="s">
        <v>56</v>
      </c>
      <c r="G417" t="s">
        <v>54</v>
      </c>
      <c r="H417" t="s">
        <v>55</v>
      </c>
      <c r="I417" t="s">
        <v>2632</v>
      </c>
      <c r="J417" t="s">
        <v>2646</v>
      </c>
      <c r="K417" t="s">
        <v>25</v>
      </c>
      <c r="L417">
        <v>40</v>
      </c>
      <c r="M417">
        <v>2</v>
      </c>
      <c r="N417">
        <v>15</v>
      </c>
      <c r="O417" t="s">
        <v>1228</v>
      </c>
      <c r="P417" t="s">
        <v>44</v>
      </c>
      <c r="Q417" t="s">
        <v>58</v>
      </c>
      <c r="R417" t="s">
        <v>43</v>
      </c>
      <c r="S417" t="s">
        <v>57</v>
      </c>
      <c r="T417">
        <v>2</v>
      </c>
      <c r="U417">
        <v>724.2</v>
      </c>
      <c r="V417">
        <v>976.17</v>
      </c>
      <c r="W417">
        <v>5</v>
      </c>
      <c r="X417" t="str">
        <f>TEXT(cleaneddata[[#This Row],[Order Date]],"mmm")</f>
        <v>Nov</v>
      </c>
      <c r="Y417">
        <f>cleaneddata[[#This Row],[Unit Price]]*cleaneddata[[#This Row],[Quantity]]*(1-cleaneddata[[#This Row],[Discount %]]/100)</f>
        <v>1231.1400000000001</v>
      </c>
      <c r="Z417">
        <f>cleaneddata[[#This Row],[sales]]-cleaneddata[[#This Row],[Cost]]</f>
        <v>254.97000000000014</v>
      </c>
    </row>
    <row r="418" spans="1:26" x14ac:dyDescent="0.3">
      <c r="A418" t="s">
        <v>1229</v>
      </c>
      <c r="B418" s="1">
        <v>45724</v>
      </c>
      <c r="C418" t="s">
        <v>1230</v>
      </c>
      <c r="D418" t="s">
        <v>3333</v>
      </c>
      <c r="E418" s="1">
        <v>45731</v>
      </c>
      <c r="F418" t="s">
        <v>68</v>
      </c>
      <c r="G418" t="s">
        <v>66</v>
      </c>
      <c r="H418" t="s">
        <v>67</v>
      </c>
      <c r="I418" t="s">
        <v>2672</v>
      </c>
      <c r="J418" t="s">
        <v>2716</v>
      </c>
      <c r="K418" t="s">
        <v>25</v>
      </c>
      <c r="L418">
        <v>38</v>
      </c>
      <c r="M418">
        <v>2</v>
      </c>
      <c r="N418">
        <v>5</v>
      </c>
      <c r="O418" t="s">
        <v>555</v>
      </c>
      <c r="P418" t="s">
        <v>33</v>
      </c>
      <c r="Q418" t="s">
        <v>42</v>
      </c>
      <c r="R418" t="s">
        <v>32</v>
      </c>
      <c r="S418" t="s">
        <v>69</v>
      </c>
      <c r="T418">
        <v>2</v>
      </c>
      <c r="U418">
        <v>806.17</v>
      </c>
      <c r="V418">
        <v>1171.28</v>
      </c>
      <c r="W418">
        <v>7</v>
      </c>
      <c r="X418" t="str">
        <f>TEXT(cleaneddata[[#This Row],[Order Date]],"mmm")</f>
        <v>Mar</v>
      </c>
      <c r="Y418">
        <f>cleaneddata[[#This Row],[Unit Price]]*cleaneddata[[#This Row],[Quantity]]*(1-cleaneddata[[#This Row],[Discount %]]/100)</f>
        <v>1531.723</v>
      </c>
      <c r="Z418">
        <f>cleaneddata[[#This Row],[sales]]-cleaneddata[[#This Row],[Cost]]</f>
        <v>360.44299999999998</v>
      </c>
    </row>
    <row r="419" spans="1:26" x14ac:dyDescent="0.3">
      <c r="A419" t="s">
        <v>1231</v>
      </c>
      <c r="B419" s="1">
        <v>46048</v>
      </c>
      <c r="C419" t="s">
        <v>1232</v>
      </c>
      <c r="D419" t="s">
        <v>3332</v>
      </c>
      <c r="E419" s="1">
        <v>46053</v>
      </c>
      <c r="F419" t="s">
        <v>140</v>
      </c>
      <c r="G419" t="s">
        <v>38</v>
      </c>
      <c r="H419" t="s">
        <v>139</v>
      </c>
      <c r="I419" t="s">
        <v>2631</v>
      </c>
      <c r="J419" t="s">
        <v>2694</v>
      </c>
      <c r="K419" t="s">
        <v>52</v>
      </c>
      <c r="L419">
        <v>46</v>
      </c>
      <c r="M419">
        <v>1</v>
      </c>
      <c r="N419">
        <v>20</v>
      </c>
      <c r="O419" t="s">
        <v>1233</v>
      </c>
      <c r="P419" t="s">
        <v>75</v>
      </c>
      <c r="Q419" t="s">
        <v>70</v>
      </c>
      <c r="R419" t="s">
        <v>71</v>
      </c>
      <c r="S419" t="s">
        <v>141</v>
      </c>
      <c r="T419">
        <v>2</v>
      </c>
      <c r="U419">
        <v>701.76</v>
      </c>
      <c r="V419">
        <v>361.39</v>
      </c>
      <c r="W419">
        <v>5</v>
      </c>
      <c r="X419" t="str">
        <f>TEXT(cleaneddata[[#This Row],[Order Date]],"mmm")</f>
        <v>Jan</v>
      </c>
      <c r="Y419">
        <f>cleaneddata[[#This Row],[Unit Price]]*cleaneddata[[#This Row],[Quantity]]*(1-cleaneddata[[#This Row],[Discount %]]/100)</f>
        <v>561.40800000000002</v>
      </c>
      <c r="Z419">
        <f>cleaneddata[[#This Row],[sales]]-cleaneddata[[#This Row],[Cost]]</f>
        <v>200.01800000000003</v>
      </c>
    </row>
    <row r="420" spans="1:26" x14ac:dyDescent="0.3">
      <c r="A420" t="s">
        <v>1234</v>
      </c>
      <c r="B420" s="1">
        <v>45952</v>
      </c>
      <c r="C420" t="s">
        <v>1235</v>
      </c>
      <c r="D420" t="s">
        <v>3331</v>
      </c>
      <c r="E420" s="1">
        <v>45955</v>
      </c>
      <c r="F420" t="s">
        <v>29</v>
      </c>
      <c r="G420" t="s">
        <v>27</v>
      </c>
      <c r="H420" t="s">
        <v>28</v>
      </c>
      <c r="I420" t="s">
        <v>2625</v>
      </c>
      <c r="J420" t="s">
        <v>2703</v>
      </c>
      <c r="K420" t="s">
        <v>25</v>
      </c>
      <c r="L420">
        <v>33</v>
      </c>
      <c r="M420">
        <v>4</v>
      </c>
      <c r="N420">
        <v>10</v>
      </c>
      <c r="O420" t="s">
        <v>1236</v>
      </c>
      <c r="P420" t="s">
        <v>44</v>
      </c>
      <c r="Q420" t="s">
        <v>31</v>
      </c>
      <c r="R420" t="s">
        <v>71</v>
      </c>
      <c r="S420" t="s">
        <v>30</v>
      </c>
      <c r="T420">
        <v>1</v>
      </c>
      <c r="U420">
        <v>337.07</v>
      </c>
      <c r="V420">
        <v>988.78</v>
      </c>
      <c r="W420">
        <v>3</v>
      </c>
      <c r="X420" t="str">
        <f>TEXT(cleaneddata[[#This Row],[Order Date]],"mmm")</f>
        <v>Oct</v>
      </c>
      <c r="Y420">
        <f>cleaneddata[[#This Row],[Unit Price]]*cleaneddata[[#This Row],[Quantity]]*(1-cleaneddata[[#This Row],[Discount %]]/100)</f>
        <v>1213.452</v>
      </c>
      <c r="Z420">
        <f>cleaneddata[[#This Row],[sales]]-cleaneddata[[#This Row],[Cost]]</f>
        <v>224.67200000000003</v>
      </c>
    </row>
    <row r="421" spans="1:26" x14ac:dyDescent="0.3">
      <c r="A421" t="s">
        <v>1237</v>
      </c>
      <c r="B421" s="1">
        <v>45964</v>
      </c>
      <c r="C421" t="s">
        <v>1238</v>
      </c>
      <c r="D421" t="s">
        <v>3330</v>
      </c>
      <c r="E421" s="1">
        <v>45965</v>
      </c>
      <c r="F421" t="s">
        <v>56</v>
      </c>
      <c r="G421" t="s">
        <v>54</v>
      </c>
      <c r="H421" t="s">
        <v>55</v>
      </c>
      <c r="I421" t="s">
        <v>2672</v>
      </c>
      <c r="J421" t="s">
        <v>2690</v>
      </c>
      <c r="K421" t="s">
        <v>25</v>
      </c>
      <c r="L421">
        <v>18</v>
      </c>
      <c r="M421">
        <v>2</v>
      </c>
      <c r="N421">
        <v>15</v>
      </c>
      <c r="O421" t="s">
        <v>1239</v>
      </c>
      <c r="P421" t="s">
        <v>44</v>
      </c>
      <c r="Q421" t="s">
        <v>31</v>
      </c>
      <c r="R421" t="s">
        <v>62</v>
      </c>
      <c r="S421" t="s">
        <v>57</v>
      </c>
      <c r="T421">
        <v>1</v>
      </c>
      <c r="U421">
        <v>897.94</v>
      </c>
      <c r="V421">
        <v>1215.69</v>
      </c>
      <c r="W421">
        <v>1</v>
      </c>
      <c r="X421" t="str">
        <f>TEXT(cleaneddata[[#This Row],[Order Date]],"mmm")</f>
        <v>Nov</v>
      </c>
      <c r="Y421">
        <f>cleaneddata[[#This Row],[Unit Price]]*cleaneddata[[#This Row],[Quantity]]*(1-cleaneddata[[#This Row],[Discount %]]/100)</f>
        <v>1526.498</v>
      </c>
      <c r="Z421">
        <f>cleaneddata[[#This Row],[sales]]-cleaneddata[[#This Row],[Cost]]</f>
        <v>310.80799999999999</v>
      </c>
    </row>
    <row r="422" spans="1:26" x14ac:dyDescent="0.3">
      <c r="A422" t="s">
        <v>1240</v>
      </c>
      <c r="B422" s="1">
        <v>45909</v>
      </c>
      <c r="C422" t="s">
        <v>1241</v>
      </c>
      <c r="D422" t="s">
        <v>2769</v>
      </c>
      <c r="E422" s="1">
        <v>45910</v>
      </c>
      <c r="F422" t="s">
        <v>128</v>
      </c>
      <c r="G422" t="s">
        <v>98</v>
      </c>
      <c r="H422" t="s">
        <v>127</v>
      </c>
      <c r="I422" t="s">
        <v>2633</v>
      </c>
      <c r="J422" t="s">
        <v>2636</v>
      </c>
      <c r="K422" t="s">
        <v>25</v>
      </c>
      <c r="L422">
        <v>27</v>
      </c>
      <c r="M422">
        <v>1</v>
      </c>
      <c r="N422">
        <v>5</v>
      </c>
      <c r="O422" t="s">
        <v>1242</v>
      </c>
      <c r="P422" t="s">
        <v>75</v>
      </c>
      <c r="Q422" t="s">
        <v>31</v>
      </c>
      <c r="R422" t="s">
        <v>32</v>
      </c>
      <c r="S422" t="s">
        <v>129</v>
      </c>
      <c r="T422">
        <v>4</v>
      </c>
      <c r="U422">
        <v>391.83</v>
      </c>
      <c r="V422">
        <v>202.07</v>
      </c>
      <c r="W422">
        <v>1</v>
      </c>
      <c r="X422" t="str">
        <f>TEXT(cleaneddata[[#This Row],[Order Date]],"mmm")</f>
        <v>Sep</v>
      </c>
      <c r="Y422">
        <f>cleaneddata[[#This Row],[Unit Price]]*cleaneddata[[#This Row],[Quantity]]*(1-cleaneddata[[#This Row],[Discount %]]/100)</f>
        <v>372.23849999999999</v>
      </c>
      <c r="Z422">
        <f>cleaneddata[[#This Row],[sales]]-cleaneddata[[#This Row],[Cost]]</f>
        <v>170.16849999999999</v>
      </c>
    </row>
    <row r="423" spans="1:26" x14ac:dyDescent="0.3">
      <c r="A423" t="s">
        <v>1243</v>
      </c>
      <c r="B423" s="1">
        <v>45820</v>
      </c>
      <c r="C423" t="s">
        <v>1244</v>
      </c>
      <c r="D423" t="s">
        <v>2768</v>
      </c>
      <c r="E423" s="1">
        <v>45821</v>
      </c>
      <c r="F423" t="s">
        <v>56</v>
      </c>
      <c r="G423" t="s">
        <v>54</v>
      </c>
      <c r="H423" t="s">
        <v>55</v>
      </c>
      <c r="I423" t="s">
        <v>2625</v>
      </c>
      <c r="J423" t="s">
        <v>2626</v>
      </c>
      <c r="K423" t="s">
        <v>25</v>
      </c>
      <c r="L423">
        <v>43</v>
      </c>
      <c r="M423">
        <v>3</v>
      </c>
      <c r="N423">
        <v>15</v>
      </c>
      <c r="O423" t="s">
        <v>1245</v>
      </c>
      <c r="P423" t="s">
        <v>75</v>
      </c>
      <c r="Q423" t="s">
        <v>58</v>
      </c>
      <c r="R423" t="s">
        <v>32</v>
      </c>
      <c r="S423" t="s">
        <v>57</v>
      </c>
      <c r="T423">
        <v>2</v>
      </c>
      <c r="U423">
        <v>230.79</v>
      </c>
      <c r="V423">
        <v>470.85</v>
      </c>
      <c r="W423">
        <v>1</v>
      </c>
      <c r="X423" t="str">
        <f>TEXT(cleaneddata[[#This Row],[Order Date]],"mmm")</f>
        <v>Jun</v>
      </c>
      <c r="Y423">
        <f>cleaneddata[[#This Row],[Unit Price]]*cleaneddata[[#This Row],[Quantity]]*(1-cleaneddata[[#This Row],[Discount %]]/100)</f>
        <v>588.5145</v>
      </c>
      <c r="Z423">
        <f>cleaneddata[[#This Row],[sales]]-cleaneddata[[#This Row],[Cost]]</f>
        <v>117.66449999999998</v>
      </c>
    </row>
    <row r="424" spans="1:26" x14ac:dyDescent="0.3">
      <c r="A424" t="s">
        <v>1246</v>
      </c>
      <c r="B424" s="1">
        <v>45480</v>
      </c>
      <c r="C424" t="s">
        <v>1247</v>
      </c>
      <c r="D424" t="s">
        <v>2767</v>
      </c>
      <c r="E424" s="1">
        <v>45486</v>
      </c>
      <c r="F424" t="s">
        <v>29</v>
      </c>
      <c r="G424" t="s">
        <v>27</v>
      </c>
      <c r="H424" t="s">
        <v>28</v>
      </c>
      <c r="I424" t="s">
        <v>2652</v>
      </c>
      <c r="J424" t="s">
        <v>2706</v>
      </c>
      <c r="K424" t="s">
        <v>25</v>
      </c>
      <c r="L424">
        <v>58</v>
      </c>
      <c r="M424">
        <v>5</v>
      </c>
      <c r="N424">
        <v>20</v>
      </c>
      <c r="O424" t="s">
        <v>1248</v>
      </c>
      <c r="P424" t="s">
        <v>33</v>
      </c>
      <c r="Q424" t="s">
        <v>58</v>
      </c>
      <c r="R424" t="s">
        <v>71</v>
      </c>
      <c r="S424" t="s">
        <v>30</v>
      </c>
      <c r="T424">
        <v>2</v>
      </c>
      <c r="U424">
        <v>162.41999999999999</v>
      </c>
      <c r="V424">
        <v>436.26</v>
      </c>
      <c r="W424">
        <v>6</v>
      </c>
      <c r="X424" t="str">
        <f>TEXT(cleaneddata[[#This Row],[Order Date]],"mmm")</f>
        <v>Jul</v>
      </c>
      <c r="Y424">
        <f>cleaneddata[[#This Row],[Unit Price]]*cleaneddata[[#This Row],[Quantity]]*(1-cleaneddata[[#This Row],[Discount %]]/100)</f>
        <v>649.67999999999995</v>
      </c>
      <c r="Z424">
        <f>cleaneddata[[#This Row],[sales]]-cleaneddata[[#This Row],[Cost]]</f>
        <v>213.41999999999996</v>
      </c>
    </row>
    <row r="425" spans="1:26" x14ac:dyDescent="0.3">
      <c r="A425" t="s">
        <v>1249</v>
      </c>
      <c r="B425" s="1">
        <v>45525</v>
      </c>
      <c r="C425" t="s">
        <v>149</v>
      </c>
      <c r="D425" t="s">
        <v>2766</v>
      </c>
      <c r="E425" s="1">
        <v>45528</v>
      </c>
      <c r="F425" t="s">
        <v>140</v>
      </c>
      <c r="G425" t="s">
        <v>38</v>
      </c>
      <c r="H425" t="s">
        <v>139</v>
      </c>
      <c r="I425" t="s">
        <v>2623</v>
      </c>
      <c r="J425" t="s">
        <v>2696</v>
      </c>
      <c r="K425" t="s">
        <v>52</v>
      </c>
      <c r="L425">
        <v>57</v>
      </c>
      <c r="M425">
        <v>1</v>
      </c>
      <c r="N425">
        <v>15</v>
      </c>
      <c r="O425" t="s">
        <v>1250</v>
      </c>
      <c r="P425" t="s">
        <v>33</v>
      </c>
      <c r="Q425" t="s">
        <v>58</v>
      </c>
      <c r="R425" t="s">
        <v>32</v>
      </c>
      <c r="S425" t="s">
        <v>141</v>
      </c>
      <c r="T425">
        <v>2</v>
      </c>
      <c r="U425">
        <v>245.51</v>
      </c>
      <c r="V425">
        <v>152.71</v>
      </c>
      <c r="W425">
        <v>3</v>
      </c>
      <c r="X425" t="str">
        <f>TEXT(cleaneddata[[#This Row],[Order Date]],"mmm")</f>
        <v>Aug</v>
      </c>
      <c r="Y425">
        <f>cleaneddata[[#This Row],[Unit Price]]*cleaneddata[[#This Row],[Quantity]]*(1-cleaneddata[[#This Row],[Discount %]]/100)</f>
        <v>208.68349999999998</v>
      </c>
      <c r="Z425">
        <f>cleaneddata[[#This Row],[sales]]-cleaneddata[[#This Row],[Cost]]</f>
        <v>55.973499999999973</v>
      </c>
    </row>
    <row r="426" spans="1:26" x14ac:dyDescent="0.3">
      <c r="A426" t="s">
        <v>1251</v>
      </c>
      <c r="B426" s="1">
        <v>45950</v>
      </c>
      <c r="C426" t="s">
        <v>1252</v>
      </c>
      <c r="D426" t="s">
        <v>3329</v>
      </c>
      <c r="E426" s="1">
        <v>45954</v>
      </c>
      <c r="F426" t="s">
        <v>122</v>
      </c>
      <c r="G426" t="s">
        <v>120</v>
      </c>
      <c r="H426" t="s">
        <v>121</v>
      </c>
      <c r="I426" t="s">
        <v>2622</v>
      </c>
      <c r="J426" t="s">
        <v>2705</v>
      </c>
      <c r="K426" t="s">
        <v>25</v>
      </c>
      <c r="L426">
        <v>36</v>
      </c>
      <c r="M426">
        <v>4</v>
      </c>
      <c r="N426">
        <v>0</v>
      </c>
      <c r="O426" t="s">
        <v>1253</v>
      </c>
      <c r="P426" t="s">
        <v>75</v>
      </c>
      <c r="Q426" t="s">
        <v>31</v>
      </c>
      <c r="R426" t="s">
        <v>71</v>
      </c>
      <c r="S426" t="s">
        <v>123</v>
      </c>
      <c r="T426">
        <v>3</v>
      </c>
      <c r="U426">
        <v>887.23</v>
      </c>
      <c r="V426">
        <v>2471.46</v>
      </c>
      <c r="W426">
        <v>4</v>
      </c>
      <c r="X426" t="str">
        <f>TEXT(cleaneddata[[#This Row],[Order Date]],"mmm")</f>
        <v>Oct</v>
      </c>
      <c r="Y426">
        <f>cleaneddata[[#This Row],[Unit Price]]*cleaneddata[[#This Row],[Quantity]]*(1-cleaneddata[[#This Row],[Discount %]]/100)</f>
        <v>3548.92</v>
      </c>
      <c r="Z426">
        <f>cleaneddata[[#This Row],[sales]]-cleaneddata[[#This Row],[Cost]]</f>
        <v>1077.46</v>
      </c>
    </row>
    <row r="427" spans="1:26" x14ac:dyDescent="0.3">
      <c r="A427" t="s">
        <v>1254</v>
      </c>
      <c r="B427" s="1">
        <v>45559</v>
      </c>
      <c r="C427" t="s">
        <v>1007</v>
      </c>
      <c r="D427" t="s">
        <v>3328</v>
      </c>
      <c r="E427" s="1">
        <v>45560</v>
      </c>
      <c r="F427" t="s">
        <v>29</v>
      </c>
      <c r="G427" t="s">
        <v>27</v>
      </c>
      <c r="H427" t="s">
        <v>28</v>
      </c>
      <c r="I427" t="s">
        <v>2668</v>
      </c>
      <c r="J427" t="s">
        <v>2682</v>
      </c>
      <c r="K427" t="s">
        <v>52</v>
      </c>
      <c r="L427">
        <v>61</v>
      </c>
      <c r="M427">
        <v>4</v>
      </c>
      <c r="N427">
        <v>10</v>
      </c>
      <c r="O427" t="s">
        <v>1228</v>
      </c>
      <c r="P427" t="s">
        <v>44</v>
      </c>
      <c r="Q427" t="s">
        <v>31</v>
      </c>
      <c r="R427" t="s">
        <v>43</v>
      </c>
      <c r="S427" t="s">
        <v>30</v>
      </c>
      <c r="T427">
        <v>2</v>
      </c>
      <c r="U427">
        <v>876.3</v>
      </c>
      <c r="V427">
        <v>2659.66</v>
      </c>
      <c r="W427">
        <v>1</v>
      </c>
      <c r="X427" t="str">
        <f>TEXT(cleaneddata[[#This Row],[Order Date]],"mmm")</f>
        <v>Sep</v>
      </c>
      <c r="Y427">
        <f>cleaneddata[[#This Row],[Unit Price]]*cleaneddata[[#This Row],[Quantity]]*(1-cleaneddata[[#This Row],[Discount %]]/100)</f>
        <v>3154.68</v>
      </c>
      <c r="Z427">
        <f>cleaneddata[[#This Row],[sales]]-cleaneddata[[#This Row],[Cost]]</f>
        <v>495.02</v>
      </c>
    </row>
    <row r="428" spans="1:26" x14ac:dyDescent="0.3">
      <c r="A428" t="s">
        <v>1255</v>
      </c>
      <c r="B428" s="1">
        <v>45603</v>
      </c>
      <c r="C428" t="s">
        <v>1256</v>
      </c>
      <c r="D428" t="s">
        <v>3327</v>
      </c>
      <c r="E428" s="1">
        <v>45605</v>
      </c>
      <c r="F428" t="s">
        <v>56</v>
      </c>
      <c r="G428" t="s">
        <v>54</v>
      </c>
      <c r="H428" t="s">
        <v>55</v>
      </c>
      <c r="I428" t="s">
        <v>2625</v>
      </c>
      <c r="J428" t="s">
        <v>2703</v>
      </c>
      <c r="K428" t="s">
        <v>52</v>
      </c>
      <c r="L428">
        <v>18</v>
      </c>
      <c r="M428">
        <v>3</v>
      </c>
      <c r="N428">
        <v>15</v>
      </c>
      <c r="O428" t="s">
        <v>1257</v>
      </c>
      <c r="P428" t="s">
        <v>44</v>
      </c>
      <c r="Q428" t="s">
        <v>117</v>
      </c>
      <c r="R428" t="s">
        <v>43</v>
      </c>
      <c r="S428" t="s">
        <v>57</v>
      </c>
      <c r="T428">
        <v>2</v>
      </c>
      <c r="U428">
        <v>783.39</v>
      </c>
      <c r="V428">
        <v>1553.16</v>
      </c>
      <c r="W428">
        <v>2</v>
      </c>
      <c r="X428" t="str">
        <f>TEXT(cleaneddata[[#This Row],[Order Date]],"mmm")</f>
        <v>Nov</v>
      </c>
      <c r="Y428">
        <f>cleaneddata[[#This Row],[Unit Price]]*cleaneddata[[#This Row],[Quantity]]*(1-cleaneddata[[#This Row],[Discount %]]/100)</f>
        <v>1997.6445000000001</v>
      </c>
      <c r="Z428">
        <f>cleaneddata[[#This Row],[sales]]-cleaneddata[[#This Row],[Cost]]</f>
        <v>444.48450000000003</v>
      </c>
    </row>
    <row r="429" spans="1:26" x14ac:dyDescent="0.3">
      <c r="A429" t="s">
        <v>1258</v>
      </c>
      <c r="B429" s="1">
        <v>45474</v>
      </c>
      <c r="C429" t="s">
        <v>1259</v>
      </c>
      <c r="D429" t="s">
        <v>3326</v>
      </c>
      <c r="E429" s="1">
        <v>45478</v>
      </c>
      <c r="F429" t="s">
        <v>115</v>
      </c>
      <c r="G429" t="s">
        <v>66</v>
      </c>
      <c r="H429" t="s">
        <v>114</v>
      </c>
      <c r="I429" t="s">
        <v>2668</v>
      </c>
      <c r="J429" t="s">
        <v>2708</v>
      </c>
      <c r="K429" t="s">
        <v>52</v>
      </c>
      <c r="L429">
        <v>52</v>
      </c>
      <c r="M429">
        <v>1</v>
      </c>
      <c r="N429">
        <v>25</v>
      </c>
      <c r="O429" t="s">
        <v>1260</v>
      </c>
      <c r="P429" t="s">
        <v>75</v>
      </c>
      <c r="Q429" t="s">
        <v>58</v>
      </c>
      <c r="R429" t="s">
        <v>71</v>
      </c>
      <c r="S429" t="s">
        <v>116</v>
      </c>
      <c r="T429">
        <v>5</v>
      </c>
      <c r="U429">
        <v>614.20000000000005</v>
      </c>
      <c r="V429">
        <v>362.01</v>
      </c>
      <c r="W429">
        <v>4</v>
      </c>
      <c r="X429" t="str">
        <f>TEXT(cleaneddata[[#This Row],[Order Date]],"mmm")</f>
        <v>Jul</v>
      </c>
      <c r="Y429">
        <f>cleaneddata[[#This Row],[Unit Price]]*cleaneddata[[#This Row],[Quantity]]*(1-cleaneddata[[#This Row],[Discount %]]/100)</f>
        <v>460.65000000000003</v>
      </c>
      <c r="Z429">
        <f>cleaneddata[[#This Row],[sales]]-cleaneddata[[#This Row],[Cost]]</f>
        <v>98.640000000000043</v>
      </c>
    </row>
    <row r="430" spans="1:26" x14ac:dyDescent="0.3">
      <c r="A430" t="s">
        <v>1261</v>
      </c>
      <c r="B430" s="1">
        <v>46156</v>
      </c>
      <c r="C430" t="s">
        <v>1262</v>
      </c>
      <c r="D430" t="s">
        <v>3325</v>
      </c>
      <c r="E430" s="1">
        <v>46158</v>
      </c>
      <c r="F430" t="s">
        <v>122</v>
      </c>
      <c r="G430" t="s">
        <v>120</v>
      </c>
      <c r="H430" t="s">
        <v>121</v>
      </c>
      <c r="I430" t="s">
        <v>2635</v>
      </c>
      <c r="J430" t="s">
        <v>2643</v>
      </c>
      <c r="K430" t="s">
        <v>25</v>
      </c>
      <c r="L430">
        <v>26</v>
      </c>
      <c r="M430">
        <v>3</v>
      </c>
      <c r="N430">
        <v>15</v>
      </c>
      <c r="O430" t="s">
        <v>802</v>
      </c>
      <c r="P430" t="s">
        <v>33</v>
      </c>
      <c r="Q430" t="s">
        <v>42</v>
      </c>
      <c r="R430" t="s">
        <v>43</v>
      </c>
      <c r="S430" t="s">
        <v>123</v>
      </c>
      <c r="T430">
        <v>1</v>
      </c>
      <c r="U430">
        <v>219.3</v>
      </c>
      <c r="V430">
        <v>315.64</v>
      </c>
      <c r="W430">
        <v>2</v>
      </c>
      <c r="X430" t="str">
        <f>TEXT(cleaneddata[[#This Row],[Order Date]],"mmm")</f>
        <v>May</v>
      </c>
      <c r="Y430">
        <f>cleaneddata[[#This Row],[Unit Price]]*cleaneddata[[#This Row],[Quantity]]*(1-cleaneddata[[#This Row],[Discount %]]/100)</f>
        <v>559.21500000000003</v>
      </c>
      <c r="Z430">
        <f>cleaneddata[[#This Row],[sales]]-cleaneddata[[#This Row],[Cost]]</f>
        <v>243.57500000000005</v>
      </c>
    </row>
    <row r="431" spans="1:26" x14ac:dyDescent="0.3">
      <c r="A431" t="s">
        <v>1263</v>
      </c>
      <c r="B431" s="1">
        <v>45773</v>
      </c>
      <c r="C431" t="s">
        <v>1264</v>
      </c>
      <c r="D431" t="s">
        <v>3324</v>
      </c>
      <c r="E431" s="1">
        <v>45774</v>
      </c>
      <c r="F431" t="s">
        <v>115</v>
      </c>
      <c r="G431" t="s">
        <v>66</v>
      </c>
      <c r="H431" t="s">
        <v>114</v>
      </c>
      <c r="I431" t="s">
        <v>2639</v>
      </c>
      <c r="J431" t="s">
        <v>2704</v>
      </c>
      <c r="K431" t="s">
        <v>52</v>
      </c>
      <c r="L431">
        <v>19</v>
      </c>
      <c r="M431">
        <v>3</v>
      </c>
      <c r="N431">
        <v>20</v>
      </c>
      <c r="O431" t="s">
        <v>1265</v>
      </c>
      <c r="P431" t="s">
        <v>44</v>
      </c>
      <c r="Q431" t="s">
        <v>42</v>
      </c>
      <c r="R431" t="s">
        <v>71</v>
      </c>
      <c r="S431" t="s">
        <v>116</v>
      </c>
      <c r="T431">
        <v>4</v>
      </c>
      <c r="U431">
        <v>474.2</v>
      </c>
      <c r="V431">
        <v>714.49</v>
      </c>
      <c r="W431">
        <v>1</v>
      </c>
      <c r="X431" t="str">
        <f>TEXT(cleaneddata[[#This Row],[Order Date]],"mmm")</f>
        <v>Apr</v>
      </c>
      <c r="Y431">
        <f>cleaneddata[[#This Row],[Unit Price]]*cleaneddata[[#This Row],[Quantity]]*(1-cleaneddata[[#This Row],[Discount %]]/100)</f>
        <v>1138.08</v>
      </c>
      <c r="Z431">
        <f>cleaneddata[[#This Row],[sales]]-cleaneddata[[#This Row],[Cost]]</f>
        <v>423.58999999999992</v>
      </c>
    </row>
    <row r="432" spans="1:26" x14ac:dyDescent="0.3">
      <c r="A432" t="s">
        <v>1266</v>
      </c>
      <c r="B432" s="1">
        <v>45601</v>
      </c>
      <c r="C432" t="s">
        <v>1267</v>
      </c>
      <c r="D432" t="s">
        <v>3323</v>
      </c>
      <c r="E432" s="1">
        <v>45608</v>
      </c>
      <c r="F432" t="s">
        <v>140</v>
      </c>
      <c r="G432" t="s">
        <v>38</v>
      </c>
      <c r="H432" t="s">
        <v>139</v>
      </c>
      <c r="I432" t="s">
        <v>2652</v>
      </c>
      <c r="J432" t="s">
        <v>2706</v>
      </c>
      <c r="K432" t="s">
        <v>25</v>
      </c>
      <c r="L432">
        <v>54</v>
      </c>
      <c r="M432">
        <v>4</v>
      </c>
      <c r="N432">
        <v>0</v>
      </c>
      <c r="O432" t="s">
        <v>1268</v>
      </c>
      <c r="P432" t="s">
        <v>44</v>
      </c>
      <c r="Q432" t="s">
        <v>31</v>
      </c>
      <c r="R432" t="s">
        <v>62</v>
      </c>
      <c r="S432" t="s">
        <v>141</v>
      </c>
      <c r="T432">
        <v>2</v>
      </c>
      <c r="U432">
        <v>498.65</v>
      </c>
      <c r="V432">
        <v>1635.96</v>
      </c>
      <c r="W432">
        <v>7</v>
      </c>
      <c r="X432" t="str">
        <f>TEXT(cleaneddata[[#This Row],[Order Date]],"mmm")</f>
        <v>Nov</v>
      </c>
      <c r="Y432">
        <f>cleaneddata[[#This Row],[Unit Price]]*cleaneddata[[#This Row],[Quantity]]*(1-cleaneddata[[#This Row],[Discount %]]/100)</f>
        <v>1994.6</v>
      </c>
      <c r="Z432">
        <f>cleaneddata[[#This Row],[sales]]-cleaneddata[[#This Row],[Cost]]</f>
        <v>358.63999999999987</v>
      </c>
    </row>
    <row r="433" spans="1:26" x14ac:dyDescent="0.3">
      <c r="A433" t="s">
        <v>1269</v>
      </c>
      <c r="B433" s="1">
        <v>46140</v>
      </c>
      <c r="C433" t="s">
        <v>1270</v>
      </c>
      <c r="D433" t="s">
        <v>3322</v>
      </c>
      <c r="E433" s="1">
        <v>46147</v>
      </c>
      <c r="F433" t="s">
        <v>115</v>
      </c>
      <c r="G433" t="s">
        <v>66</v>
      </c>
      <c r="H433" t="s">
        <v>114</v>
      </c>
      <c r="I433" t="s">
        <v>2633</v>
      </c>
      <c r="J433" t="s">
        <v>2678</v>
      </c>
      <c r="K433" t="s">
        <v>25</v>
      </c>
      <c r="L433">
        <v>28</v>
      </c>
      <c r="M433">
        <v>1</v>
      </c>
      <c r="N433">
        <v>25</v>
      </c>
      <c r="O433" t="s">
        <v>1271</v>
      </c>
      <c r="P433" t="s">
        <v>33</v>
      </c>
      <c r="Q433" t="s">
        <v>42</v>
      </c>
      <c r="R433" t="s">
        <v>43</v>
      </c>
      <c r="S433" t="s">
        <v>116</v>
      </c>
      <c r="T433">
        <v>2</v>
      </c>
      <c r="U433">
        <v>40.69</v>
      </c>
      <c r="V433">
        <v>16.3</v>
      </c>
      <c r="W433">
        <v>7</v>
      </c>
      <c r="X433" t="str">
        <f>TEXT(cleaneddata[[#This Row],[Order Date]],"mmm")</f>
        <v>Apr</v>
      </c>
      <c r="Y433">
        <f>cleaneddata[[#This Row],[Unit Price]]*cleaneddata[[#This Row],[Quantity]]*(1-cleaneddata[[#This Row],[Discount %]]/100)</f>
        <v>30.517499999999998</v>
      </c>
      <c r="Z433">
        <f>cleaneddata[[#This Row],[sales]]-cleaneddata[[#This Row],[Cost]]</f>
        <v>14.217499999999998</v>
      </c>
    </row>
    <row r="434" spans="1:26" x14ac:dyDescent="0.3">
      <c r="A434" t="s">
        <v>1272</v>
      </c>
      <c r="B434" s="1">
        <v>45793</v>
      </c>
      <c r="C434" t="s">
        <v>1273</v>
      </c>
      <c r="D434" t="s">
        <v>3321</v>
      </c>
      <c r="E434" s="1">
        <v>45794</v>
      </c>
      <c r="F434" t="s">
        <v>140</v>
      </c>
      <c r="G434" t="s">
        <v>38</v>
      </c>
      <c r="H434" t="s">
        <v>139</v>
      </c>
      <c r="I434" t="s">
        <v>2652</v>
      </c>
      <c r="J434" t="s">
        <v>2688</v>
      </c>
      <c r="K434" t="s">
        <v>25</v>
      </c>
      <c r="L434">
        <v>55</v>
      </c>
      <c r="M434">
        <v>1</v>
      </c>
      <c r="N434">
        <v>15</v>
      </c>
      <c r="O434" t="s">
        <v>1274</v>
      </c>
      <c r="P434" t="s">
        <v>33</v>
      </c>
      <c r="Q434" t="s">
        <v>70</v>
      </c>
      <c r="R434" t="s">
        <v>32</v>
      </c>
      <c r="S434" t="s">
        <v>141</v>
      </c>
      <c r="T434">
        <v>4</v>
      </c>
      <c r="U434">
        <v>869.03</v>
      </c>
      <c r="V434">
        <v>555.48</v>
      </c>
      <c r="W434">
        <v>1</v>
      </c>
      <c r="X434" t="str">
        <f>TEXT(cleaneddata[[#This Row],[Order Date]],"mmm")</f>
        <v>May</v>
      </c>
      <c r="Y434">
        <f>cleaneddata[[#This Row],[Unit Price]]*cleaneddata[[#This Row],[Quantity]]*(1-cleaneddata[[#This Row],[Discount %]]/100)</f>
        <v>738.67549999999994</v>
      </c>
      <c r="Z434">
        <f>cleaneddata[[#This Row],[sales]]-cleaneddata[[#This Row],[Cost]]</f>
        <v>183.19549999999992</v>
      </c>
    </row>
    <row r="435" spans="1:26" x14ac:dyDescent="0.3">
      <c r="A435" t="s">
        <v>1275</v>
      </c>
      <c r="B435" s="1">
        <v>45850</v>
      </c>
      <c r="C435" t="s">
        <v>1276</v>
      </c>
      <c r="D435" t="s">
        <v>3320</v>
      </c>
      <c r="E435" s="1">
        <v>45852</v>
      </c>
      <c r="F435" t="s">
        <v>40</v>
      </c>
      <c r="G435" t="s">
        <v>38</v>
      </c>
      <c r="H435" t="s">
        <v>39</v>
      </c>
      <c r="I435" t="s">
        <v>2623</v>
      </c>
      <c r="J435" t="s">
        <v>2701</v>
      </c>
      <c r="K435" t="s">
        <v>25</v>
      </c>
      <c r="L435">
        <v>38</v>
      </c>
      <c r="M435">
        <v>5</v>
      </c>
      <c r="N435">
        <v>15</v>
      </c>
      <c r="O435" t="s">
        <v>1277</v>
      </c>
      <c r="P435" t="s">
        <v>44</v>
      </c>
      <c r="Q435" t="s">
        <v>117</v>
      </c>
      <c r="R435" t="s">
        <v>43</v>
      </c>
      <c r="S435" t="s">
        <v>41</v>
      </c>
      <c r="T435">
        <v>4</v>
      </c>
      <c r="U435">
        <v>578.84</v>
      </c>
      <c r="V435">
        <v>1304.22</v>
      </c>
      <c r="W435">
        <v>2</v>
      </c>
      <c r="X435" t="str">
        <f>TEXT(cleaneddata[[#This Row],[Order Date]],"mmm")</f>
        <v>Jul</v>
      </c>
      <c r="Y435">
        <f>cleaneddata[[#This Row],[Unit Price]]*cleaneddata[[#This Row],[Quantity]]*(1-cleaneddata[[#This Row],[Discount %]]/100)</f>
        <v>2460.0700000000002</v>
      </c>
      <c r="Z435">
        <f>cleaneddata[[#This Row],[sales]]-cleaneddata[[#This Row],[Cost]]</f>
        <v>1155.8500000000001</v>
      </c>
    </row>
    <row r="436" spans="1:26" x14ac:dyDescent="0.3">
      <c r="A436" t="s">
        <v>1278</v>
      </c>
      <c r="B436" s="1">
        <v>45439</v>
      </c>
      <c r="C436" t="s">
        <v>1279</v>
      </c>
      <c r="D436" t="s">
        <v>3319</v>
      </c>
      <c r="E436" s="1">
        <v>45446</v>
      </c>
      <c r="F436" t="s">
        <v>115</v>
      </c>
      <c r="G436" t="s">
        <v>66</v>
      </c>
      <c r="H436" t="s">
        <v>114</v>
      </c>
      <c r="I436" t="s">
        <v>2647</v>
      </c>
      <c r="J436" t="s">
        <v>2721</v>
      </c>
      <c r="K436" t="s">
        <v>25</v>
      </c>
      <c r="L436">
        <v>23</v>
      </c>
      <c r="M436">
        <v>1</v>
      </c>
      <c r="N436">
        <v>30</v>
      </c>
      <c r="O436" t="s">
        <v>332</v>
      </c>
      <c r="P436" t="s">
        <v>33</v>
      </c>
      <c r="Q436" t="s">
        <v>31</v>
      </c>
      <c r="R436" t="s">
        <v>43</v>
      </c>
      <c r="S436" t="s">
        <v>116</v>
      </c>
      <c r="T436">
        <v>1</v>
      </c>
      <c r="U436">
        <v>380.8</v>
      </c>
      <c r="V436">
        <v>185.69</v>
      </c>
      <c r="W436">
        <v>7</v>
      </c>
      <c r="X436" t="str">
        <f>TEXT(cleaneddata[[#This Row],[Order Date]],"mmm")</f>
        <v>May</v>
      </c>
      <c r="Y436">
        <f>cleaneddata[[#This Row],[Unit Price]]*cleaneddata[[#This Row],[Quantity]]*(1-cleaneddata[[#This Row],[Discount %]]/100)</f>
        <v>266.56</v>
      </c>
      <c r="Z436">
        <f>cleaneddata[[#This Row],[sales]]-cleaneddata[[#This Row],[Cost]]</f>
        <v>80.87</v>
      </c>
    </row>
    <row r="437" spans="1:26" x14ac:dyDescent="0.3">
      <c r="A437" t="s">
        <v>1280</v>
      </c>
      <c r="B437" s="1">
        <v>45584</v>
      </c>
      <c r="C437" t="s">
        <v>1281</v>
      </c>
      <c r="D437" t="s">
        <v>3318</v>
      </c>
      <c r="E437" s="1">
        <v>45587</v>
      </c>
      <c r="F437" t="s">
        <v>68</v>
      </c>
      <c r="G437" t="s">
        <v>66</v>
      </c>
      <c r="H437" t="s">
        <v>67</v>
      </c>
      <c r="I437" t="s">
        <v>2679</v>
      </c>
      <c r="J437" t="s">
        <v>2685</v>
      </c>
      <c r="K437" t="s">
        <v>25</v>
      </c>
      <c r="L437">
        <v>53</v>
      </c>
      <c r="M437">
        <v>1</v>
      </c>
      <c r="N437">
        <v>20</v>
      </c>
      <c r="O437" t="s">
        <v>1282</v>
      </c>
      <c r="P437" t="s">
        <v>75</v>
      </c>
      <c r="Q437" t="s">
        <v>58</v>
      </c>
      <c r="R437" t="s">
        <v>62</v>
      </c>
      <c r="S437" t="s">
        <v>69</v>
      </c>
      <c r="T437">
        <v>4</v>
      </c>
      <c r="U437">
        <v>398.1</v>
      </c>
      <c r="V437">
        <v>254.8</v>
      </c>
      <c r="W437">
        <v>3</v>
      </c>
      <c r="X437" t="str">
        <f>TEXT(cleaneddata[[#This Row],[Order Date]],"mmm")</f>
        <v>Oct</v>
      </c>
      <c r="Y437">
        <f>cleaneddata[[#This Row],[Unit Price]]*cleaneddata[[#This Row],[Quantity]]*(1-cleaneddata[[#This Row],[Discount %]]/100)</f>
        <v>318.48</v>
      </c>
      <c r="Z437">
        <f>cleaneddata[[#This Row],[sales]]-cleaneddata[[#This Row],[Cost]]</f>
        <v>63.680000000000007</v>
      </c>
    </row>
    <row r="438" spans="1:26" x14ac:dyDescent="0.3">
      <c r="A438" t="s">
        <v>1283</v>
      </c>
      <c r="B438" s="1">
        <v>45992</v>
      </c>
      <c r="C438" t="s">
        <v>1284</v>
      </c>
      <c r="D438" t="s">
        <v>3317</v>
      </c>
      <c r="E438" s="1">
        <v>45995</v>
      </c>
      <c r="F438" t="s">
        <v>100</v>
      </c>
      <c r="G438" t="s">
        <v>98</v>
      </c>
      <c r="H438" t="s">
        <v>99</v>
      </c>
      <c r="I438" t="s">
        <v>2631</v>
      </c>
      <c r="J438" t="s">
        <v>2694</v>
      </c>
      <c r="K438" t="s">
        <v>25</v>
      </c>
      <c r="L438">
        <v>47</v>
      </c>
      <c r="M438">
        <v>4</v>
      </c>
      <c r="N438">
        <v>5</v>
      </c>
      <c r="O438" t="s">
        <v>350</v>
      </c>
      <c r="P438" t="s">
        <v>33</v>
      </c>
      <c r="Q438" t="s">
        <v>42</v>
      </c>
      <c r="R438" t="s">
        <v>62</v>
      </c>
      <c r="S438" t="s">
        <v>101</v>
      </c>
      <c r="T438">
        <v>5</v>
      </c>
      <c r="U438">
        <v>41.19</v>
      </c>
      <c r="V438">
        <v>80.72</v>
      </c>
      <c r="W438">
        <v>3</v>
      </c>
      <c r="X438" t="str">
        <f>TEXT(cleaneddata[[#This Row],[Order Date]],"mmm")</f>
        <v>Dec</v>
      </c>
      <c r="Y438">
        <f>cleaneddata[[#This Row],[Unit Price]]*cleaneddata[[#This Row],[Quantity]]*(1-cleaneddata[[#This Row],[Discount %]]/100)</f>
        <v>156.52199999999999</v>
      </c>
      <c r="Z438">
        <f>cleaneddata[[#This Row],[sales]]-cleaneddata[[#This Row],[Cost]]</f>
        <v>75.801999999999992</v>
      </c>
    </row>
    <row r="439" spans="1:26" x14ac:dyDescent="0.3">
      <c r="A439" t="s">
        <v>1285</v>
      </c>
      <c r="B439" s="1">
        <v>45526</v>
      </c>
      <c r="C439" t="s">
        <v>1286</v>
      </c>
      <c r="D439" t="s">
        <v>3316</v>
      </c>
      <c r="E439" s="1">
        <v>45527</v>
      </c>
      <c r="F439" t="s">
        <v>56</v>
      </c>
      <c r="G439" t="s">
        <v>54</v>
      </c>
      <c r="H439" t="s">
        <v>55</v>
      </c>
      <c r="I439" t="s">
        <v>2634</v>
      </c>
      <c r="J439" t="s">
        <v>2650</v>
      </c>
      <c r="K439" t="s">
        <v>52</v>
      </c>
      <c r="L439">
        <v>59</v>
      </c>
      <c r="M439">
        <v>5</v>
      </c>
      <c r="N439">
        <v>10</v>
      </c>
      <c r="O439" t="s">
        <v>1287</v>
      </c>
      <c r="P439" t="s">
        <v>75</v>
      </c>
      <c r="Q439" t="s">
        <v>42</v>
      </c>
      <c r="R439" t="s">
        <v>32</v>
      </c>
      <c r="S439" t="s">
        <v>57</v>
      </c>
      <c r="T439">
        <v>1</v>
      </c>
      <c r="U439">
        <v>400.22</v>
      </c>
      <c r="V439">
        <v>1163.0899999999999</v>
      </c>
      <c r="W439">
        <v>1</v>
      </c>
      <c r="X439" t="str">
        <f>TEXT(cleaneddata[[#This Row],[Order Date]],"mmm")</f>
        <v>Aug</v>
      </c>
      <c r="Y439">
        <f>cleaneddata[[#This Row],[Unit Price]]*cleaneddata[[#This Row],[Quantity]]*(1-cleaneddata[[#This Row],[Discount %]]/100)</f>
        <v>1800.9900000000002</v>
      </c>
      <c r="Z439">
        <f>cleaneddata[[#This Row],[sales]]-cleaneddata[[#This Row],[Cost]]</f>
        <v>637.90000000000032</v>
      </c>
    </row>
    <row r="440" spans="1:26" x14ac:dyDescent="0.3">
      <c r="A440" t="s">
        <v>1288</v>
      </c>
      <c r="B440" s="1">
        <v>45856</v>
      </c>
      <c r="C440" t="s">
        <v>1289</v>
      </c>
      <c r="D440" t="s">
        <v>3315</v>
      </c>
      <c r="E440" s="1">
        <v>45858</v>
      </c>
      <c r="F440" t="s">
        <v>140</v>
      </c>
      <c r="G440" t="s">
        <v>38</v>
      </c>
      <c r="H440" t="s">
        <v>139</v>
      </c>
      <c r="I440" t="s">
        <v>2656</v>
      </c>
      <c r="J440" t="s">
        <v>2683</v>
      </c>
      <c r="K440" t="s">
        <v>25</v>
      </c>
      <c r="L440">
        <v>31</v>
      </c>
      <c r="M440">
        <v>4</v>
      </c>
      <c r="N440">
        <v>5</v>
      </c>
      <c r="O440" t="s">
        <v>512</v>
      </c>
      <c r="P440" t="s">
        <v>44</v>
      </c>
      <c r="Q440" t="s">
        <v>42</v>
      </c>
      <c r="R440" t="s">
        <v>43</v>
      </c>
      <c r="S440" t="s">
        <v>141</v>
      </c>
      <c r="T440">
        <v>1</v>
      </c>
      <c r="U440">
        <v>388.01</v>
      </c>
      <c r="V440">
        <v>1221.3</v>
      </c>
      <c r="W440">
        <v>2</v>
      </c>
      <c r="X440" t="str">
        <f>TEXT(cleaneddata[[#This Row],[Order Date]],"mmm")</f>
        <v>Jul</v>
      </c>
      <c r="Y440">
        <f>cleaneddata[[#This Row],[Unit Price]]*cleaneddata[[#This Row],[Quantity]]*(1-cleaneddata[[#This Row],[Discount %]]/100)</f>
        <v>1474.4379999999999</v>
      </c>
      <c r="Z440">
        <f>cleaneddata[[#This Row],[sales]]-cleaneddata[[#This Row],[Cost]]</f>
        <v>253.13799999999992</v>
      </c>
    </row>
    <row r="441" spans="1:26" x14ac:dyDescent="0.3">
      <c r="A441" t="s">
        <v>1290</v>
      </c>
      <c r="B441" s="1">
        <v>46079</v>
      </c>
      <c r="C441" t="s">
        <v>1291</v>
      </c>
      <c r="D441" t="s">
        <v>3314</v>
      </c>
      <c r="E441" s="1">
        <v>46085</v>
      </c>
      <c r="F441" t="s">
        <v>122</v>
      </c>
      <c r="G441" t="s">
        <v>120</v>
      </c>
      <c r="H441" t="s">
        <v>121</v>
      </c>
      <c r="I441" t="s">
        <v>2629</v>
      </c>
      <c r="J441" t="s">
        <v>2689</v>
      </c>
      <c r="K441" t="s">
        <v>25</v>
      </c>
      <c r="L441">
        <v>28</v>
      </c>
      <c r="M441">
        <v>2</v>
      </c>
      <c r="N441">
        <v>15</v>
      </c>
      <c r="O441" t="s">
        <v>1292</v>
      </c>
      <c r="P441" t="s">
        <v>44</v>
      </c>
      <c r="Q441" t="s">
        <v>117</v>
      </c>
      <c r="R441" t="s">
        <v>32</v>
      </c>
      <c r="S441" t="s">
        <v>123</v>
      </c>
      <c r="T441">
        <v>4</v>
      </c>
      <c r="U441">
        <v>237.05</v>
      </c>
      <c r="V441">
        <v>213.98</v>
      </c>
      <c r="W441">
        <v>6</v>
      </c>
      <c r="X441" t="str">
        <f>TEXT(cleaneddata[[#This Row],[Order Date]],"mmm")</f>
        <v>Feb</v>
      </c>
      <c r="Y441">
        <f>cleaneddata[[#This Row],[Unit Price]]*cleaneddata[[#This Row],[Quantity]]*(1-cleaneddata[[#This Row],[Discount %]]/100)</f>
        <v>402.98500000000001</v>
      </c>
      <c r="Z441">
        <f>cleaneddata[[#This Row],[sales]]-cleaneddata[[#This Row],[Cost]]</f>
        <v>189.00500000000002</v>
      </c>
    </row>
    <row r="442" spans="1:26" x14ac:dyDescent="0.3">
      <c r="A442" t="s">
        <v>1293</v>
      </c>
      <c r="B442" s="1">
        <v>45898</v>
      </c>
      <c r="C442" t="s">
        <v>1294</v>
      </c>
      <c r="D442" t="s">
        <v>3313</v>
      </c>
      <c r="E442" s="1">
        <v>45904</v>
      </c>
      <c r="F442" t="s">
        <v>56</v>
      </c>
      <c r="G442" t="s">
        <v>54</v>
      </c>
      <c r="H442" t="s">
        <v>55</v>
      </c>
      <c r="I442" t="s">
        <v>2634</v>
      </c>
      <c r="J442" t="s">
        <v>2650</v>
      </c>
      <c r="K442" t="s">
        <v>52</v>
      </c>
      <c r="L442">
        <v>44</v>
      </c>
      <c r="M442">
        <v>4</v>
      </c>
      <c r="N442">
        <v>30</v>
      </c>
      <c r="O442" t="s">
        <v>1295</v>
      </c>
      <c r="P442" t="s">
        <v>33</v>
      </c>
      <c r="Q442" t="s">
        <v>117</v>
      </c>
      <c r="R442" t="s">
        <v>43</v>
      </c>
      <c r="S442" t="s">
        <v>57</v>
      </c>
      <c r="T442">
        <v>3</v>
      </c>
      <c r="U442">
        <v>715.42</v>
      </c>
      <c r="V442">
        <v>1163.4100000000001</v>
      </c>
      <c r="W442">
        <v>6</v>
      </c>
      <c r="X442" t="str">
        <f>TEXT(cleaneddata[[#This Row],[Order Date]],"mmm")</f>
        <v>Aug</v>
      </c>
      <c r="Y442">
        <f>cleaneddata[[#This Row],[Unit Price]]*cleaneddata[[#This Row],[Quantity]]*(1-cleaneddata[[#This Row],[Discount %]]/100)</f>
        <v>2003.1759999999997</v>
      </c>
      <c r="Z442">
        <f>cleaneddata[[#This Row],[sales]]-cleaneddata[[#This Row],[Cost]]</f>
        <v>839.76599999999962</v>
      </c>
    </row>
    <row r="443" spans="1:26" x14ac:dyDescent="0.3">
      <c r="A443" t="s">
        <v>1296</v>
      </c>
      <c r="B443" s="1">
        <v>45955</v>
      </c>
      <c r="C443" t="s">
        <v>1297</v>
      </c>
      <c r="D443" t="s">
        <v>3312</v>
      </c>
      <c r="E443" s="1">
        <v>45961</v>
      </c>
      <c r="F443" t="s">
        <v>68</v>
      </c>
      <c r="G443" t="s">
        <v>66</v>
      </c>
      <c r="H443" t="s">
        <v>67</v>
      </c>
      <c r="I443" t="s">
        <v>2656</v>
      </c>
      <c r="J443" t="s">
        <v>2657</v>
      </c>
      <c r="K443" t="s">
        <v>52</v>
      </c>
      <c r="L443">
        <v>51</v>
      </c>
      <c r="M443">
        <v>2</v>
      </c>
      <c r="N443">
        <v>5</v>
      </c>
      <c r="O443" t="s">
        <v>1298</v>
      </c>
      <c r="P443" t="s">
        <v>75</v>
      </c>
      <c r="Q443" t="s">
        <v>117</v>
      </c>
      <c r="R443" t="s">
        <v>32</v>
      </c>
      <c r="S443" t="s">
        <v>69</v>
      </c>
      <c r="T443">
        <v>1</v>
      </c>
      <c r="U443">
        <v>547.72</v>
      </c>
      <c r="V443">
        <v>524.76</v>
      </c>
      <c r="W443">
        <v>6</v>
      </c>
      <c r="X443" t="str">
        <f>TEXT(cleaneddata[[#This Row],[Order Date]],"mmm")</f>
        <v>Oct</v>
      </c>
      <c r="Y443">
        <f>cleaneddata[[#This Row],[Unit Price]]*cleaneddata[[#This Row],[Quantity]]*(1-cleaneddata[[#This Row],[Discount %]]/100)</f>
        <v>1040.6679999999999</v>
      </c>
      <c r="Z443">
        <f>cleaneddata[[#This Row],[sales]]-cleaneddata[[#This Row],[Cost]]</f>
        <v>515.9079999999999</v>
      </c>
    </row>
    <row r="444" spans="1:26" x14ac:dyDescent="0.3">
      <c r="A444" t="s">
        <v>1299</v>
      </c>
      <c r="B444" s="1">
        <v>45676</v>
      </c>
      <c r="C444" t="s">
        <v>1300</v>
      </c>
      <c r="D444" t="s">
        <v>3311</v>
      </c>
      <c r="E444" s="1">
        <v>45679</v>
      </c>
      <c r="F444" t="s">
        <v>29</v>
      </c>
      <c r="G444" t="s">
        <v>27</v>
      </c>
      <c r="H444" t="s">
        <v>28</v>
      </c>
      <c r="I444" t="s">
        <v>2652</v>
      </c>
      <c r="J444" t="s">
        <v>2653</v>
      </c>
      <c r="K444" t="s">
        <v>25</v>
      </c>
      <c r="L444">
        <v>18</v>
      </c>
      <c r="M444">
        <v>2</v>
      </c>
      <c r="N444">
        <v>15</v>
      </c>
      <c r="O444" t="s">
        <v>1301</v>
      </c>
      <c r="P444" t="s">
        <v>44</v>
      </c>
      <c r="Q444" t="s">
        <v>117</v>
      </c>
      <c r="R444" t="s">
        <v>71</v>
      </c>
      <c r="S444" t="s">
        <v>30</v>
      </c>
      <c r="T444">
        <v>5</v>
      </c>
      <c r="U444">
        <v>706.08</v>
      </c>
      <c r="V444">
        <v>781.81</v>
      </c>
      <c r="W444">
        <v>3</v>
      </c>
      <c r="X444" t="str">
        <f>TEXT(cleaneddata[[#This Row],[Order Date]],"mmm")</f>
        <v>Jan</v>
      </c>
      <c r="Y444">
        <f>cleaneddata[[#This Row],[Unit Price]]*cleaneddata[[#This Row],[Quantity]]*(1-cleaneddata[[#This Row],[Discount %]]/100)</f>
        <v>1200.336</v>
      </c>
      <c r="Z444">
        <f>cleaneddata[[#This Row],[sales]]-cleaneddata[[#This Row],[Cost]]</f>
        <v>418.52600000000007</v>
      </c>
    </row>
    <row r="445" spans="1:26" x14ac:dyDescent="0.3">
      <c r="A445" t="s">
        <v>1302</v>
      </c>
      <c r="B445" s="1">
        <v>45655</v>
      </c>
      <c r="C445" t="s">
        <v>1303</v>
      </c>
      <c r="D445" t="s">
        <v>3310</v>
      </c>
      <c r="E445" s="1">
        <v>45661</v>
      </c>
      <c r="F445" t="s">
        <v>40</v>
      </c>
      <c r="G445" t="s">
        <v>38</v>
      </c>
      <c r="H445" t="s">
        <v>39</v>
      </c>
      <c r="I445" t="s">
        <v>2665</v>
      </c>
      <c r="J445" t="s">
        <v>2666</v>
      </c>
      <c r="K445" t="s">
        <v>52</v>
      </c>
      <c r="L445">
        <v>57</v>
      </c>
      <c r="M445">
        <v>3</v>
      </c>
      <c r="N445">
        <v>20</v>
      </c>
      <c r="O445" t="s">
        <v>1304</v>
      </c>
      <c r="P445" t="s">
        <v>44</v>
      </c>
      <c r="Q445" t="s">
        <v>117</v>
      </c>
      <c r="R445" t="s">
        <v>62</v>
      </c>
      <c r="S445" t="s">
        <v>41</v>
      </c>
      <c r="T445">
        <v>5</v>
      </c>
      <c r="U445">
        <v>96.99</v>
      </c>
      <c r="V445">
        <v>186.86</v>
      </c>
      <c r="W445">
        <v>6</v>
      </c>
      <c r="X445" t="str">
        <f>TEXT(cleaneddata[[#This Row],[Order Date]],"mmm")</f>
        <v>Dec</v>
      </c>
      <c r="Y445">
        <f>cleaneddata[[#This Row],[Unit Price]]*cleaneddata[[#This Row],[Quantity]]*(1-cleaneddata[[#This Row],[Discount %]]/100)</f>
        <v>232.77599999999998</v>
      </c>
      <c r="Z445">
        <f>cleaneddata[[#This Row],[sales]]-cleaneddata[[#This Row],[Cost]]</f>
        <v>45.915999999999968</v>
      </c>
    </row>
    <row r="446" spans="1:26" x14ac:dyDescent="0.3">
      <c r="A446" t="s">
        <v>1305</v>
      </c>
      <c r="B446" s="1">
        <v>45470</v>
      </c>
      <c r="C446" t="s">
        <v>1306</v>
      </c>
      <c r="D446" t="s">
        <v>3309</v>
      </c>
      <c r="E446" s="1">
        <v>45475</v>
      </c>
      <c r="F446" t="s">
        <v>128</v>
      </c>
      <c r="G446" t="s">
        <v>98</v>
      </c>
      <c r="H446" t="s">
        <v>127</v>
      </c>
      <c r="I446" t="s">
        <v>2679</v>
      </c>
      <c r="J446" t="s">
        <v>2707</v>
      </c>
      <c r="K446" t="s">
        <v>52</v>
      </c>
      <c r="L446">
        <v>39</v>
      </c>
      <c r="M446">
        <v>2</v>
      </c>
      <c r="N446">
        <v>10</v>
      </c>
      <c r="O446" t="s">
        <v>1307</v>
      </c>
      <c r="P446" t="s">
        <v>44</v>
      </c>
      <c r="Q446" t="s">
        <v>31</v>
      </c>
      <c r="R446" t="s">
        <v>62</v>
      </c>
      <c r="S446" t="s">
        <v>129</v>
      </c>
      <c r="T446">
        <v>4</v>
      </c>
      <c r="U446">
        <v>752.46</v>
      </c>
      <c r="V446">
        <v>750.65</v>
      </c>
      <c r="W446">
        <v>5</v>
      </c>
      <c r="X446" t="str">
        <f>TEXT(cleaneddata[[#This Row],[Order Date]],"mmm")</f>
        <v>Jun</v>
      </c>
      <c r="Y446">
        <f>cleaneddata[[#This Row],[Unit Price]]*cleaneddata[[#This Row],[Quantity]]*(1-cleaneddata[[#This Row],[Discount %]]/100)</f>
        <v>1354.4280000000001</v>
      </c>
      <c r="Z446">
        <f>cleaneddata[[#This Row],[sales]]-cleaneddata[[#This Row],[Cost]]</f>
        <v>603.77800000000013</v>
      </c>
    </row>
    <row r="447" spans="1:26" x14ac:dyDescent="0.3">
      <c r="A447" t="s">
        <v>1308</v>
      </c>
      <c r="B447" s="1">
        <v>46067</v>
      </c>
      <c r="C447" t="s">
        <v>1309</v>
      </c>
      <c r="D447" t="s">
        <v>3308</v>
      </c>
      <c r="E447" s="1">
        <v>46068</v>
      </c>
      <c r="F447" t="s">
        <v>122</v>
      </c>
      <c r="G447" t="s">
        <v>120</v>
      </c>
      <c r="H447" t="s">
        <v>121</v>
      </c>
      <c r="I447" t="s">
        <v>2625</v>
      </c>
      <c r="J447" t="s">
        <v>2626</v>
      </c>
      <c r="K447" t="s">
        <v>52</v>
      </c>
      <c r="L447">
        <v>33</v>
      </c>
      <c r="M447">
        <v>2</v>
      </c>
      <c r="N447">
        <v>5</v>
      </c>
      <c r="O447" t="s">
        <v>1096</v>
      </c>
      <c r="P447" t="s">
        <v>44</v>
      </c>
      <c r="Q447" t="s">
        <v>117</v>
      </c>
      <c r="R447" t="s">
        <v>71</v>
      </c>
      <c r="S447" t="s">
        <v>123</v>
      </c>
      <c r="T447">
        <v>5</v>
      </c>
      <c r="U447">
        <v>256.10000000000002</v>
      </c>
      <c r="V447">
        <v>413.02</v>
      </c>
      <c r="W447">
        <v>1</v>
      </c>
      <c r="X447" t="str">
        <f>TEXT(cleaneddata[[#This Row],[Order Date]],"mmm")</f>
        <v>Feb</v>
      </c>
      <c r="Y447">
        <f>cleaneddata[[#This Row],[Unit Price]]*cleaneddata[[#This Row],[Quantity]]*(1-cleaneddata[[#This Row],[Discount %]]/100)</f>
        <v>486.59000000000003</v>
      </c>
      <c r="Z447">
        <f>cleaneddata[[#This Row],[sales]]-cleaneddata[[#This Row],[Cost]]</f>
        <v>73.57000000000005</v>
      </c>
    </row>
    <row r="448" spans="1:26" x14ac:dyDescent="0.3">
      <c r="A448" t="s">
        <v>1310</v>
      </c>
      <c r="B448" s="1">
        <v>45674</v>
      </c>
      <c r="C448" t="s">
        <v>1311</v>
      </c>
      <c r="D448" t="s">
        <v>3307</v>
      </c>
      <c r="E448" s="1">
        <v>45677</v>
      </c>
      <c r="F448" t="s">
        <v>29</v>
      </c>
      <c r="G448" t="s">
        <v>27</v>
      </c>
      <c r="H448" t="s">
        <v>28</v>
      </c>
      <c r="I448" t="s">
        <v>2637</v>
      </c>
      <c r="J448" t="s">
        <v>99</v>
      </c>
      <c r="K448" t="s">
        <v>25</v>
      </c>
      <c r="L448">
        <v>42</v>
      </c>
      <c r="M448">
        <v>3</v>
      </c>
      <c r="N448">
        <v>30</v>
      </c>
      <c r="O448" t="s">
        <v>1312</v>
      </c>
      <c r="P448" t="s">
        <v>33</v>
      </c>
      <c r="Q448" t="s">
        <v>117</v>
      </c>
      <c r="R448" t="s">
        <v>71</v>
      </c>
      <c r="S448" t="s">
        <v>30</v>
      </c>
      <c r="T448">
        <v>3</v>
      </c>
      <c r="U448">
        <v>430.63</v>
      </c>
      <c r="V448">
        <v>670.52</v>
      </c>
      <c r="W448">
        <v>3</v>
      </c>
      <c r="X448" t="str">
        <f>TEXT(cleaneddata[[#This Row],[Order Date]],"mmm")</f>
        <v>Jan</v>
      </c>
      <c r="Y448">
        <f>cleaneddata[[#This Row],[Unit Price]]*cleaneddata[[#This Row],[Quantity]]*(1-cleaneddata[[#This Row],[Discount %]]/100)</f>
        <v>904.32299999999987</v>
      </c>
      <c r="Z448">
        <f>cleaneddata[[#This Row],[sales]]-cleaneddata[[#This Row],[Cost]]</f>
        <v>233.80299999999988</v>
      </c>
    </row>
    <row r="449" spans="1:26" x14ac:dyDescent="0.3">
      <c r="A449" t="s">
        <v>1313</v>
      </c>
      <c r="B449" s="1">
        <v>45938</v>
      </c>
      <c r="C449" t="s">
        <v>1314</v>
      </c>
      <c r="D449" t="s">
        <v>3306</v>
      </c>
      <c r="E449" s="1">
        <v>45944</v>
      </c>
      <c r="F449" t="s">
        <v>29</v>
      </c>
      <c r="G449" t="s">
        <v>27</v>
      </c>
      <c r="H449" t="s">
        <v>28</v>
      </c>
      <c r="I449" t="s">
        <v>2668</v>
      </c>
      <c r="J449" t="s">
        <v>2669</v>
      </c>
      <c r="K449" t="s">
        <v>25</v>
      </c>
      <c r="L449">
        <v>49</v>
      </c>
      <c r="M449">
        <v>2</v>
      </c>
      <c r="N449">
        <v>25</v>
      </c>
      <c r="O449" t="s">
        <v>1315</v>
      </c>
      <c r="P449" t="s">
        <v>44</v>
      </c>
      <c r="Q449" t="s">
        <v>31</v>
      </c>
      <c r="R449" t="s">
        <v>62</v>
      </c>
      <c r="S449" t="s">
        <v>30</v>
      </c>
      <c r="T449">
        <v>5</v>
      </c>
      <c r="U449">
        <v>646.66999999999996</v>
      </c>
      <c r="V449">
        <v>720.77</v>
      </c>
      <c r="W449">
        <v>6</v>
      </c>
      <c r="X449" t="str">
        <f>TEXT(cleaneddata[[#This Row],[Order Date]],"mmm")</f>
        <v>Oct</v>
      </c>
      <c r="Y449">
        <f>cleaneddata[[#This Row],[Unit Price]]*cleaneddata[[#This Row],[Quantity]]*(1-cleaneddata[[#This Row],[Discount %]]/100)</f>
        <v>970.00499999999988</v>
      </c>
      <c r="Z449">
        <f>cleaneddata[[#This Row],[sales]]-cleaneddata[[#This Row],[Cost]]</f>
        <v>249.2349999999999</v>
      </c>
    </row>
    <row r="450" spans="1:26" x14ac:dyDescent="0.3">
      <c r="A450" t="s">
        <v>1316</v>
      </c>
      <c r="B450" s="1">
        <v>46072</v>
      </c>
      <c r="C450" t="s">
        <v>1317</v>
      </c>
      <c r="D450" t="s">
        <v>3305</v>
      </c>
      <c r="E450" s="1">
        <v>46075</v>
      </c>
      <c r="F450" t="s">
        <v>122</v>
      </c>
      <c r="G450" t="s">
        <v>120</v>
      </c>
      <c r="H450" t="s">
        <v>121</v>
      </c>
      <c r="I450" t="s">
        <v>2654</v>
      </c>
      <c r="J450" t="s">
        <v>2702</v>
      </c>
      <c r="K450" t="s">
        <v>25</v>
      </c>
      <c r="L450">
        <v>51</v>
      </c>
      <c r="M450">
        <v>3</v>
      </c>
      <c r="N450">
        <v>15</v>
      </c>
      <c r="O450" t="s">
        <v>1239</v>
      </c>
      <c r="P450" t="s">
        <v>44</v>
      </c>
      <c r="Q450" t="s">
        <v>117</v>
      </c>
      <c r="R450" t="s">
        <v>43</v>
      </c>
      <c r="S450" t="s">
        <v>123</v>
      </c>
      <c r="T450">
        <v>1</v>
      </c>
      <c r="U450">
        <v>757.07</v>
      </c>
      <c r="V450">
        <v>1626.13</v>
      </c>
      <c r="W450">
        <v>3</v>
      </c>
      <c r="X450" t="str">
        <f>TEXT(cleaneddata[[#This Row],[Order Date]],"mmm")</f>
        <v>Feb</v>
      </c>
      <c r="Y450">
        <f>cleaneddata[[#This Row],[Unit Price]]*cleaneddata[[#This Row],[Quantity]]*(1-cleaneddata[[#This Row],[Discount %]]/100)</f>
        <v>1930.5284999999999</v>
      </c>
      <c r="Z450">
        <f>cleaneddata[[#This Row],[sales]]-cleaneddata[[#This Row],[Cost]]</f>
        <v>304.39849999999979</v>
      </c>
    </row>
    <row r="451" spans="1:26" x14ac:dyDescent="0.3">
      <c r="A451" t="s">
        <v>1318</v>
      </c>
      <c r="B451" s="1">
        <v>45428</v>
      </c>
      <c r="C451" t="s">
        <v>1319</v>
      </c>
      <c r="D451" t="s">
        <v>3304</v>
      </c>
      <c r="E451" s="1">
        <v>45431</v>
      </c>
      <c r="F451" t="s">
        <v>122</v>
      </c>
      <c r="G451" t="s">
        <v>120</v>
      </c>
      <c r="H451" t="s">
        <v>121</v>
      </c>
      <c r="I451" t="s">
        <v>2632</v>
      </c>
      <c r="J451" t="s">
        <v>2715</v>
      </c>
      <c r="K451" t="s">
        <v>25</v>
      </c>
      <c r="L451">
        <v>52</v>
      </c>
      <c r="M451">
        <v>2</v>
      </c>
      <c r="N451">
        <v>25</v>
      </c>
      <c r="O451" t="s">
        <v>1320</v>
      </c>
      <c r="P451" t="s">
        <v>44</v>
      </c>
      <c r="Q451" t="s">
        <v>42</v>
      </c>
      <c r="R451" t="s">
        <v>43</v>
      </c>
      <c r="S451" t="s">
        <v>123</v>
      </c>
      <c r="T451">
        <v>1</v>
      </c>
      <c r="U451">
        <v>420.6</v>
      </c>
      <c r="V451">
        <v>415.71</v>
      </c>
      <c r="W451">
        <v>3</v>
      </c>
      <c r="X451" t="str">
        <f>TEXT(cleaneddata[[#This Row],[Order Date]],"mmm")</f>
        <v>May</v>
      </c>
      <c r="Y451">
        <f>cleaneddata[[#This Row],[Unit Price]]*cleaneddata[[#This Row],[Quantity]]*(1-cleaneddata[[#This Row],[Discount %]]/100)</f>
        <v>630.90000000000009</v>
      </c>
      <c r="Z451">
        <f>cleaneddata[[#This Row],[sales]]-cleaneddata[[#This Row],[Cost]]</f>
        <v>215.19000000000011</v>
      </c>
    </row>
    <row r="452" spans="1:26" x14ac:dyDescent="0.3">
      <c r="A452" t="s">
        <v>1321</v>
      </c>
      <c r="B452" s="1">
        <v>45350</v>
      </c>
      <c r="C452" t="s">
        <v>621</v>
      </c>
      <c r="D452" t="s">
        <v>3303</v>
      </c>
      <c r="E452" s="1">
        <v>45355</v>
      </c>
      <c r="F452" t="s">
        <v>56</v>
      </c>
      <c r="G452" t="s">
        <v>54</v>
      </c>
      <c r="H452" t="s">
        <v>55</v>
      </c>
      <c r="I452" t="s">
        <v>2631</v>
      </c>
      <c r="J452" t="s">
        <v>2711</v>
      </c>
      <c r="K452" t="s">
        <v>25</v>
      </c>
      <c r="L452">
        <v>45</v>
      </c>
      <c r="M452">
        <v>1</v>
      </c>
      <c r="N452">
        <v>30</v>
      </c>
      <c r="O452" t="s">
        <v>496</v>
      </c>
      <c r="P452" t="s">
        <v>33</v>
      </c>
      <c r="Q452" t="s">
        <v>31</v>
      </c>
      <c r="R452" t="s">
        <v>62</v>
      </c>
      <c r="S452" t="s">
        <v>57</v>
      </c>
      <c r="T452">
        <v>2</v>
      </c>
      <c r="U452">
        <v>339.11</v>
      </c>
      <c r="V452">
        <v>171.83</v>
      </c>
      <c r="W452">
        <v>5</v>
      </c>
      <c r="X452" t="str">
        <f>TEXT(cleaneddata[[#This Row],[Order Date]],"mmm")</f>
        <v>Feb</v>
      </c>
      <c r="Y452">
        <f>cleaneddata[[#This Row],[Unit Price]]*cleaneddata[[#This Row],[Quantity]]*(1-cleaneddata[[#This Row],[Discount %]]/100)</f>
        <v>237.37699999999998</v>
      </c>
      <c r="Z452">
        <f>cleaneddata[[#This Row],[sales]]-cleaneddata[[#This Row],[Cost]]</f>
        <v>65.546999999999969</v>
      </c>
    </row>
    <row r="453" spans="1:26" x14ac:dyDescent="0.3">
      <c r="A453" t="s">
        <v>1322</v>
      </c>
      <c r="B453" s="1">
        <v>45761</v>
      </c>
      <c r="C453" t="s">
        <v>1323</v>
      </c>
      <c r="D453" t="s">
        <v>3302</v>
      </c>
      <c r="E453" s="1">
        <v>45764</v>
      </c>
      <c r="F453" t="s">
        <v>56</v>
      </c>
      <c r="G453" t="s">
        <v>54</v>
      </c>
      <c r="H453" t="s">
        <v>55</v>
      </c>
      <c r="I453" t="s">
        <v>2633</v>
      </c>
      <c r="J453" t="s">
        <v>2636</v>
      </c>
      <c r="K453" t="s">
        <v>25</v>
      </c>
      <c r="L453">
        <v>37</v>
      </c>
      <c r="M453">
        <v>2</v>
      </c>
      <c r="N453">
        <v>15</v>
      </c>
      <c r="O453" t="s">
        <v>1324</v>
      </c>
      <c r="P453" t="s">
        <v>44</v>
      </c>
      <c r="Q453" t="s">
        <v>70</v>
      </c>
      <c r="R453" t="s">
        <v>43</v>
      </c>
      <c r="S453" t="s">
        <v>57</v>
      </c>
      <c r="T453">
        <v>1</v>
      </c>
      <c r="U453">
        <v>497.2</v>
      </c>
      <c r="V453">
        <v>674.38</v>
      </c>
      <c r="W453">
        <v>3</v>
      </c>
      <c r="X453" t="str">
        <f>TEXT(cleaneddata[[#This Row],[Order Date]],"mmm")</f>
        <v>Apr</v>
      </c>
      <c r="Y453">
        <f>cleaneddata[[#This Row],[Unit Price]]*cleaneddata[[#This Row],[Quantity]]*(1-cleaneddata[[#This Row],[Discount %]]/100)</f>
        <v>845.24</v>
      </c>
      <c r="Z453">
        <f>cleaneddata[[#This Row],[sales]]-cleaneddata[[#This Row],[Cost]]</f>
        <v>170.86</v>
      </c>
    </row>
    <row r="454" spans="1:26" x14ac:dyDescent="0.3">
      <c r="A454" t="s">
        <v>1325</v>
      </c>
      <c r="B454" s="1">
        <v>45962</v>
      </c>
      <c r="C454" t="s">
        <v>1326</v>
      </c>
      <c r="D454" t="s">
        <v>3301</v>
      </c>
      <c r="E454" s="1">
        <v>45966</v>
      </c>
      <c r="F454" t="s">
        <v>56</v>
      </c>
      <c r="G454" t="s">
        <v>54</v>
      </c>
      <c r="H454" t="s">
        <v>55</v>
      </c>
      <c r="I454" t="s">
        <v>2668</v>
      </c>
      <c r="J454" t="s">
        <v>2669</v>
      </c>
      <c r="K454" t="s">
        <v>25</v>
      </c>
      <c r="L454">
        <v>29</v>
      </c>
      <c r="M454">
        <v>2</v>
      </c>
      <c r="N454">
        <v>10</v>
      </c>
      <c r="O454" t="s">
        <v>1327</v>
      </c>
      <c r="P454" t="s">
        <v>75</v>
      </c>
      <c r="Q454" t="s">
        <v>117</v>
      </c>
      <c r="R454" t="s">
        <v>32</v>
      </c>
      <c r="S454" t="s">
        <v>57</v>
      </c>
      <c r="T454">
        <v>4</v>
      </c>
      <c r="U454">
        <v>505.63</v>
      </c>
      <c r="V454">
        <v>757.56</v>
      </c>
      <c r="W454">
        <v>4</v>
      </c>
      <c r="X454" t="str">
        <f>TEXT(cleaneddata[[#This Row],[Order Date]],"mmm")</f>
        <v>Nov</v>
      </c>
      <c r="Y454">
        <f>cleaneddata[[#This Row],[Unit Price]]*cleaneddata[[#This Row],[Quantity]]*(1-cleaneddata[[#This Row],[Discount %]]/100)</f>
        <v>910.13400000000001</v>
      </c>
      <c r="Z454">
        <f>cleaneddata[[#This Row],[sales]]-cleaneddata[[#This Row],[Cost]]</f>
        <v>152.57400000000007</v>
      </c>
    </row>
    <row r="455" spans="1:26" x14ac:dyDescent="0.3">
      <c r="A455" t="s">
        <v>1328</v>
      </c>
      <c r="B455" s="1">
        <v>45896</v>
      </c>
      <c r="C455" t="s">
        <v>1329</v>
      </c>
      <c r="D455" t="s">
        <v>3300</v>
      </c>
      <c r="E455" s="1">
        <v>45899</v>
      </c>
      <c r="F455" t="s">
        <v>68</v>
      </c>
      <c r="G455" t="s">
        <v>66</v>
      </c>
      <c r="H455" t="s">
        <v>67</v>
      </c>
      <c r="I455" t="s">
        <v>2641</v>
      </c>
      <c r="J455" t="s">
        <v>2692</v>
      </c>
      <c r="K455" t="s">
        <v>25</v>
      </c>
      <c r="L455">
        <v>18</v>
      </c>
      <c r="M455">
        <v>1</v>
      </c>
      <c r="N455">
        <v>10</v>
      </c>
      <c r="O455" t="s">
        <v>1000</v>
      </c>
      <c r="P455" t="s">
        <v>33</v>
      </c>
      <c r="Q455" t="s">
        <v>31</v>
      </c>
      <c r="R455" t="s">
        <v>32</v>
      </c>
      <c r="S455" t="s">
        <v>69</v>
      </c>
      <c r="T455">
        <v>3</v>
      </c>
      <c r="U455">
        <v>735.22</v>
      </c>
      <c r="V455">
        <v>410.44</v>
      </c>
      <c r="W455">
        <v>3</v>
      </c>
      <c r="X455" t="str">
        <f>TEXT(cleaneddata[[#This Row],[Order Date]],"mmm")</f>
        <v>Aug</v>
      </c>
      <c r="Y455">
        <f>cleaneddata[[#This Row],[Unit Price]]*cleaneddata[[#This Row],[Quantity]]*(1-cleaneddata[[#This Row],[Discount %]]/100)</f>
        <v>661.69800000000009</v>
      </c>
      <c r="Z455">
        <f>cleaneddata[[#This Row],[sales]]-cleaneddata[[#This Row],[Cost]]</f>
        <v>251.2580000000001</v>
      </c>
    </row>
    <row r="456" spans="1:26" x14ac:dyDescent="0.3">
      <c r="A456" t="s">
        <v>1330</v>
      </c>
      <c r="B456" s="1">
        <v>45519</v>
      </c>
      <c r="C456" t="s">
        <v>1331</v>
      </c>
      <c r="D456" t="s">
        <v>3299</v>
      </c>
      <c r="E456" s="1">
        <v>45525</v>
      </c>
      <c r="F456" t="s">
        <v>68</v>
      </c>
      <c r="G456" t="s">
        <v>66</v>
      </c>
      <c r="H456" t="s">
        <v>67</v>
      </c>
      <c r="I456" t="s">
        <v>2629</v>
      </c>
      <c r="J456" t="s">
        <v>2689</v>
      </c>
      <c r="K456" t="s">
        <v>52</v>
      </c>
      <c r="L456">
        <v>65</v>
      </c>
      <c r="M456">
        <v>3</v>
      </c>
      <c r="N456">
        <v>5</v>
      </c>
      <c r="O456" t="s">
        <v>270</v>
      </c>
      <c r="P456" t="s">
        <v>33</v>
      </c>
      <c r="Q456" t="s">
        <v>31</v>
      </c>
      <c r="R456" t="s">
        <v>62</v>
      </c>
      <c r="S456" t="s">
        <v>69</v>
      </c>
      <c r="T456">
        <v>4</v>
      </c>
      <c r="U456">
        <v>527.65</v>
      </c>
      <c r="V456">
        <v>1144.55</v>
      </c>
      <c r="W456">
        <v>6</v>
      </c>
      <c r="X456" t="str">
        <f>TEXT(cleaneddata[[#This Row],[Order Date]],"mmm")</f>
        <v>Aug</v>
      </c>
      <c r="Y456">
        <f>cleaneddata[[#This Row],[Unit Price]]*cleaneddata[[#This Row],[Quantity]]*(1-cleaneddata[[#This Row],[Discount %]]/100)</f>
        <v>1503.8024999999998</v>
      </c>
      <c r="Z456">
        <f>cleaneddata[[#This Row],[sales]]-cleaneddata[[#This Row],[Cost]]</f>
        <v>359.25249999999983</v>
      </c>
    </row>
    <row r="457" spans="1:26" x14ac:dyDescent="0.3">
      <c r="A457" t="s">
        <v>1332</v>
      </c>
      <c r="B457" s="1">
        <v>46041</v>
      </c>
      <c r="C457" t="s">
        <v>1333</v>
      </c>
      <c r="D457" t="s">
        <v>3298</v>
      </c>
      <c r="E457" s="1">
        <v>46043</v>
      </c>
      <c r="F457" t="s">
        <v>29</v>
      </c>
      <c r="G457" t="s">
        <v>27</v>
      </c>
      <c r="H457" t="s">
        <v>28</v>
      </c>
      <c r="I457" t="s">
        <v>2679</v>
      </c>
      <c r="J457" t="s">
        <v>2707</v>
      </c>
      <c r="K457" t="s">
        <v>52</v>
      </c>
      <c r="L457">
        <v>28</v>
      </c>
      <c r="M457">
        <v>1</v>
      </c>
      <c r="N457">
        <v>20</v>
      </c>
      <c r="O457" t="s">
        <v>794</v>
      </c>
      <c r="P457" t="s">
        <v>44</v>
      </c>
      <c r="Q457" t="s">
        <v>117</v>
      </c>
      <c r="R457" t="s">
        <v>71</v>
      </c>
      <c r="S457" t="s">
        <v>30</v>
      </c>
      <c r="T457">
        <v>2</v>
      </c>
      <c r="U457">
        <v>855.81</v>
      </c>
      <c r="V457">
        <v>567.19000000000005</v>
      </c>
      <c r="W457">
        <v>2</v>
      </c>
      <c r="X457" t="str">
        <f>TEXT(cleaneddata[[#This Row],[Order Date]],"mmm")</f>
        <v>Jan</v>
      </c>
      <c r="Y457">
        <f>cleaneddata[[#This Row],[Unit Price]]*cleaneddata[[#This Row],[Quantity]]*(1-cleaneddata[[#This Row],[Discount %]]/100)</f>
        <v>684.64800000000002</v>
      </c>
      <c r="Z457">
        <f>cleaneddata[[#This Row],[sales]]-cleaneddata[[#This Row],[Cost]]</f>
        <v>117.45799999999997</v>
      </c>
    </row>
    <row r="458" spans="1:26" x14ac:dyDescent="0.3">
      <c r="A458" t="s">
        <v>1334</v>
      </c>
      <c r="B458" s="1">
        <v>45492</v>
      </c>
      <c r="C458" t="s">
        <v>1335</v>
      </c>
      <c r="D458" t="s">
        <v>3297</v>
      </c>
      <c r="E458" s="1">
        <v>45498</v>
      </c>
      <c r="F458" t="s">
        <v>122</v>
      </c>
      <c r="G458" t="s">
        <v>120</v>
      </c>
      <c r="H458" t="s">
        <v>121</v>
      </c>
      <c r="I458" t="s">
        <v>2633</v>
      </c>
      <c r="J458" t="s">
        <v>2678</v>
      </c>
      <c r="K458" t="s">
        <v>25</v>
      </c>
      <c r="L458">
        <v>34</v>
      </c>
      <c r="M458">
        <v>3</v>
      </c>
      <c r="N458">
        <v>30</v>
      </c>
      <c r="O458" t="s">
        <v>1336</v>
      </c>
      <c r="P458" t="s">
        <v>44</v>
      </c>
      <c r="Q458" t="s">
        <v>42</v>
      </c>
      <c r="R458" t="s">
        <v>71</v>
      </c>
      <c r="S458" t="s">
        <v>123</v>
      </c>
      <c r="T458">
        <v>5</v>
      </c>
      <c r="U458">
        <v>393.03</v>
      </c>
      <c r="V458">
        <v>582.88</v>
      </c>
      <c r="W458">
        <v>6</v>
      </c>
      <c r="X458" t="str">
        <f>TEXT(cleaneddata[[#This Row],[Order Date]],"mmm")</f>
        <v>Jul</v>
      </c>
      <c r="Y458">
        <f>cleaneddata[[#This Row],[Unit Price]]*cleaneddata[[#This Row],[Quantity]]*(1-cleaneddata[[#This Row],[Discount %]]/100)</f>
        <v>825.36299999999994</v>
      </c>
      <c r="Z458">
        <f>cleaneddata[[#This Row],[sales]]-cleaneddata[[#This Row],[Cost]]</f>
        <v>242.48299999999995</v>
      </c>
    </row>
    <row r="459" spans="1:26" x14ac:dyDescent="0.3">
      <c r="A459" t="s">
        <v>1337</v>
      </c>
      <c r="B459" s="1">
        <v>45337</v>
      </c>
      <c r="C459" t="s">
        <v>1338</v>
      </c>
      <c r="D459" t="s">
        <v>3296</v>
      </c>
      <c r="E459" s="1">
        <v>45341</v>
      </c>
      <c r="F459" t="s">
        <v>56</v>
      </c>
      <c r="G459" t="s">
        <v>54</v>
      </c>
      <c r="H459" t="s">
        <v>55</v>
      </c>
      <c r="I459" t="s">
        <v>2633</v>
      </c>
      <c r="J459" t="s">
        <v>2695</v>
      </c>
      <c r="K459" t="s">
        <v>25</v>
      </c>
      <c r="L459">
        <v>51</v>
      </c>
      <c r="M459">
        <v>1</v>
      </c>
      <c r="N459">
        <v>30</v>
      </c>
      <c r="O459" t="s">
        <v>1339</v>
      </c>
      <c r="P459" t="s">
        <v>44</v>
      </c>
      <c r="Q459" t="s">
        <v>117</v>
      </c>
      <c r="R459" t="s">
        <v>71</v>
      </c>
      <c r="S459" t="s">
        <v>57</v>
      </c>
      <c r="T459">
        <v>5</v>
      </c>
      <c r="U459">
        <v>315.14</v>
      </c>
      <c r="V459">
        <v>183.4</v>
      </c>
      <c r="W459">
        <v>4</v>
      </c>
      <c r="X459" t="str">
        <f>TEXT(cleaneddata[[#This Row],[Order Date]],"mmm")</f>
        <v>Feb</v>
      </c>
      <c r="Y459">
        <f>cleaneddata[[#This Row],[Unit Price]]*cleaneddata[[#This Row],[Quantity]]*(1-cleaneddata[[#This Row],[Discount %]]/100)</f>
        <v>220.59799999999998</v>
      </c>
      <c r="Z459">
        <f>cleaneddata[[#This Row],[sales]]-cleaneddata[[#This Row],[Cost]]</f>
        <v>37.197999999999979</v>
      </c>
    </row>
    <row r="460" spans="1:26" x14ac:dyDescent="0.3">
      <c r="A460" t="s">
        <v>1340</v>
      </c>
      <c r="B460" s="1">
        <v>45396</v>
      </c>
      <c r="C460" t="s">
        <v>1341</v>
      </c>
      <c r="D460" t="s">
        <v>3295</v>
      </c>
      <c r="E460" s="1">
        <v>45399</v>
      </c>
      <c r="F460" t="s">
        <v>128</v>
      </c>
      <c r="G460" t="s">
        <v>98</v>
      </c>
      <c r="H460" t="s">
        <v>127</v>
      </c>
      <c r="I460" t="s">
        <v>2623</v>
      </c>
      <c r="J460" t="s">
        <v>2691</v>
      </c>
      <c r="K460" t="s">
        <v>52</v>
      </c>
      <c r="L460">
        <v>50</v>
      </c>
      <c r="M460">
        <v>1</v>
      </c>
      <c r="N460">
        <v>15</v>
      </c>
      <c r="O460" t="s">
        <v>563</v>
      </c>
      <c r="P460" t="s">
        <v>44</v>
      </c>
      <c r="Q460" t="s">
        <v>31</v>
      </c>
      <c r="R460" t="s">
        <v>43</v>
      </c>
      <c r="S460" t="s">
        <v>129</v>
      </c>
      <c r="T460">
        <v>4</v>
      </c>
      <c r="U460">
        <v>122.66</v>
      </c>
      <c r="V460">
        <v>70.790000000000006</v>
      </c>
      <c r="W460">
        <v>3</v>
      </c>
      <c r="X460" t="str">
        <f>TEXT(cleaneddata[[#This Row],[Order Date]],"mmm")</f>
        <v>Apr</v>
      </c>
      <c r="Y460">
        <f>cleaneddata[[#This Row],[Unit Price]]*cleaneddata[[#This Row],[Quantity]]*(1-cleaneddata[[#This Row],[Discount %]]/100)</f>
        <v>104.261</v>
      </c>
      <c r="Z460">
        <f>cleaneddata[[#This Row],[sales]]-cleaneddata[[#This Row],[Cost]]</f>
        <v>33.470999999999989</v>
      </c>
    </row>
    <row r="461" spans="1:26" x14ac:dyDescent="0.3">
      <c r="A461" t="s">
        <v>1342</v>
      </c>
      <c r="B461" s="1">
        <v>45755</v>
      </c>
      <c r="C461" t="s">
        <v>1343</v>
      </c>
      <c r="D461" t="s">
        <v>3294</v>
      </c>
      <c r="E461" s="1">
        <v>45759</v>
      </c>
      <c r="F461" t="s">
        <v>68</v>
      </c>
      <c r="G461" t="s">
        <v>66</v>
      </c>
      <c r="H461" t="s">
        <v>67</v>
      </c>
      <c r="I461" t="s">
        <v>2641</v>
      </c>
      <c r="J461" t="s">
        <v>2713</v>
      </c>
      <c r="K461" t="s">
        <v>52</v>
      </c>
      <c r="L461">
        <v>31</v>
      </c>
      <c r="M461">
        <v>5</v>
      </c>
      <c r="N461">
        <v>30</v>
      </c>
      <c r="O461" t="s">
        <v>1344</v>
      </c>
      <c r="P461" t="s">
        <v>33</v>
      </c>
      <c r="Q461" t="s">
        <v>42</v>
      </c>
      <c r="R461" t="s">
        <v>43</v>
      </c>
      <c r="S461" t="s">
        <v>69</v>
      </c>
      <c r="T461">
        <v>4</v>
      </c>
      <c r="U461">
        <v>848.44</v>
      </c>
      <c r="V461">
        <v>2269.38</v>
      </c>
      <c r="W461">
        <v>4</v>
      </c>
      <c r="X461" t="str">
        <f>TEXT(cleaneddata[[#This Row],[Order Date]],"mmm")</f>
        <v>Apr</v>
      </c>
      <c r="Y461">
        <f>cleaneddata[[#This Row],[Unit Price]]*cleaneddata[[#This Row],[Quantity]]*(1-cleaneddata[[#This Row],[Discount %]]/100)</f>
        <v>2969.5400000000004</v>
      </c>
      <c r="Z461">
        <f>cleaneddata[[#This Row],[sales]]-cleaneddata[[#This Row],[Cost]]</f>
        <v>700.16000000000031</v>
      </c>
    </row>
    <row r="462" spans="1:26" x14ac:dyDescent="0.3">
      <c r="A462" t="s">
        <v>1345</v>
      </c>
      <c r="B462" s="1">
        <v>45359</v>
      </c>
      <c r="C462" t="s">
        <v>1346</v>
      </c>
      <c r="D462" t="s">
        <v>3293</v>
      </c>
      <c r="E462" s="1">
        <v>45366</v>
      </c>
      <c r="F462" t="s">
        <v>29</v>
      </c>
      <c r="G462" t="s">
        <v>27</v>
      </c>
      <c r="H462" t="s">
        <v>28</v>
      </c>
      <c r="I462" t="s">
        <v>2629</v>
      </c>
      <c r="J462" t="s">
        <v>2630</v>
      </c>
      <c r="K462" t="s">
        <v>52</v>
      </c>
      <c r="L462">
        <v>21</v>
      </c>
      <c r="M462">
        <v>3</v>
      </c>
      <c r="N462">
        <v>25</v>
      </c>
      <c r="O462" t="s">
        <v>558</v>
      </c>
      <c r="P462" t="s">
        <v>44</v>
      </c>
      <c r="Q462" t="s">
        <v>70</v>
      </c>
      <c r="R462" t="s">
        <v>71</v>
      </c>
      <c r="S462" t="s">
        <v>30</v>
      </c>
      <c r="T462">
        <v>2</v>
      </c>
      <c r="U462">
        <v>257.37</v>
      </c>
      <c r="V462">
        <v>403.05</v>
      </c>
      <c r="W462">
        <v>7</v>
      </c>
      <c r="X462" t="str">
        <f>TEXT(cleaneddata[[#This Row],[Order Date]],"mmm")</f>
        <v>Mar</v>
      </c>
      <c r="Y462">
        <f>cleaneddata[[#This Row],[Unit Price]]*cleaneddata[[#This Row],[Quantity]]*(1-cleaneddata[[#This Row],[Discount %]]/100)</f>
        <v>579.08249999999998</v>
      </c>
      <c r="Z462">
        <f>cleaneddata[[#This Row],[sales]]-cleaneddata[[#This Row],[Cost]]</f>
        <v>176.03249999999997</v>
      </c>
    </row>
    <row r="463" spans="1:26" x14ac:dyDescent="0.3">
      <c r="A463" t="s">
        <v>1347</v>
      </c>
      <c r="B463" s="1">
        <v>45533</v>
      </c>
      <c r="C463" t="s">
        <v>1348</v>
      </c>
      <c r="D463" t="s">
        <v>3292</v>
      </c>
      <c r="E463" s="1">
        <v>45539</v>
      </c>
      <c r="F463" t="s">
        <v>122</v>
      </c>
      <c r="G463" t="s">
        <v>120</v>
      </c>
      <c r="H463" t="s">
        <v>121</v>
      </c>
      <c r="I463" t="s">
        <v>2637</v>
      </c>
      <c r="J463" t="s">
        <v>2649</v>
      </c>
      <c r="K463" t="s">
        <v>52</v>
      </c>
      <c r="L463">
        <v>43</v>
      </c>
      <c r="M463">
        <v>3</v>
      </c>
      <c r="N463">
        <v>5</v>
      </c>
      <c r="O463" t="s">
        <v>871</v>
      </c>
      <c r="P463" t="s">
        <v>33</v>
      </c>
      <c r="Q463" t="s">
        <v>70</v>
      </c>
      <c r="R463" t="s">
        <v>71</v>
      </c>
      <c r="S463" t="s">
        <v>123</v>
      </c>
      <c r="T463">
        <v>3</v>
      </c>
      <c r="U463">
        <v>913.04</v>
      </c>
      <c r="V463">
        <v>1778.64</v>
      </c>
      <c r="W463">
        <v>6</v>
      </c>
      <c r="X463" t="str">
        <f>TEXT(cleaneddata[[#This Row],[Order Date]],"mmm")</f>
        <v>Aug</v>
      </c>
      <c r="Y463">
        <f>cleaneddata[[#This Row],[Unit Price]]*cleaneddata[[#This Row],[Quantity]]*(1-cleaneddata[[#This Row],[Discount %]]/100)</f>
        <v>2602.1639999999998</v>
      </c>
      <c r="Z463">
        <f>cleaneddata[[#This Row],[sales]]-cleaneddata[[#This Row],[Cost]]</f>
        <v>823.52399999999966</v>
      </c>
    </row>
    <row r="464" spans="1:26" x14ac:dyDescent="0.3">
      <c r="A464" t="s">
        <v>1349</v>
      </c>
      <c r="B464" s="1">
        <v>45714</v>
      </c>
      <c r="C464" t="s">
        <v>1350</v>
      </c>
      <c r="D464" t="s">
        <v>3291</v>
      </c>
      <c r="E464" s="1">
        <v>45718</v>
      </c>
      <c r="F464" t="s">
        <v>56</v>
      </c>
      <c r="G464" t="s">
        <v>54</v>
      </c>
      <c r="H464" t="s">
        <v>55</v>
      </c>
      <c r="I464" t="s">
        <v>2627</v>
      </c>
      <c r="J464" t="s">
        <v>2698</v>
      </c>
      <c r="K464" t="s">
        <v>25</v>
      </c>
      <c r="L464">
        <v>34</v>
      </c>
      <c r="M464">
        <v>1</v>
      </c>
      <c r="N464">
        <v>10</v>
      </c>
      <c r="O464" t="s">
        <v>1351</v>
      </c>
      <c r="P464" t="s">
        <v>33</v>
      </c>
      <c r="Q464" t="s">
        <v>31</v>
      </c>
      <c r="R464" t="s">
        <v>71</v>
      </c>
      <c r="S464" t="s">
        <v>57</v>
      </c>
      <c r="T464">
        <v>1</v>
      </c>
      <c r="U464">
        <v>154.31</v>
      </c>
      <c r="V464">
        <v>75.88</v>
      </c>
      <c r="W464">
        <v>4</v>
      </c>
      <c r="X464" t="str">
        <f>TEXT(cleaneddata[[#This Row],[Order Date]],"mmm")</f>
        <v>Feb</v>
      </c>
      <c r="Y464">
        <f>cleaneddata[[#This Row],[Unit Price]]*cleaneddata[[#This Row],[Quantity]]*(1-cleaneddata[[#This Row],[Discount %]]/100)</f>
        <v>138.87900000000002</v>
      </c>
      <c r="Z464">
        <f>cleaneddata[[#This Row],[sales]]-cleaneddata[[#This Row],[Cost]]</f>
        <v>62.999000000000024</v>
      </c>
    </row>
    <row r="465" spans="1:26" x14ac:dyDescent="0.3">
      <c r="A465" t="s">
        <v>1352</v>
      </c>
      <c r="B465" s="1">
        <v>45946</v>
      </c>
      <c r="C465" t="s">
        <v>1353</v>
      </c>
      <c r="D465" t="s">
        <v>3290</v>
      </c>
      <c r="E465" s="1">
        <v>45947</v>
      </c>
      <c r="F465" t="s">
        <v>100</v>
      </c>
      <c r="G465" t="s">
        <v>98</v>
      </c>
      <c r="H465" t="s">
        <v>99</v>
      </c>
      <c r="I465" t="s">
        <v>2629</v>
      </c>
      <c r="J465" t="s">
        <v>2709</v>
      </c>
      <c r="K465" t="s">
        <v>25</v>
      </c>
      <c r="L465">
        <v>47</v>
      </c>
      <c r="M465">
        <v>2</v>
      </c>
      <c r="N465">
        <v>30</v>
      </c>
      <c r="O465" t="s">
        <v>706</v>
      </c>
      <c r="P465" t="s">
        <v>44</v>
      </c>
      <c r="Q465" t="s">
        <v>58</v>
      </c>
      <c r="R465" t="s">
        <v>43</v>
      </c>
      <c r="S465" t="s">
        <v>101</v>
      </c>
      <c r="T465">
        <v>3</v>
      </c>
      <c r="U465">
        <v>232.46</v>
      </c>
      <c r="V465">
        <v>213.6</v>
      </c>
      <c r="W465">
        <v>1</v>
      </c>
      <c r="X465" t="str">
        <f>TEXT(cleaneddata[[#This Row],[Order Date]],"mmm")</f>
        <v>Oct</v>
      </c>
      <c r="Y465">
        <f>cleaneddata[[#This Row],[Unit Price]]*cleaneddata[[#This Row],[Quantity]]*(1-cleaneddata[[#This Row],[Discount %]]/100)</f>
        <v>325.44400000000002</v>
      </c>
      <c r="Z465">
        <f>cleaneddata[[#This Row],[sales]]-cleaneddata[[#This Row],[Cost]]</f>
        <v>111.84400000000002</v>
      </c>
    </row>
    <row r="466" spans="1:26" x14ac:dyDescent="0.3">
      <c r="A466" t="s">
        <v>1354</v>
      </c>
      <c r="B466" s="1">
        <v>45614</v>
      </c>
      <c r="C466" t="s">
        <v>1355</v>
      </c>
      <c r="D466" t="s">
        <v>3289</v>
      </c>
      <c r="E466" s="1">
        <v>45615</v>
      </c>
      <c r="F466" t="s">
        <v>56</v>
      </c>
      <c r="G466" t="s">
        <v>54</v>
      </c>
      <c r="H466" t="s">
        <v>55</v>
      </c>
      <c r="I466" t="s">
        <v>2625</v>
      </c>
      <c r="J466" t="s">
        <v>2667</v>
      </c>
      <c r="K466" t="s">
        <v>25</v>
      </c>
      <c r="L466">
        <v>39</v>
      </c>
      <c r="M466">
        <v>2</v>
      </c>
      <c r="N466">
        <v>10</v>
      </c>
      <c r="O466" t="s">
        <v>1356</v>
      </c>
      <c r="P466" t="s">
        <v>33</v>
      </c>
      <c r="Q466" t="s">
        <v>70</v>
      </c>
      <c r="R466" t="s">
        <v>43</v>
      </c>
      <c r="S466" t="s">
        <v>57</v>
      </c>
      <c r="T466">
        <v>4</v>
      </c>
      <c r="U466">
        <v>839.88</v>
      </c>
      <c r="V466">
        <v>1026.07</v>
      </c>
      <c r="W466">
        <v>1</v>
      </c>
      <c r="X466" t="str">
        <f>TEXT(cleaneddata[[#This Row],[Order Date]],"mmm")</f>
        <v>Nov</v>
      </c>
      <c r="Y466">
        <f>cleaneddata[[#This Row],[Unit Price]]*cleaneddata[[#This Row],[Quantity]]*(1-cleaneddata[[#This Row],[Discount %]]/100)</f>
        <v>1511.7840000000001</v>
      </c>
      <c r="Z466">
        <f>cleaneddata[[#This Row],[sales]]-cleaneddata[[#This Row],[Cost]]</f>
        <v>485.71400000000017</v>
      </c>
    </row>
    <row r="467" spans="1:26" x14ac:dyDescent="0.3">
      <c r="A467" t="s">
        <v>1357</v>
      </c>
      <c r="B467" s="1">
        <v>45531</v>
      </c>
      <c r="C467" t="s">
        <v>1358</v>
      </c>
      <c r="D467" t="s">
        <v>3288</v>
      </c>
      <c r="E467" s="1">
        <v>45533</v>
      </c>
      <c r="F467" t="s">
        <v>100</v>
      </c>
      <c r="G467" t="s">
        <v>98</v>
      </c>
      <c r="H467" t="s">
        <v>99</v>
      </c>
      <c r="I467" t="s">
        <v>2675</v>
      </c>
      <c r="J467" t="s">
        <v>2710</v>
      </c>
      <c r="K467" t="s">
        <v>52</v>
      </c>
      <c r="L467">
        <v>36</v>
      </c>
      <c r="M467">
        <v>2</v>
      </c>
      <c r="N467">
        <v>30</v>
      </c>
      <c r="O467" t="s">
        <v>1359</v>
      </c>
      <c r="P467" t="s">
        <v>75</v>
      </c>
      <c r="Q467" t="s">
        <v>58</v>
      </c>
      <c r="R467" t="s">
        <v>43</v>
      </c>
      <c r="S467" t="s">
        <v>101</v>
      </c>
      <c r="T467">
        <v>4</v>
      </c>
      <c r="U467">
        <v>216.48</v>
      </c>
      <c r="V467">
        <v>184.21</v>
      </c>
      <c r="W467">
        <v>2</v>
      </c>
      <c r="X467" t="str">
        <f>TEXT(cleaneddata[[#This Row],[Order Date]],"mmm")</f>
        <v>Aug</v>
      </c>
      <c r="Y467">
        <f>cleaneddata[[#This Row],[Unit Price]]*cleaneddata[[#This Row],[Quantity]]*(1-cleaneddata[[#This Row],[Discount %]]/100)</f>
        <v>303.07199999999995</v>
      </c>
      <c r="Z467">
        <f>cleaneddata[[#This Row],[sales]]-cleaneddata[[#This Row],[Cost]]</f>
        <v>118.86199999999994</v>
      </c>
    </row>
    <row r="468" spans="1:26" x14ac:dyDescent="0.3">
      <c r="A468" t="s">
        <v>1360</v>
      </c>
      <c r="B468" s="1">
        <v>45635</v>
      </c>
      <c r="C468" t="s">
        <v>1361</v>
      </c>
      <c r="D468" t="s">
        <v>3287</v>
      </c>
      <c r="E468" s="1">
        <v>45640</v>
      </c>
      <c r="F468" t="s">
        <v>122</v>
      </c>
      <c r="G468" t="s">
        <v>120</v>
      </c>
      <c r="H468" t="s">
        <v>121</v>
      </c>
      <c r="I468" t="s">
        <v>2668</v>
      </c>
      <c r="J468" t="s">
        <v>2708</v>
      </c>
      <c r="K468" t="s">
        <v>25</v>
      </c>
      <c r="L468">
        <v>30</v>
      </c>
      <c r="M468">
        <v>5</v>
      </c>
      <c r="N468">
        <v>25</v>
      </c>
      <c r="O468" t="s">
        <v>1362</v>
      </c>
      <c r="P468" t="s">
        <v>75</v>
      </c>
      <c r="Q468" t="s">
        <v>31</v>
      </c>
      <c r="R468" t="s">
        <v>62</v>
      </c>
      <c r="S468" t="s">
        <v>123</v>
      </c>
      <c r="T468">
        <v>4</v>
      </c>
      <c r="U468">
        <v>471.63</v>
      </c>
      <c r="V468">
        <v>894.85</v>
      </c>
      <c r="W468">
        <v>5</v>
      </c>
      <c r="X468" t="str">
        <f>TEXT(cleaneddata[[#This Row],[Order Date]],"mmm")</f>
        <v>Dec</v>
      </c>
      <c r="Y468">
        <f>cleaneddata[[#This Row],[Unit Price]]*cleaneddata[[#This Row],[Quantity]]*(1-cleaneddata[[#This Row],[Discount %]]/100)</f>
        <v>1768.6125000000002</v>
      </c>
      <c r="Z468">
        <f>cleaneddata[[#This Row],[sales]]-cleaneddata[[#This Row],[Cost]]</f>
        <v>873.76250000000016</v>
      </c>
    </row>
    <row r="469" spans="1:26" x14ac:dyDescent="0.3">
      <c r="A469" t="s">
        <v>1363</v>
      </c>
      <c r="B469" s="1">
        <v>45936</v>
      </c>
      <c r="C469" t="s">
        <v>1364</v>
      </c>
      <c r="D469" t="s">
        <v>3286</v>
      </c>
      <c r="E469" s="1">
        <v>45940</v>
      </c>
      <c r="F469" t="s">
        <v>68</v>
      </c>
      <c r="G469" t="s">
        <v>66</v>
      </c>
      <c r="H469" t="s">
        <v>67</v>
      </c>
      <c r="I469" t="s">
        <v>2668</v>
      </c>
      <c r="J469" t="s">
        <v>2682</v>
      </c>
      <c r="K469" t="s">
        <v>52</v>
      </c>
      <c r="L469">
        <v>59</v>
      </c>
      <c r="M469">
        <v>4</v>
      </c>
      <c r="N469">
        <v>20</v>
      </c>
      <c r="O469" t="s">
        <v>874</v>
      </c>
      <c r="P469" t="s">
        <v>75</v>
      </c>
      <c r="Q469" t="s">
        <v>58</v>
      </c>
      <c r="R469" t="s">
        <v>32</v>
      </c>
      <c r="S469" t="s">
        <v>69</v>
      </c>
      <c r="T469">
        <v>1</v>
      </c>
      <c r="U469">
        <v>416.28</v>
      </c>
      <c r="V469">
        <v>858.68</v>
      </c>
      <c r="W469">
        <v>4</v>
      </c>
      <c r="X469" t="str">
        <f>TEXT(cleaneddata[[#This Row],[Order Date]],"mmm")</f>
        <v>Oct</v>
      </c>
      <c r="Y469">
        <f>cleaneddata[[#This Row],[Unit Price]]*cleaneddata[[#This Row],[Quantity]]*(1-cleaneddata[[#This Row],[Discount %]]/100)</f>
        <v>1332.096</v>
      </c>
      <c r="Z469">
        <f>cleaneddata[[#This Row],[sales]]-cleaneddata[[#This Row],[Cost]]</f>
        <v>473.41600000000005</v>
      </c>
    </row>
    <row r="470" spans="1:26" x14ac:dyDescent="0.3">
      <c r="A470" t="s">
        <v>1365</v>
      </c>
      <c r="B470" s="1">
        <v>45932</v>
      </c>
      <c r="C470" t="s">
        <v>1366</v>
      </c>
      <c r="D470" t="s">
        <v>3285</v>
      </c>
      <c r="E470" s="1">
        <v>45933</v>
      </c>
      <c r="F470" t="s">
        <v>29</v>
      </c>
      <c r="G470" t="s">
        <v>27</v>
      </c>
      <c r="H470" t="s">
        <v>28</v>
      </c>
      <c r="I470" t="s">
        <v>2637</v>
      </c>
      <c r="J470" t="s">
        <v>2649</v>
      </c>
      <c r="K470" t="s">
        <v>52</v>
      </c>
      <c r="L470">
        <v>20</v>
      </c>
      <c r="M470">
        <v>2</v>
      </c>
      <c r="N470">
        <v>10</v>
      </c>
      <c r="O470" t="s">
        <v>1367</v>
      </c>
      <c r="P470" t="s">
        <v>44</v>
      </c>
      <c r="Q470" t="s">
        <v>70</v>
      </c>
      <c r="R470" t="s">
        <v>71</v>
      </c>
      <c r="S470" t="s">
        <v>30</v>
      </c>
      <c r="T470">
        <v>2</v>
      </c>
      <c r="U470">
        <v>611.35</v>
      </c>
      <c r="V470">
        <v>609.32000000000005</v>
      </c>
      <c r="W470">
        <v>1</v>
      </c>
      <c r="X470" t="str">
        <f>TEXT(cleaneddata[[#This Row],[Order Date]],"mmm")</f>
        <v>Oct</v>
      </c>
      <c r="Y470">
        <f>cleaneddata[[#This Row],[Unit Price]]*cleaneddata[[#This Row],[Quantity]]*(1-cleaneddata[[#This Row],[Discount %]]/100)</f>
        <v>1100.43</v>
      </c>
      <c r="Z470">
        <f>cleaneddata[[#This Row],[sales]]-cleaneddata[[#This Row],[Cost]]</f>
        <v>491.11</v>
      </c>
    </row>
    <row r="471" spans="1:26" x14ac:dyDescent="0.3">
      <c r="A471" t="s">
        <v>1368</v>
      </c>
      <c r="B471" s="1">
        <v>46087</v>
      </c>
      <c r="C471" t="s">
        <v>1369</v>
      </c>
      <c r="D471" t="s">
        <v>2765</v>
      </c>
      <c r="E471" s="1">
        <v>46094</v>
      </c>
      <c r="F471" t="s">
        <v>29</v>
      </c>
      <c r="G471" t="s">
        <v>27</v>
      </c>
      <c r="H471" t="s">
        <v>28</v>
      </c>
      <c r="I471" t="s">
        <v>2668</v>
      </c>
      <c r="J471" t="s">
        <v>2682</v>
      </c>
      <c r="K471" t="s">
        <v>25</v>
      </c>
      <c r="L471">
        <v>50</v>
      </c>
      <c r="M471">
        <v>2</v>
      </c>
      <c r="N471">
        <v>30</v>
      </c>
      <c r="O471" t="s">
        <v>1370</v>
      </c>
      <c r="P471" t="s">
        <v>33</v>
      </c>
      <c r="Q471" t="s">
        <v>31</v>
      </c>
      <c r="R471" t="s">
        <v>43</v>
      </c>
      <c r="S471" t="s">
        <v>30</v>
      </c>
      <c r="T471">
        <v>2</v>
      </c>
      <c r="U471">
        <v>568.09</v>
      </c>
      <c r="V471">
        <v>632.89</v>
      </c>
      <c r="W471">
        <v>7</v>
      </c>
      <c r="X471" t="str">
        <f>TEXT(cleaneddata[[#This Row],[Order Date]],"mmm")</f>
        <v>Mar</v>
      </c>
      <c r="Y471">
        <f>cleaneddata[[#This Row],[Unit Price]]*cleaneddata[[#This Row],[Quantity]]*(1-cleaneddata[[#This Row],[Discount %]]/100)</f>
        <v>795.32600000000002</v>
      </c>
      <c r="Z471">
        <f>cleaneddata[[#This Row],[sales]]-cleaneddata[[#This Row],[Cost]]</f>
        <v>162.43600000000004</v>
      </c>
    </row>
    <row r="472" spans="1:26" x14ac:dyDescent="0.3">
      <c r="A472" t="s">
        <v>1371</v>
      </c>
      <c r="B472" s="1">
        <v>45322</v>
      </c>
      <c r="C472" t="s">
        <v>304</v>
      </c>
      <c r="D472" t="s">
        <v>2764</v>
      </c>
      <c r="E472" s="1">
        <v>45325</v>
      </c>
      <c r="F472" t="s">
        <v>122</v>
      </c>
      <c r="G472" t="s">
        <v>120</v>
      </c>
      <c r="H472" t="s">
        <v>121</v>
      </c>
      <c r="I472" t="s">
        <v>2668</v>
      </c>
      <c r="J472" t="s">
        <v>2669</v>
      </c>
      <c r="K472" t="s">
        <v>52</v>
      </c>
      <c r="L472">
        <v>41</v>
      </c>
      <c r="M472">
        <v>1</v>
      </c>
      <c r="N472">
        <v>10</v>
      </c>
      <c r="O472" t="s">
        <v>1372</v>
      </c>
      <c r="P472" t="s">
        <v>33</v>
      </c>
      <c r="Q472" t="s">
        <v>42</v>
      </c>
      <c r="R472" t="s">
        <v>32</v>
      </c>
      <c r="S472" t="s">
        <v>123</v>
      </c>
      <c r="T472">
        <v>5</v>
      </c>
      <c r="U472">
        <v>53.53</v>
      </c>
      <c r="V472">
        <v>35.299999999999997</v>
      </c>
      <c r="W472">
        <v>3</v>
      </c>
      <c r="X472" t="str">
        <f>TEXT(cleaneddata[[#This Row],[Order Date]],"mmm")</f>
        <v>Jan</v>
      </c>
      <c r="Y472">
        <f>cleaneddata[[#This Row],[Unit Price]]*cleaneddata[[#This Row],[Quantity]]*(1-cleaneddata[[#This Row],[Discount %]]/100)</f>
        <v>48.177</v>
      </c>
      <c r="Z472">
        <f>cleaneddata[[#This Row],[sales]]-cleaneddata[[#This Row],[Cost]]</f>
        <v>12.877000000000002</v>
      </c>
    </row>
    <row r="473" spans="1:26" x14ac:dyDescent="0.3">
      <c r="A473" t="s">
        <v>1373</v>
      </c>
      <c r="B473" s="1">
        <v>45712</v>
      </c>
      <c r="C473" t="s">
        <v>1374</v>
      </c>
      <c r="D473" t="s">
        <v>2763</v>
      </c>
      <c r="E473" s="1">
        <v>45716</v>
      </c>
      <c r="F473" t="s">
        <v>29</v>
      </c>
      <c r="G473" t="s">
        <v>27</v>
      </c>
      <c r="H473" t="s">
        <v>28</v>
      </c>
      <c r="I473" t="s">
        <v>2631</v>
      </c>
      <c r="J473" t="s">
        <v>2694</v>
      </c>
      <c r="K473" t="s">
        <v>52</v>
      </c>
      <c r="L473">
        <v>18</v>
      </c>
      <c r="M473">
        <v>4</v>
      </c>
      <c r="N473">
        <v>30</v>
      </c>
      <c r="O473" t="s">
        <v>1375</v>
      </c>
      <c r="P473" t="s">
        <v>33</v>
      </c>
      <c r="Q473" t="s">
        <v>31</v>
      </c>
      <c r="R473" t="s">
        <v>32</v>
      </c>
      <c r="S473" t="s">
        <v>30</v>
      </c>
      <c r="T473">
        <v>3</v>
      </c>
      <c r="U473">
        <v>150.30000000000001</v>
      </c>
      <c r="V473">
        <v>235.44</v>
      </c>
      <c r="W473">
        <v>4</v>
      </c>
      <c r="X473" t="str">
        <f>TEXT(cleaneddata[[#This Row],[Order Date]],"mmm")</f>
        <v>Feb</v>
      </c>
      <c r="Y473">
        <f>cleaneddata[[#This Row],[Unit Price]]*cleaneddata[[#This Row],[Quantity]]*(1-cleaneddata[[#This Row],[Discount %]]/100)</f>
        <v>420.84000000000003</v>
      </c>
      <c r="Z473">
        <f>cleaneddata[[#This Row],[sales]]-cleaneddata[[#This Row],[Cost]]</f>
        <v>185.40000000000003</v>
      </c>
    </row>
    <row r="474" spans="1:26" x14ac:dyDescent="0.3">
      <c r="A474" t="s">
        <v>1376</v>
      </c>
      <c r="B474" s="1">
        <v>46083</v>
      </c>
      <c r="C474" t="s">
        <v>1377</v>
      </c>
      <c r="D474" t="s">
        <v>2762</v>
      </c>
      <c r="E474" s="1">
        <v>46086</v>
      </c>
      <c r="F474" t="s">
        <v>122</v>
      </c>
      <c r="G474" t="s">
        <v>120</v>
      </c>
      <c r="H474" t="s">
        <v>121</v>
      </c>
      <c r="I474" t="s">
        <v>2631</v>
      </c>
      <c r="J474" t="s">
        <v>2711</v>
      </c>
      <c r="K474" t="s">
        <v>52</v>
      </c>
      <c r="L474">
        <v>32</v>
      </c>
      <c r="M474">
        <v>5</v>
      </c>
      <c r="N474">
        <v>5</v>
      </c>
      <c r="O474" t="s">
        <v>341</v>
      </c>
      <c r="P474" t="s">
        <v>33</v>
      </c>
      <c r="Q474" t="s">
        <v>70</v>
      </c>
      <c r="R474" t="s">
        <v>71</v>
      </c>
      <c r="S474" t="s">
        <v>123</v>
      </c>
      <c r="T474">
        <v>4</v>
      </c>
      <c r="U474">
        <v>921.41</v>
      </c>
      <c r="V474">
        <v>3028.64</v>
      </c>
      <c r="W474">
        <v>3</v>
      </c>
      <c r="X474" t="str">
        <f>TEXT(cleaneddata[[#This Row],[Order Date]],"mmm")</f>
        <v>Mar</v>
      </c>
      <c r="Y474">
        <f>cleaneddata[[#This Row],[Unit Price]]*cleaneddata[[#This Row],[Quantity]]*(1-cleaneddata[[#This Row],[Discount %]]/100)</f>
        <v>4376.6975000000002</v>
      </c>
      <c r="Z474">
        <f>cleaneddata[[#This Row],[sales]]-cleaneddata[[#This Row],[Cost]]</f>
        <v>1348.0575000000003</v>
      </c>
    </row>
    <row r="475" spans="1:26" x14ac:dyDescent="0.3">
      <c r="A475" t="s">
        <v>1378</v>
      </c>
      <c r="B475" s="1">
        <v>45785</v>
      </c>
      <c r="C475" t="s">
        <v>1379</v>
      </c>
      <c r="D475" t="s">
        <v>3284</v>
      </c>
      <c r="E475" s="1">
        <v>45791</v>
      </c>
      <c r="F475" t="s">
        <v>29</v>
      </c>
      <c r="G475" t="s">
        <v>27</v>
      </c>
      <c r="H475" t="s">
        <v>28</v>
      </c>
      <c r="I475" t="s">
        <v>2625</v>
      </c>
      <c r="J475" t="s">
        <v>2667</v>
      </c>
      <c r="K475" t="s">
        <v>52</v>
      </c>
      <c r="L475">
        <v>52</v>
      </c>
      <c r="M475">
        <v>4</v>
      </c>
      <c r="N475">
        <v>5</v>
      </c>
      <c r="O475" t="s">
        <v>1380</v>
      </c>
      <c r="P475" t="s">
        <v>75</v>
      </c>
      <c r="Q475" t="s">
        <v>117</v>
      </c>
      <c r="R475" t="s">
        <v>62</v>
      </c>
      <c r="S475" t="s">
        <v>30</v>
      </c>
      <c r="T475">
        <v>5</v>
      </c>
      <c r="U475">
        <v>220.74</v>
      </c>
      <c r="V475">
        <v>641.22</v>
      </c>
      <c r="W475">
        <v>6</v>
      </c>
      <c r="X475" t="str">
        <f>TEXT(cleaneddata[[#This Row],[Order Date]],"mmm")</f>
        <v>May</v>
      </c>
      <c r="Y475">
        <f>cleaneddata[[#This Row],[Unit Price]]*cleaneddata[[#This Row],[Quantity]]*(1-cleaneddata[[#This Row],[Discount %]]/100)</f>
        <v>838.81200000000001</v>
      </c>
      <c r="Z475">
        <f>cleaneddata[[#This Row],[sales]]-cleaneddata[[#This Row],[Cost]]</f>
        <v>197.59199999999998</v>
      </c>
    </row>
    <row r="476" spans="1:26" x14ac:dyDescent="0.3">
      <c r="A476" t="s">
        <v>1381</v>
      </c>
      <c r="B476" s="1">
        <v>46101</v>
      </c>
      <c r="C476" t="s">
        <v>1382</v>
      </c>
      <c r="D476" t="s">
        <v>3283</v>
      </c>
      <c r="E476" s="1">
        <v>46108</v>
      </c>
      <c r="F476" t="s">
        <v>68</v>
      </c>
      <c r="G476" t="s">
        <v>66</v>
      </c>
      <c r="H476" t="s">
        <v>67</v>
      </c>
      <c r="I476" t="s">
        <v>2641</v>
      </c>
      <c r="J476" t="s">
        <v>2642</v>
      </c>
      <c r="K476" t="s">
        <v>52</v>
      </c>
      <c r="L476">
        <v>23</v>
      </c>
      <c r="M476">
        <v>3</v>
      </c>
      <c r="N476">
        <v>0</v>
      </c>
      <c r="O476" t="s">
        <v>1383</v>
      </c>
      <c r="P476" t="s">
        <v>44</v>
      </c>
      <c r="Q476" t="s">
        <v>31</v>
      </c>
      <c r="R476" t="s">
        <v>43</v>
      </c>
      <c r="S476" t="s">
        <v>69</v>
      </c>
      <c r="T476">
        <v>3</v>
      </c>
      <c r="U476">
        <v>429.71</v>
      </c>
      <c r="V476">
        <v>813.19</v>
      </c>
      <c r="W476">
        <v>7</v>
      </c>
      <c r="X476" t="str">
        <f>TEXT(cleaneddata[[#This Row],[Order Date]],"mmm")</f>
        <v>Mar</v>
      </c>
      <c r="Y476">
        <f>cleaneddata[[#This Row],[Unit Price]]*cleaneddata[[#This Row],[Quantity]]*(1-cleaneddata[[#This Row],[Discount %]]/100)</f>
        <v>1289.1299999999999</v>
      </c>
      <c r="Z476">
        <f>cleaneddata[[#This Row],[sales]]-cleaneddata[[#This Row],[Cost]]</f>
        <v>475.93999999999983</v>
      </c>
    </row>
    <row r="477" spans="1:26" x14ac:dyDescent="0.3">
      <c r="A477" t="s">
        <v>1384</v>
      </c>
      <c r="B477" s="1">
        <v>45400</v>
      </c>
      <c r="C477" t="s">
        <v>1385</v>
      </c>
      <c r="D477" t="s">
        <v>3282</v>
      </c>
      <c r="E477" s="1">
        <v>45407</v>
      </c>
      <c r="F477" t="s">
        <v>140</v>
      </c>
      <c r="G477" t="s">
        <v>38</v>
      </c>
      <c r="H477" t="s">
        <v>139</v>
      </c>
      <c r="I477" t="s">
        <v>2627</v>
      </c>
      <c r="J477" t="s">
        <v>2717</v>
      </c>
      <c r="K477" t="s">
        <v>25</v>
      </c>
      <c r="L477">
        <v>53</v>
      </c>
      <c r="M477">
        <v>1</v>
      </c>
      <c r="N477">
        <v>0</v>
      </c>
      <c r="O477" t="s">
        <v>1386</v>
      </c>
      <c r="P477" t="s">
        <v>44</v>
      </c>
      <c r="Q477" t="s">
        <v>42</v>
      </c>
      <c r="R477" t="s">
        <v>32</v>
      </c>
      <c r="S477" t="s">
        <v>141</v>
      </c>
      <c r="T477">
        <v>5</v>
      </c>
      <c r="U477">
        <v>92.78</v>
      </c>
      <c r="V477">
        <v>70.489999999999995</v>
      </c>
      <c r="W477">
        <v>7</v>
      </c>
      <c r="X477" t="str">
        <f>TEXT(cleaneddata[[#This Row],[Order Date]],"mmm")</f>
        <v>Apr</v>
      </c>
      <c r="Y477">
        <f>cleaneddata[[#This Row],[Unit Price]]*cleaneddata[[#This Row],[Quantity]]*(1-cleaneddata[[#This Row],[Discount %]]/100)</f>
        <v>92.78</v>
      </c>
      <c r="Z477">
        <f>cleaneddata[[#This Row],[sales]]-cleaneddata[[#This Row],[Cost]]</f>
        <v>22.290000000000006</v>
      </c>
    </row>
    <row r="478" spans="1:26" x14ac:dyDescent="0.3">
      <c r="A478" t="s">
        <v>1387</v>
      </c>
      <c r="B478" s="1">
        <v>45303</v>
      </c>
      <c r="C478" t="s">
        <v>1388</v>
      </c>
      <c r="D478" t="s">
        <v>3281</v>
      </c>
      <c r="E478" s="1">
        <v>45306</v>
      </c>
      <c r="F478" t="s">
        <v>140</v>
      </c>
      <c r="G478" t="s">
        <v>38</v>
      </c>
      <c r="H478" t="s">
        <v>139</v>
      </c>
      <c r="I478" t="s">
        <v>2631</v>
      </c>
      <c r="J478" t="s">
        <v>2674</v>
      </c>
      <c r="K478" t="s">
        <v>25</v>
      </c>
      <c r="L478">
        <v>20</v>
      </c>
      <c r="M478">
        <v>4</v>
      </c>
      <c r="N478">
        <v>20</v>
      </c>
      <c r="O478" t="s">
        <v>1389</v>
      </c>
      <c r="P478" t="s">
        <v>33</v>
      </c>
      <c r="Q478" t="s">
        <v>70</v>
      </c>
      <c r="R478" t="s">
        <v>32</v>
      </c>
      <c r="S478" t="s">
        <v>141</v>
      </c>
      <c r="T478">
        <v>3</v>
      </c>
      <c r="U478">
        <v>968.05</v>
      </c>
      <c r="V478">
        <v>1584.24</v>
      </c>
      <c r="W478">
        <v>3</v>
      </c>
      <c r="X478" t="str">
        <f>TEXT(cleaneddata[[#This Row],[Order Date]],"mmm")</f>
        <v>Jan</v>
      </c>
      <c r="Y478">
        <f>cleaneddata[[#This Row],[Unit Price]]*cleaneddata[[#This Row],[Quantity]]*(1-cleaneddata[[#This Row],[Discount %]]/100)</f>
        <v>3097.76</v>
      </c>
      <c r="Z478">
        <f>cleaneddata[[#This Row],[sales]]-cleaneddata[[#This Row],[Cost]]</f>
        <v>1513.5200000000002</v>
      </c>
    </row>
    <row r="479" spans="1:26" x14ac:dyDescent="0.3">
      <c r="A479" t="s">
        <v>1390</v>
      </c>
      <c r="B479" s="1">
        <v>45326</v>
      </c>
      <c r="C479" t="s">
        <v>1391</v>
      </c>
      <c r="D479" t="s">
        <v>3280</v>
      </c>
      <c r="E479" s="1">
        <v>45327</v>
      </c>
      <c r="F479" t="s">
        <v>40</v>
      </c>
      <c r="G479" t="s">
        <v>38</v>
      </c>
      <c r="H479" t="s">
        <v>39</v>
      </c>
      <c r="I479" t="s">
        <v>2661</v>
      </c>
      <c r="J479" t="s">
        <v>2700</v>
      </c>
      <c r="K479" t="s">
        <v>25</v>
      </c>
      <c r="L479">
        <v>54</v>
      </c>
      <c r="M479">
        <v>5</v>
      </c>
      <c r="N479">
        <v>10</v>
      </c>
      <c r="O479" t="s">
        <v>493</v>
      </c>
      <c r="P479" t="s">
        <v>33</v>
      </c>
      <c r="Q479" t="s">
        <v>31</v>
      </c>
      <c r="R479" t="s">
        <v>43</v>
      </c>
      <c r="S479" t="s">
        <v>41</v>
      </c>
      <c r="T479">
        <v>4</v>
      </c>
      <c r="U479">
        <v>621.69000000000005</v>
      </c>
      <c r="V479">
        <v>2181.0500000000002</v>
      </c>
      <c r="W479">
        <v>1</v>
      </c>
      <c r="X479" t="str">
        <f>TEXT(cleaneddata[[#This Row],[Order Date]],"mmm")</f>
        <v>Feb</v>
      </c>
      <c r="Y479">
        <f>cleaneddata[[#This Row],[Unit Price]]*cleaneddata[[#This Row],[Quantity]]*(1-cleaneddata[[#This Row],[Discount %]]/100)</f>
        <v>2797.6050000000005</v>
      </c>
      <c r="Z479">
        <f>cleaneddata[[#This Row],[sales]]-cleaneddata[[#This Row],[Cost]]</f>
        <v>616.55500000000029</v>
      </c>
    </row>
    <row r="480" spans="1:26" x14ac:dyDescent="0.3">
      <c r="A480" t="s">
        <v>1392</v>
      </c>
      <c r="B480" s="1">
        <v>45489</v>
      </c>
      <c r="C480" t="s">
        <v>1393</v>
      </c>
      <c r="D480" t="s">
        <v>3279</v>
      </c>
      <c r="E480" s="1">
        <v>45490</v>
      </c>
      <c r="F480" t="s">
        <v>128</v>
      </c>
      <c r="G480" t="s">
        <v>98</v>
      </c>
      <c r="H480" t="s">
        <v>127</v>
      </c>
      <c r="I480" t="s">
        <v>2635</v>
      </c>
      <c r="J480" t="s">
        <v>2677</v>
      </c>
      <c r="K480" t="s">
        <v>25</v>
      </c>
      <c r="L480">
        <v>29</v>
      </c>
      <c r="M480">
        <v>1</v>
      </c>
      <c r="N480">
        <v>30</v>
      </c>
      <c r="O480" t="s">
        <v>1394</v>
      </c>
      <c r="P480" t="s">
        <v>44</v>
      </c>
      <c r="Q480" t="s">
        <v>70</v>
      </c>
      <c r="R480" t="s">
        <v>71</v>
      </c>
      <c r="S480" t="s">
        <v>129</v>
      </c>
      <c r="T480">
        <v>4</v>
      </c>
      <c r="U480">
        <v>162.72</v>
      </c>
      <c r="V480">
        <v>81.349999999999994</v>
      </c>
      <c r="W480">
        <v>1</v>
      </c>
      <c r="X480" t="str">
        <f>TEXT(cleaneddata[[#This Row],[Order Date]],"mmm")</f>
        <v>Jul</v>
      </c>
      <c r="Y480">
        <f>cleaneddata[[#This Row],[Unit Price]]*cleaneddata[[#This Row],[Quantity]]*(1-cleaneddata[[#This Row],[Discount %]]/100)</f>
        <v>113.904</v>
      </c>
      <c r="Z480">
        <f>cleaneddata[[#This Row],[sales]]-cleaneddata[[#This Row],[Cost]]</f>
        <v>32.554000000000002</v>
      </c>
    </row>
    <row r="481" spans="1:26" x14ac:dyDescent="0.3">
      <c r="A481" t="s">
        <v>1395</v>
      </c>
      <c r="B481" s="1">
        <v>46046</v>
      </c>
      <c r="C481" t="s">
        <v>1396</v>
      </c>
      <c r="D481" t="s">
        <v>3278</v>
      </c>
      <c r="E481" s="1">
        <v>46050</v>
      </c>
      <c r="F481" t="s">
        <v>29</v>
      </c>
      <c r="G481" t="s">
        <v>27</v>
      </c>
      <c r="H481" t="s">
        <v>28</v>
      </c>
      <c r="I481" t="s">
        <v>2672</v>
      </c>
      <c r="J481" t="s">
        <v>2673</v>
      </c>
      <c r="K481" t="s">
        <v>52</v>
      </c>
      <c r="L481">
        <v>37</v>
      </c>
      <c r="M481">
        <v>4</v>
      </c>
      <c r="N481">
        <v>25</v>
      </c>
      <c r="O481" t="s">
        <v>1172</v>
      </c>
      <c r="P481" t="s">
        <v>44</v>
      </c>
      <c r="Q481" t="s">
        <v>31</v>
      </c>
      <c r="R481" t="s">
        <v>32</v>
      </c>
      <c r="S481" t="s">
        <v>30</v>
      </c>
      <c r="T481">
        <v>4</v>
      </c>
      <c r="U481">
        <v>309.27</v>
      </c>
      <c r="V481">
        <v>546.85</v>
      </c>
      <c r="W481">
        <v>4</v>
      </c>
      <c r="X481" t="str">
        <f>TEXT(cleaneddata[[#This Row],[Order Date]],"mmm")</f>
        <v>Jan</v>
      </c>
      <c r="Y481">
        <f>cleaneddata[[#This Row],[Unit Price]]*cleaneddata[[#This Row],[Quantity]]*(1-cleaneddata[[#This Row],[Discount %]]/100)</f>
        <v>927.81</v>
      </c>
      <c r="Z481">
        <f>cleaneddata[[#This Row],[sales]]-cleaneddata[[#This Row],[Cost]]</f>
        <v>380.95999999999992</v>
      </c>
    </row>
    <row r="482" spans="1:26" x14ac:dyDescent="0.3">
      <c r="A482" t="s">
        <v>1397</v>
      </c>
      <c r="B482" s="1">
        <v>45495</v>
      </c>
      <c r="C482" t="s">
        <v>901</v>
      </c>
      <c r="D482" t="s">
        <v>3277</v>
      </c>
      <c r="E482" s="1">
        <v>45496</v>
      </c>
      <c r="F482" t="s">
        <v>29</v>
      </c>
      <c r="G482" t="s">
        <v>27</v>
      </c>
      <c r="H482" t="s">
        <v>28</v>
      </c>
      <c r="I482" t="s">
        <v>2625</v>
      </c>
      <c r="J482" t="s">
        <v>2651</v>
      </c>
      <c r="K482" t="s">
        <v>25</v>
      </c>
      <c r="L482">
        <v>62</v>
      </c>
      <c r="M482">
        <v>1</v>
      </c>
      <c r="N482">
        <v>0</v>
      </c>
      <c r="O482" t="s">
        <v>327</v>
      </c>
      <c r="P482" t="s">
        <v>33</v>
      </c>
      <c r="Q482" t="s">
        <v>70</v>
      </c>
      <c r="R482" t="s">
        <v>32</v>
      </c>
      <c r="S482" t="s">
        <v>30</v>
      </c>
      <c r="T482">
        <v>2</v>
      </c>
      <c r="U482">
        <v>607</v>
      </c>
      <c r="V482">
        <v>351.27</v>
      </c>
      <c r="W482">
        <v>1</v>
      </c>
      <c r="X482" t="str">
        <f>TEXT(cleaneddata[[#This Row],[Order Date]],"mmm")</f>
        <v>Jul</v>
      </c>
      <c r="Y482">
        <f>cleaneddata[[#This Row],[Unit Price]]*cleaneddata[[#This Row],[Quantity]]*(1-cleaneddata[[#This Row],[Discount %]]/100)</f>
        <v>607</v>
      </c>
      <c r="Z482">
        <f>cleaneddata[[#This Row],[sales]]-cleaneddata[[#This Row],[Cost]]</f>
        <v>255.73000000000002</v>
      </c>
    </row>
    <row r="483" spans="1:26" x14ac:dyDescent="0.3">
      <c r="A483" t="s">
        <v>1398</v>
      </c>
      <c r="B483" s="1">
        <v>46150</v>
      </c>
      <c r="C483" t="s">
        <v>1399</v>
      </c>
      <c r="D483" t="s">
        <v>3276</v>
      </c>
      <c r="E483" s="1">
        <v>46152</v>
      </c>
      <c r="F483" t="s">
        <v>128</v>
      </c>
      <c r="G483" t="s">
        <v>98</v>
      </c>
      <c r="H483" t="s">
        <v>127</v>
      </c>
      <c r="I483" t="s">
        <v>2665</v>
      </c>
      <c r="J483" t="s">
        <v>2693</v>
      </c>
      <c r="K483" t="s">
        <v>52</v>
      </c>
      <c r="L483">
        <v>58</v>
      </c>
      <c r="M483">
        <v>4</v>
      </c>
      <c r="N483">
        <v>25</v>
      </c>
      <c r="O483" t="s">
        <v>1400</v>
      </c>
      <c r="P483" t="s">
        <v>75</v>
      </c>
      <c r="Q483" t="s">
        <v>31</v>
      </c>
      <c r="R483" t="s">
        <v>71</v>
      </c>
      <c r="S483" t="s">
        <v>129</v>
      </c>
      <c r="T483">
        <v>5</v>
      </c>
      <c r="U483">
        <v>860.74</v>
      </c>
      <c r="V483">
        <v>1756.62</v>
      </c>
      <c r="W483">
        <v>2</v>
      </c>
      <c r="X483" t="str">
        <f>TEXT(cleaneddata[[#This Row],[Order Date]],"mmm")</f>
        <v>May</v>
      </c>
      <c r="Y483">
        <f>cleaneddata[[#This Row],[Unit Price]]*cleaneddata[[#This Row],[Quantity]]*(1-cleaneddata[[#This Row],[Discount %]]/100)</f>
        <v>2582.2200000000003</v>
      </c>
      <c r="Z483">
        <f>cleaneddata[[#This Row],[sales]]-cleaneddata[[#This Row],[Cost]]</f>
        <v>825.60000000000036</v>
      </c>
    </row>
    <row r="484" spans="1:26" x14ac:dyDescent="0.3">
      <c r="A484" t="s">
        <v>1401</v>
      </c>
      <c r="B484" s="1">
        <v>46076</v>
      </c>
      <c r="C484" t="s">
        <v>1402</v>
      </c>
      <c r="D484" t="s">
        <v>3275</v>
      </c>
      <c r="E484" s="1">
        <v>46083</v>
      </c>
      <c r="F484" t="s">
        <v>122</v>
      </c>
      <c r="G484" t="s">
        <v>120</v>
      </c>
      <c r="H484" t="s">
        <v>121</v>
      </c>
      <c r="I484" t="s">
        <v>2625</v>
      </c>
      <c r="J484" t="s">
        <v>2626</v>
      </c>
      <c r="K484" t="s">
        <v>25</v>
      </c>
      <c r="L484">
        <v>42</v>
      </c>
      <c r="M484">
        <v>4</v>
      </c>
      <c r="N484">
        <v>5</v>
      </c>
      <c r="O484" t="s">
        <v>1403</v>
      </c>
      <c r="P484" t="s">
        <v>33</v>
      </c>
      <c r="Q484" t="s">
        <v>31</v>
      </c>
      <c r="R484" t="s">
        <v>62</v>
      </c>
      <c r="S484" t="s">
        <v>123</v>
      </c>
      <c r="T484">
        <v>2</v>
      </c>
      <c r="U484">
        <v>207.8</v>
      </c>
      <c r="V484">
        <v>665.51</v>
      </c>
      <c r="W484">
        <v>7</v>
      </c>
      <c r="X484" t="str">
        <f>TEXT(cleaneddata[[#This Row],[Order Date]],"mmm")</f>
        <v>Feb</v>
      </c>
      <c r="Y484">
        <f>cleaneddata[[#This Row],[Unit Price]]*cleaneddata[[#This Row],[Quantity]]*(1-cleaneddata[[#This Row],[Discount %]]/100)</f>
        <v>789.64</v>
      </c>
      <c r="Z484">
        <f>cleaneddata[[#This Row],[sales]]-cleaneddata[[#This Row],[Cost]]</f>
        <v>124.13</v>
      </c>
    </row>
    <row r="485" spans="1:26" x14ac:dyDescent="0.3">
      <c r="A485" t="s">
        <v>1404</v>
      </c>
      <c r="B485" s="1">
        <v>45895</v>
      </c>
      <c r="C485" t="s">
        <v>1405</v>
      </c>
      <c r="D485" t="s">
        <v>3274</v>
      </c>
      <c r="E485" s="1">
        <v>45902</v>
      </c>
      <c r="F485" t="s">
        <v>29</v>
      </c>
      <c r="G485" t="s">
        <v>27</v>
      </c>
      <c r="H485" t="s">
        <v>28</v>
      </c>
      <c r="I485" t="s">
        <v>2629</v>
      </c>
      <c r="J485" t="s">
        <v>2697</v>
      </c>
      <c r="K485" t="s">
        <v>52</v>
      </c>
      <c r="L485">
        <v>29</v>
      </c>
      <c r="M485">
        <v>5</v>
      </c>
      <c r="N485">
        <v>5</v>
      </c>
      <c r="O485" t="s">
        <v>1406</v>
      </c>
      <c r="P485" t="s">
        <v>75</v>
      </c>
      <c r="Q485" t="s">
        <v>117</v>
      </c>
      <c r="R485" t="s">
        <v>71</v>
      </c>
      <c r="S485" t="s">
        <v>30</v>
      </c>
      <c r="T485">
        <v>3</v>
      </c>
      <c r="U485">
        <v>339.74</v>
      </c>
      <c r="V485">
        <v>1105.33</v>
      </c>
      <c r="W485">
        <v>7</v>
      </c>
      <c r="X485" t="str">
        <f>TEXT(cleaneddata[[#This Row],[Order Date]],"mmm")</f>
        <v>Aug</v>
      </c>
      <c r="Y485">
        <f>cleaneddata[[#This Row],[Unit Price]]*cleaneddata[[#This Row],[Quantity]]*(1-cleaneddata[[#This Row],[Discount %]]/100)</f>
        <v>1613.7649999999999</v>
      </c>
      <c r="Z485">
        <f>cleaneddata[[#This Row],[sales]]-cleaneddata[[#This Row],[Cost]]</f>
        <v>508.43499999999995</v>
      </c>
    </row>
    <row r="486" spans="1:26" x14ac:dyDescent="0.3">
      <c r="A486" t="s">
        <v>1407</v>
      </c>
      <c r="B486" s="1">
        <v>45879</v>
      </c>
      <c r="C486" t="s">
        <v>1408</v>
      </c>
      <c r="D486" t="s">
        <v>3273</v>
      </c>
      <c r="E486" s="1">
        <v>45885</v>
      </c>
      <c r="F486" t="s">
        <v>140</v>
      </c>
      <c r="G486" t="s">
        <v>38</v>
      </c>
      <c r="H486" t="s">
        <v>139</v>
      </c>
      <c r="I486" t="s">
        <v>2663</v>
      </c>
      <c r="J486" t="s">
        <v>2694</v>
      </c>
      <c r="K486" t="s">
        <v>25</v>
      </c>
      <c r="L486">
        <v>29</v>
      </c>
      <c r="M486">
        <v>4</v>
      </c>
      <c r="N486">
        <v>15</v>
      </c>
      <c r="O486" t="s">
        <v>832</v>
      </c>
      <c r="P486" t="s">
        <v>33</v>
      </c>
      <c r="Q486" t="s">
        <v>58</v>
      </c>
      <c r="R486" t="s">
        <v>32</v>
      </c>
      <c r="S486" t="s">
        <v>141</v>
      </c>
      <c r="T486">
        <v>5</v>
      </c>
      <c r="U486">
        <v>966.41</v>
      </c>
      <c r="V486">
        <v>2294.17</v>
      </c>
      <c r="W486">
        <v>6</v>
      </c>
      <c r="X486" t="str">
        <f>TEXT(cleaneddata[[#This Row],[Order Date]],"mmm")</f>
        <v>Aug</v>
      </c>
      <c r="Y486">
        <f>cleaneddata[[#This Row],[Unit Price]]*cleaneddata[[#This Row],[Quantity]]*(1-cleaneddata[[#This Row],[Discount %]]/100)</f>
        <v>3285.7939999999999</v>
      </c>
      <c r="Z486">
        <f>cleaneddata[[#This Row],[sales]]-cleaneddata[[#This Row],[Cost]]</f>
        <v>991.6239999999998</v>
      </c>
    </row>
    <row r="487" spans="1:26" x14ac:dyDescent="0.3">
      <c r="A487" t="s">
        <v>1409</v>
      </c>
      <c r="B487" s="1">
        <v>45751</v>
      </c>
      <c r="C487" t="s">
        <v>1410</v>
      </c>
      <c r="D487" t="s">
        <v>3272</v>
      </c>
      <c r="E487" s="1">
        <v>45757</v>
      </c>
      <c r="F487" t="s">
        <v>40</v>
      </c>
      <c r="G487" t="s">
        <v>38</v>
      </c>
      <c r="H487" t="s">
        <v>39</v>
      </c>
      <c r="I487" t="s">
        <v>2627</v>
      </c>
      <c r="J487" t="s">
        <v>2698</v>
      </c>
      <c r="K487" t="s">
        <v>52</v>
      </c>
      <c r="L487">
        <v>34</v>
      </c>
      <c r="M487">
        <v>4</v>
      </c>
      <c r="N487">
        <v>0</v>
      </c>
      <c r="O487" t="s">
        <v>1411</v>
      </c>
      <c r="P487" t="s">
        <v>44</v>
      </c>
      <c r="Q487" t="s">
        <v>70</v>
      </c>
      <c r="R487" t="s">
        <v>43</v>
      </c>
      <c r="S487" t="s">
        <v>41</v>
      </c>
      <c r="T487">
        <v>4</v>
      </c>
      <c r="U487">
        <v>586.23</v>
      </c>
      <c r="V487">
        <v>1726.49</v>
      </c>
      <c r="W487">
        <v>6</v>
      </c>
      <c r="X487" t="str">
        <f>TEXT(cleaneddata[[#This Row],[Order Date]],"mmm")</f>
        <v>Apr</v>
      </c>
      <c r="Y487">
        <f>cleaneddata[[#This Row],[Unit Price]]*cleaneddata[[#This Row],[Quantity]]*(1-cleaneddata[[#This Row],[Discount %]]/100)</f>
        <v>2344.92</v>
      </c>
      <c r="Z487">
        <f>cleaneddata[[#This Row],[sales]]-cleaneddata[[#This Row],[Cost]]</f>
        <v>618.43000000000006</v>
      </c>
    </row>
    <row r="488" spans="1:26" x14ac:dyDescent="0.3">
      <c r="A488" t="s">
        <v>1412</v>
      </c>
      <c r="B488" s="1">
        <v>45534</v>
      </c>
      <c r="C488" t="s">
        <v>1413</v>
      </c>
      <c r="D488" t="s">
        <v>3271</v>
      </c>
      <c r="E488" s="1">
        <v>45536</v>
      </c>
      <c r="F488" t="s">
        <v>40</v>
      </c>
      <c r="G488" t="s">
        <v>38</v>
      </c>
      <c r="H488" t="s">
        <v>39</v>
      </c>
      <c r="I488" t="s">
        <v>2633</v>
      </c>
      <c r="J488" t="s">
        <v>2678</v>
      </c>
      <c r="K488" t="s">
        <v>25</v>
      </c>
      <c r="L488">
        <v>44</v>
      </c>
      <c r="M488">
        <v>1</v>
      </c>
      <c r="N488">
        <v>5</v>
      </c>
      <c r="O488" t="s">
        <v>631</v>
      </c>
      <c r="P488" t="s">
        <v>75</v>
      </c>
      <c r="Q488" t="s">
        <v>42</v>
      </c>
      <c r="R488" t="s">
        <v>62</v>
      </c>
      <c r="S488" t="s">
        <v>41</v>
      </c>
      <c r="T488">
        <v>2</v>
      </c>
      <c r="U488">
        <v>560.63</v>
      </c>
      <c r="V488">
        <v>381.51</v>
      </c>
      <c r="W488">
        <v>2</v>
      </c>
      <c r="X488" t="str">
        <f>TEXT(cleaneddata[[#This Row],[Order Date]],"mmm")</f>
        <v>Aug</v>
      </c>
      <c r="Y488">
        <f>cleaneddata[[#This Row],[Unit Price]]*cleaneddata[[#This Row],[Quantity]]*(1-cleaneddata[[#This Row],[Discount %]]/100)</f>
        <v>532.59849999999994</v>
      </c>
      <c r="Z488">
        <f>cleaneddata[[#This Row],[sales]]-cleaneddata[[#This Row],[Cost]]</f>
        <v>151.08849999999995</v>
      </c>
    </row>
    <row r="489" spans="1:26" x14ac:dyDescent="0.3">
      <c r="A489" t="s">
        <v>1414</v>
      </c>
      <c r="B489" s="1">
        <v>45929</v>
      </c>
      <c r="C489" t="s">
        <v>1415</v>
      </c>
      <c r="D489" t="s">
        <v>3270</v>
      </c>
      <c r="E489" s="1">
        <v>45932</v>
      </c>
      <c r="F489" t="s">
        <v>100</v>
      </c>
      <c r="G489" t="s">
        <v>98</v>
      </c>
      <c r="H489" t="s">
        <v>99</v>
      </c>
      <c r="I489" t="s">
        <v>2675</v>
      </c>
      <c r="J489" t="s">
        <v>2710</v>
      </c>
      <c r="K489" t="s">
        <v>52</v>
      </c>
      <c r="L489">
        <v>50</v>
      </c>
      <c r="M489">
        <v>2</v>
      </c>
      <c r="N489">
        <v>25</v>
      </c>
      <c r="O489" t="s">
        <v>1228</v>
      </c>
      <c r="P489" t="s">
        <v>75</v>
      </c>
      <c r="Q489" t="s">
        <v>31</v>
      </c>
      <c r="R489" t="s">
        <v>32</v>
      </c>
      <c r="S489" t="s">
        <v>101</v>
      </c>
      <c r="T489">
        <v>5</v>
      </c>
      <c r="U489">
        <v>203.06</v>
      </c>
      <c r="V489">
        <v>246.64</v>
      </c>
      <c r="W489">
        <v>3</v>
      </c>
      <c r="X489" t="str">
        <f>TEXT(cleaneddata[[#This Row],[Order Date]],"mmm")</f>
        <v>Sep</v>
      </c>
      <c r="Y489">
        <f>cleaneddata[[#This Row],[Unit Price]]*cleaneddata[[#This Row],[Quantity]]*(1-cleaneddata[[#This Row],[Discount %]]/100)</f>
        <v>304.59000000000003</v>
      </c>
      <c r="Z489">
        <f>cleaneddata[[#This Row],[sales]]-cleaneddata[[#This Row],[Cost]]</f>
        <v>57.950000000000045</v>
      </c>
    </row>
    <row r="490" spans="1:26" x14ac:dyDescent="0.3">
      <c r="A490" t="s">
        <v>1416</v>
      </c>
      <c r="B490" s="1">
        <v>45977</v>
      </c>
      <c r="C490" t="s">
        <v>1417</v>
      </c>
      <c r="D490" t="s">
        <v>3269</v>
      </c>
      <c r="E490" s="1">
        <v>45982</v>
      </c>
      <c r="F490" t="s">
        <v>122</v>
      </c>
      <c r="G490" t="s">
        <v>120</v>
      </c>
      <c r="H490" t="s">
        <v>121</v>
      </c>
      <c r="I490" t="s">
        <v>2679</v>
      </c>
      <c r="J490" t="s">
        <v>2680</v>
      </c>
      <c r="K490" t="s">
        <v>25</v>
      </c>
      <c r="L490">
        <v>29</v>
      </c>
      <c r="M490">
        <v>5</v>
      </c>
      <c r="N490">
        <v>30</v>
      </c>
      <c r="O490" t="s">
        <v>1336</v>
      </c>
      <c r="P490" t="s">
        <v>75</v>
      </c>
      <c r="Q490" t="s">
        <v>58</v>
      </c>
      <c r="R490" t="s">
        <v>43</v>
      </c>
      <c r="S490" t="s">
        <v>123</v>
      </c>
      <c r="T490">
        <v>4</v>
      </c>
      <c r="U490">
        <v>141.03</v>
      </c>
      <c r="V490">
        <v>397.47</v>
      </c>
      <c r="W490">
        <v>5</v>
      </c>
      <c r="X490" t="str">
        <f>TEXT(cleaneddata[[#This Row],[Order Date]],"mmm")</f>
        <v>Nov</v>
      </c>
      <c r="Y490">
        <f>cleaneddata[[#This Row],[Unit Price]]*cleaneddata[[#This Row],[Quantity]]*(1-cleaneddata[[#This Row],[Discount %]]/100)</f>
        <v>493.60499999999996</v>
      </c>
      <c r="Z490">
        <f>cleaneddata[[#This Row],[sales]]-cleaneddata[[#This Row],[Cost]]</f>
        <v>96.134999999999934</v>
      </c>
    </row>
    <row r="491" spans="1:26" x14ac:dyDescent="0.3">
      <c r="A491" t="s">
        <v>1418</v>
      </c>
      <c r="B491" s="1">
        <v>46030</v>
      </c>
      <c r="C491" t="s">
        <v>1419</v>
      </c>
      <c r="D491" t="s">
        <v>3268</v>
      </c>
      <c r="E491" s="1">
        <v>46034</v>
      </c>
      <c r="F491" t="s">
        <v>115</v>
      </c>
      <c r="G491" t="s">
        <v>66</v>
      </c>
      <c r="H491" t="s">
        <v>114</v>
      </c>
      <c r="I491" t="s">
        <v>2632</v>
      </c>
      <c r="J491" t="s">
        <v>2646</v>
      </c>
      <c r="K491" t="s">
        <v>25</v>
      </c>
      <c r="L491">
        <v>37</v>
      </c>
      <c r="M491">
        <v>3</v>
      </c>
      <c r="N491">
        <v>20</v>
      </c>
      <c r="O491" t="s">
        <v>1420</v>
      </c>
      <c r="P491" t="s">
        <v>33</v>
      </c>
      <c r="Q491" t="s">
        <v>70</v>
      </c>
      <c r="R491" t="s">
        <v>43</v>
      </c>
      <c r="S491" t="s">
        <v>116</v>
      </c>
      <c r="T491">
        <v>5</v>
      </c>
      <c r="U491">
        <v>270.47000000000003</v>
      </c>
      <c r="V491">
        <v>434.98</v>
      </c>
      <c r="W491">
        <v>4</v>
      </c>
      <c r="X491" t="str">
        <f>TEXT(cleaneddata[[#This Row],[Order Date]],"mmm")</f>
        <v>Jan</v>
      </c>
      <c r="Y491">
        <f>cleaneddata[[#This Row],[Unit Price]]*cleaneddata[[#This Row],[Quantity]]*(1-cleaneddata[[#This Row],[Discount %]]/100)</f>
        <v>649.12800000000016</v>
      </c>
      <c r="Z491">
        <f>cleaneddata[[#This Row],[sales]]-cleaneddata[[#This Row],[Cost]]</f>
        <v>214.14800000000014</v>
      </c>
    </row>
    <row r="492" spans="1:26" x14ac:dyDescent="0.3">
      <c r="A492" t="s">
        <v>1421</v>
      </c>
      <c r="B492" s="1">
        <v>45743</v>
      </c>
      <c r="C492" t="s">
        <v>1422</v>
      </c>
      <c r="D492" t="s">
        <v>3267</v>
      </c>
      <c r="E492" s="1">
        <v>45747</v>
      </c>
      <c r="F492" t="s">
        <v>100</v>
      </c>
      <c r="G492" t="s">
        <v>98</v>
      </c>
      <c r="H492" t="s">
        <v>99</v>
      </c>
      <c r="I492" t="s">
        <v>2625</v>
      </c>
      <c r="J492" t="s">
        <v>2626</v>
      </c>
      <c r="K492" t="s">
        <v>52</v>
      </c>
      <c r="L492">
        <v>57</v>
      </c>
      <c r="M492">
        <v>2</v>
      </c>
      <c r="N492">
        <v>25</v>
      </c>
      <c r="O492" t="s">
        <v>586</v>
      </c>
      <c r="P492" t="s">
        <v>75</v>
      </c>
      <c r="Q492" t="s">
        <v>31</v>
      </c>
      <c r="R492" t="s">
        <v>71</v>
      </c>
      <c r="S492" t="s">
        <v>101</v>
      </c>
      <c r="T492">
        <v>4</v>
      </c>
      <c r="U492">
        <v>328.1</v>
      </c>
      <c r="V492">
        <v>350.74</v>
      </c>
      <c r="W492">
        <v>4</v>
      </c>
      <c r="X492" t="str">
        <f>TEXT(cleaneddata[[#This Row],[Order Date]],"mmm")</f>
        <v>Mar</v>
      </c>
      <c r="Y492">
        <f>cleaneddata[[#This Row],[Unit Price]]*cleaneddata[[#This Row],[Quantity]]*(1-cleaneddata[[#This Row],[Discount %]]/100)</f>
        <v>492.15000000000003</v>
      </c>
      <c r="Z492">
        <f>cleaneddata[[#This Row],[sales]]-cleaneddata[[#This Row],[Cost]]</f>
        <v>141.41000000000003</v>
      </c>
    </row>
    <row r="493" spans="1:26" x14ac:dyDescent="0.3">
      <c r="A493" t="s">
        <v>1423</v>
      </c>
      <c r="B493" s="1">
        <v>45959</v>
      </c>
      <c r="C493" t="s">
        <v>1424</v>
      </c>
      <c r="D493" t="s">
        <v>3266</v>
      </c>
      <c r="E493" s="1">
        <v>45960</v>
      </c>
      <c r="F493" t="s">
        <v>56</v>
      </c>
      <c r="G493" t="s">
        <v>54</v>
      </c>
      <c r="H493" t="s">
        <v>55</v>
      </c>
      <c r="I493" t="s">
        <v>2679</v>
      </c>
      <c r="J493" t="s">
        <v>2707</v>
      </c>
      <c r="K493" t="s">
        <v>52</v>
      </c>
      <c r="L493">
        <v>41</v>
      </c>
      <c r="M493">
        <v>2</v>
      </c>
      <c r="N493">
        <v>30</v>
      </c>
      <c r="O493" t="s">
        <v>214</v>
      </c>
      <c r="P493" t="s">
        <v>44</v>
      </c>
      <c r="Q493" t="s">
        <v>31</v>
      </c>
      <c r="R493" t="s">
        <v>62</v>
      </c>
      <c r="S493" t="s">
        <v>57</v>
      </c>
      <c r="T493">
        <v>2</v>
      </c>
      <c r="U493">
        <v>319.18</v>
      </c>
      <c r="V493">
        <v>344.56</v>
      </c>
      <c r="W493">
        <v>1</v>
      </c>
      <c r="X493" t="str">
        <f>TEXT(cleaneddata[[#This Row],[Order Date]],"mmm")</f>
        <v>Oct</v>
      </c>
      <c r="Y493">
        <f>cleaneddata[[#This Row],[Unit Price]]*cleaneddata[[#This Row],[Quantity]]*(1-cleaneddata[[#This Row],[Discount %]]/100)</f>
        <v>446.85199999999998</v>
      </c>
      <c r="Z493">
        <f>cleaneddata[[#This Row],[sales]]-cleaneddata[[#This Row],[Cost]]</f>
        <v>102.29199999999997</v>
      </c>
    </row>
    <row r="494" spans="1:26" x14ac:dyDescent="0.3">
      <c r="A494" t="s">
        <v>1425</v>
      </c>
      <c r="B494" s="1">
        <v>45304</v>
      </c>
      <c r="C494" t="s">
        <v>1426</v>
      </c>
      <c r="D494" t="s">
        <v>3265</v>
      </c>
      <c r="E494" s="1">
        <v>45307</v>
      </c>
      <c r="F494" t="s">
        <v>140</v>
      </c>
      <c r="G494" t="s">
        <v>38</v>
      </c>
      <c r="H494" t="s">
        <v>139</v>
      </c>
      <c r="I494" t="s">
        <v>2679</v>
      </c>
      <c r="J494" t="s">
        <v>2707</v>
      </c>
      <c r="K494" t="s">
        <v>25</v>
      </c>
      <c r="L494">
        <v>63</v>
      </c>
      <c r="M494">
        <v>5</v>
      </c>
      <c r="N494">
        <v>30</v>
      </c>
      <c r="O494" t="s">
        <v>1082</v>
      </c>
      <c r="P494" t="s">
        <v>75</v>
      </c>
      <c r="Q494" t="s">
        <v>117</v>
      </c>
      <c r="R494" t="s">
        <v>43</v>
      </c>
      <c r="S494" t="s">
        <v>141</v>
      </c>
      <c r="T494">
        <v>2</v>
      </c>
      <c r="U494">
        <v>393.04</v>
      </c>
      <c r="V494">
        <v>1113.8399999999999</v>
      </c>
      <c r="W494">
        <v>3</v>
      </c>
      <c r="X494" t="str">
        <f>TEXT(cleaneddata[[#This Row],[Order Date]],"mmm")</f>
        <v>Jan</v>
      </c>
      <c r="Y494">
        <f>cleaneddata[[#This Row],[Unit Price]]*cleaneddata[[#This Row],[Quantity]]*(1-cleaneddata[[#This Row],[Discount %]]/100)</f>
        <v>1375.6399999999999</v>
      </c>
      <c r="Z494">
        <f>cleaneddata[[#This Row],[sales]]-cleaneddata[[#This Row],[Cost]]</f>
        <v>261.79999999999995</v>
      </c>
    </row>
    <row r="495" spans="1:26" x14ac:dyDescent="0.3">
      <c r="A495" t="s">
        <v>1427</v>
      </c>
      <c r="B495" s="1">
        <v>45656</v>
      </c>
      <c r="C495" t="s">
        <v>1428</v>
      </c>
      <c r="D495" t="s">
        <v>3264</v>
      </c>
      <c r="E495" s="1">
        <v>45659</v>
      </c>
      <c r="F495" t="s">
        <v>140</v>
      </c>
      <c r="G495" t="s">
        <v>38</v>
      </c>
      <c r="H495" t="s">
        <v>139</v>
      </c>
      <c r="I495" t="s">
        <v>2672</v>
      </c>
      <c r="J495" t="s">
        <v>2673</v>
      </c>
      <c r="K495" t="s">
        <v>52</v>
      </c>
      <c r="L495">
        <v>53</v>
      </c>
      <c r="M495">
        <v>1</v>
      </c>
      <c r="N495">
        <v>20</v>
      </c>
      <c r="O495" t="s">
        <v>1429</v>
      </c>
      <c r="P495" t="s">
        <v>44</v>
      </c>
      <c r="Q495" t="s">
        <v>31</v>
      </c>
      <c r="R495" t="s">
        <v>71</v>
      </c>
      <c r="S495" t="s">
        <v>141</v>
      </c>
      <c r="T495">
        <v>2</v>
      </c>
      <c r="U495">
        <v>196.37</v>
      </c>
      <c r="V495">
        <v>92.1</v>
      </c>
      <c r="W495">
        <v>3</v>
      </c>
      <c r="X495" t="str">
        <f>TEXT(cleaneddata[[#This Row],[Order Date]],"mmm")</f>
        <v>Dec</v>
      </c>
      <c r="Y495">
        <f>cleaneddata[[#This Row],[Unit Price]]*cleaneddata[[#This Row],[Quantity]]*(1-cleaneddata[[#This Row],[Discount %]]/100)</f>
        <v>157.096</v>
      </c>
      <c r="Z495">
        <f>cleaneddata[[#This Row],[sales]]-cleaneddata[[#This Row],[Cost]]</f>
        <v>64.996000000000009</v>
      </c>
    </row>
    <row r="496" spans="1:26" x14ac:dyDescent="0.3">
      <c r="A496" t="s">
        <v>1430</v>
      </c>
      <c r="B496" s="1">
        <v>45688</v>
      </c>
      <c r="C496" t="s">
        <v>1431</v>
      </c>
      <c r="D496" t="s">
        <v>3263</v>
      </c>
      <c r="E496" s="1">
        <v>45689</v>
      </c>
      <c r="F496" t="s">
        <v>56</v>
      </c>
      <c r="G496" t="s">
        <v>54</v>
      </c>
      <c r="H496" t="s">
        <v>55</v>
      </c>
      <c r="I496" t="s">
        <v>2627</v>
      </c>
      <c r="J496" t="s">
        <v>2717</v>
      </c>
      <c r="K496" t="s">
        <v>25</v>
      </c>
      <c r="L496">
        <v>33</v>
      </c>
      <c r="M496">
        <v>3</v>
      </c>
      <c r="N496">
        <v>0</v>
      </c>
      <c r="O496" t="s">
        <v>1432</v>
      </c>
      <c r="P496" t="s">
        <v>44</v>
      </c>
      <c r="Q496" t="s">
        <v>42</v>
      </c>
      <c r="R496" t="s">
        <v>32</v>
      </c>
      <c r="S496" t="s">
        <v>57</v>
      </c>
      <c r="T496">
        <v>1</v>
      </c>
      <c r="U496">
        <v>828.09</v>
      </c>
      <c r="V496">
        <v>1301.97</v>
      </c>
      <c r="W496">
        <v>1</v>
      </c>
      <c r="X496" t="str">
        <f>TEXT(cleaneddata[[#This Row],[Order Date]],"mmm")</f>
        <v>Jan</v>
      </c>
      <c r="Y496">
        <f>cleaneddata[[#This Row],[Unit Price]]*cleaneddata[[#This Row],[Quantity]]*(1-cleaneddata[[#This Row],[Discount %]]/100)</f>
        <v>2484.27</v>
      </c>
      <c r="Z496">
        <f>cleaneddata[[#This Row],[sales]]-cleaneddata[[#This Row],[Cost]]</f>
        <v>1182.3</v>
      </c>
    </row>
    <row r="497" spans="1:26" x14ac:dyDescent="0.3">
      <c r="A497" t="s">
        <v>1433</v>
      </c>
      <c r="B497" s="1">
        <v>45699</v>
      </c>
      <c r="C497" t="s">
        <v>1434</v>
      </c>
      <c r="D497" t="s">
        <v>3262</v>
      </c>
      <c r="E497" s="1">
        <v>45702</v>
      </c>
      <c r="F497" t="s">
        <v>56</v>
      </c>
      <c r="G497" t="s">
        <v>54</v>
      </c>
      <c r="H497" t="s">
        <v>55</v>
      </c>
      <c r="I497" t="s">
        <v>2625</v>
      </c>
      <c r="J497" t="s">
        <v>2651</v>
      </c>
      <c r="K497" t="s">
        <v>25</v>
      </c>
      <c r="L497">
        <v>21</v>
      </c>
      <c r="M497">
        <v>4</v>
      </c>
      <c r="N497">
        <v>5</v>
      </c>
      <c r="O497" t="s">
        <v>1435</v>
      </c>
      <c r="P497" t="s">
        <v>33</v>
      </c>
      <c r="Q497" t="s">
        <v>70</v>
      </c>
      <c r="R497" t="s">
        <v>43</v>
      </c>
      <c r="S497" t="s">
        <v>57</v>
      </c>
      <c r="T497">
        <v>1</v>
      </c>
      <c r="U497">
        <v>727.06</v>
      </c>
      <c r="V497">
        <v>1394.98</v>
      </c>
      <c r="W497">
        <v>3</v>
      </c>
      <c r="X497" t="str">
        <f>TEXT(cleaneddata[[#This Row],[Order Date]],"mmm")</f>
        <v>Feb</v>
      </c>
      <c r="Y497">
        <f>cleaneddata[[#This Row],[Unit Price]]*cleaneddata[[#This Row],[Quantity]]*(1-cleaneddata[[#This Row],[Discount %]]/100)</f>
        <v>2762.8279999999995</v>
      </c>
      <c r="Z497">
        <f>cleaneddata[[#This Row],[sales]]-cleaneddata[[#This Row],[Cost]]</f>
        <v>1367.8479999999995</v>
      </c>
    </row>
    <row r="498" spans="1:26" x14ac:dyDescent="0.3">
      <c r="A498" t="s">
        <v>1436</v>
      </c>
      <c r="B498" s="1">
        <v>45626</v>
      </c>
      <c r="C498" t="s">
        <v>1437</v>
      </c>
      <c r="D498" t="s">
        <v>3261</v>
      </c>
      <c r="E498" s="1">
        <v>45627</v>
      </c>
      <c r="F498" t="s">
        <v>29</v>
      </c>
      <c r="G498" t="s">
        <v>27</v>
      </c>
      <c r="H498" t="s">
        <v>28</v>
      </c>
      <c r="I498" t="s">
        <v>2633</v>
      </c>
      <c r="J498" t="s">
        <v>2636</v>
      </c>
      <c r="K498" t="s">
        <v>25</v>
      </c>
      <c r="L498">
        <v>44</v>
      </c>
      <c r="M498">
        <v>4</v>
      </c>
      <c r="N498">
        <v>20</v>
      </c>
      <c r="O498" t="s">
        <v>1438</v>
      </c>
      <c r="P498" t="s">
        <v>44</v>
      </c>
      <c r="Q498" t="s">
        <v>70</v>
      </c>
      <c r="R498" t="s">
        <v>62</v>
      </c>
      <c r="S498" t="s">
        <v>30</v>
      </c>
      <c r="T498">
        <v>2</v>
      </c>
      <c r="U498">
        <v>168.36</v>
      </c>
      <c r="V498">
        <v>441.27</v>
      </c>
      <c r="W498">
        <v>1</v>
      </c>
      <c r="X498" t="str">
        <f>TEXT(cleaneddata[[#This Row],[Order Date]],"mmm")</f>
        <v>Nov</v>
      </c>
      <c r="Y498">
        <f>cleaneddata[[#This Row],[Unit Price]]*cleaneddata[[#This Row],[Quantity]]*(1-cleaneddata[[#This Row],[Discount %]]/100)</f>
        <v>538.75200000000007</v>
      </c>
      <c r="Z498">
        <f>cleaneddata[[#This Row],[sales]]-cleaneddata[[#This Row],[Cost]]</f>
        <v>97.482000000000085</v>
      </c>
    </row>
    <row r="499" spans="1:26" x14ac:dyDescent="0.3">
      <c r="A499" t="s">
        <v>1439</v>
      </c>
      <c r="B499" s="1">
        <v>45632</v>
      </c>
      <c r="C499" t="s">
        <v>1440</v>
      </c>
      <c r="D499" t="s">
        <v>3260</v>
      </c>
      <c r="E499" s="1">
        <v>45636</v>
      </c>
      <c r="F499" t="s">
        <v>100</v>
      </c>
      <c r="G499" t="s">
        <v>98</v>
      </c>
      <c r="H499" t="s">
        <v>99</v>
      </c>
      <c r="I499" t="s">
        <v>2632</v>
      </c>
      <c r="J499" t="s">
        <v>2715</v>
      </c>
      <c r="K499" t="s">
        <v>25</v>
      </c>
      <c r="L499">
        <v>28</v>
      </c>
      <c r="M499">
        <v>4</v>
      </c>
      <c r="N499">
        <v>25</v>
      </c>
      <c r="O499" t="s">
        <v>1344</v>
      </c>
      <c r="P499" t="s">
        <v>44</v>
      </c>
      <c r="Q499" t="s">
        <v>31</v>
      </c>
      <c r="R499" t="s">
        <v>71</v>
      </c>
      <c r="S499" t="s">
        <v>101</v>
      </c>
      <c r="T499">
        <v>2</v>
      </c>
      <c r="U499">
        <v>727.65</v>
      </c>
      <c r="V499">
        <v>1197.48</v>
      </c>
      <c r="W499">
        <v>4</v>
      </c>
      <c r="X499" t="str">
        <f>TEXT(cleaneddata[[#This Row],[Order Date]],"mmm")</f>
        <v>Dec</v>
      </c>
      <c r="Y499">
        <f>cleaneddata[[#This Row],[Unit Price]]*cleaneddata[[#This Row],[Quantity]]*(1-cleaneddata[[#This Row],[Discount %]]/100)</f>
        <v>2182.9499999999998</v>
      </c>
      <c r="Z499">
        <f>cleaneddata[[#This Row],[sales]]-cleaneddata[[#This Row],[Cost]]</f>
        <v>985.4699999999998</v>
      </c>
    </row>
    <row r="500" spans="1:26" x14ac:dyDescent="0.3">
      <c r="A500" t="s">
        <v>1441</v>
      </c>
      <c r="B500" s="1">
        <v>45776</v>
      </c>
      <c r="C500" t="s">
        <v>1442</v>
      </c>
      <c r="D500" t="s">
        <v>3259</v>
      </c>
      <c r="E500" s="1">
        <v>45778</v>
      </c>
      <c r="F500" t="s">
        <v>122</v>
      </c>
      <c r="G500" t="s">
        <v>120</v>
      </c>
      <c r="H500" t="s">
        <v>121</v>
      </c>
      <c r="I500" t="s">
        <v>2631</v>
      </c>
      <c r="J500" t="s">
        <v>2694</v>
      </c>
      <c r="K500" t="s">
        <v>25</v>
      </c>
      <c r="L500">
        <v>45</v>
      </c>
      <c r="M500">
        <v>1</v>
      </c>
      <c r="N500">
        <v>0</v>
      </c>
      <c r="O500" t="s">
        <v>1443</v>
      </c>
      <c r="P500" t="s">
        <v>33</v>
      </c>
      <c r="Q500" t="s">
        <v>31</v>
      </c>
      <c r="R500" t="s">
        <v>43</v>
      </c>
      <c r="S500" t="s">
        <v>123</v>
      </c>
      <c r="T500">
        <v>2</v>
      </c>
      <c r="U500">
        <v>769.65</v>
      </c>
      <c r="V500">
        <v>525.49</v>
      </c>
      <c r="W500">
        <v>2</v>
      </c>
      <c r="X500" t="str">
        <f>TEXT(cleaneddata[[#This Row],[Order Date]],"mmm")</f>
        <v>Apr</v>
      </c>
      <c r="Y500">
        <f>cleaneddata[[#This Row],[Unit Price]]*cleaneddata[[#This Row],[Quantity]]*(1-cleaneddata[[#This Row],[Discount %]]/100)</f>
        <v>769.65</v>
      </c>
      <c r="Z500">
        <f>cleaneddata[[#This Row],[sales]]-cleaneddata[[#This Row],[Cost]]</f>
        <v>244.15999999999997</v>
      </c>
    </row>
    <row r="501" spans="1:26" x14ac:dyDescent="0.3">
      <c r="A501" t="s">
        <v>1444</v>
      </c>
      <c r="B501" s="1">
        <v>45596</v>
      </c>
      <c r="C501" t="s">
        <v>1445</v>
      </c>
      <c r="D501" t="s">
        <v>3258</v>
      </c>
      <c r="E501" s="1">
        <v>45603</v>
      </c>
      <c r="F501" t="s">
        <v>140</v>
      </c>
      <c r="G501" t="s">
        <v>38</v>
      </c>
      <c r="H501" t="s">
        <v>139</v>
      </c>
      <c r="I501" t="s">
        <v>2652</v>
      </c>
      <c r="J501" t="s">
        <v>2688</v>
      </c>
      <c r="K501" t="s">
        <v>25</v>
      </c>
      <c r="L501">
        <v>50</v>
      </c>
      <c r="M501">
        <v>4</v>
      </c>
      <c r="N501">
        <v>20</v>
      </c>
      <c r="O501" t="s">
        <v>1446</v>
      </c>
      <c r="P501" t="s">
        <v>75</v>
      </c>
      <c r="Q501" t="s">
        <v>31</v>
      </c>
      <c r="R501" t="s">
        <v>71</v>
      </c>
      <c r="S501" t="s">
        <v>141</v>
      </c>
      <c r="T501">
        <v>2</v>
      </c>
      <c r="U501">
        <v>431.74</v>
      </c>
      <c r="V501">
        <v>1172.01</v>
      </c>
      <c r="W501">
        <v>7</v>
      </c>
      <c r="X501" t="str">
        <f>TEXT(cleaneddata[[#This Row],[Order Date]],"mmm")</f>
        <v>Oct</v>
      </c>
      <c r="Y501">
        <f>cleaneddata[[#This Row],[Unit Price]]*cleaneddata[[#This Row],[Quantity]]*(1-cleaneddata[[#This Row],[Discount %]]/100)</f>
        <v>1381.5680000000002</v>
      </c>
      <c r="Z501">
        <f>cleaneddata[[#This Row],[sales]]-cleaneddata[[#This Row],[Cost]]</f>
        <v>209.55800000000022</v>
      </c>
    </row>
    <row r="502" spans="1:26" x14ac:dyDescent="0.3">
      <c r="A502" t="s">
        <v>1447</v>
      </c>
      <c r="B502" s="1">
        <v>45503</v>
      </c>
      <c r="C502" t="s">
        <v>1448</v>
      </c>
      <c r="D502" t="s">
        <v>3257</v>
      </c>
      <c r="E502" s="1">
        <v>45505</v>
      </c>
      <c r="F502" t="s">
        <v>128</v>
      </c>
      <c r="G502" t="s">
        <v>98</v>
      </c>
      <c r="H502" t="s">
        <v>127</v>
      </c>
      <c r="I502" t="s">
        <v>2641</v>
      </c>
      <c r="J502" t="s">
        <v>2642</v>
      </c>
      <c r="K502" t="s">
        <v>25</v>
      </c>
      <c r="L502">
        <v>24</v>
      </c>
      <c r="M502">
        <v>2</v>
      </c>
      <c r="N502">
        <v>5</v>
      </c>
      <c r="O502" t="s">
        <v>1449</v>
      </c>
      <c r="P502" t="s">
        <v>44</v>
      </c>
      <c r="Q502" t="s">
        <v>70</v>
      </c>
      <c r="R502" t="s">
        <v>43</v>
      </c>
      <c r="S502" t="s">
        <v>129</v>
      </c>
      <c r="T502">
        <v>3</v>
      </c>
      <c r="U502">
        <v>958.4</v>
      </c>
      <c r="V502">
        <v>1506.9</v>
      </c>
      <c r="W502">
        <v>2</v>
      </c>
      <c r="X502" t="str">
        <f>TEXT(cleaneddata[[#This Row],[Order Date]],"mmm")</f>
        <v>Jul</v>
      </c>
      <c r="Y502">
        <f>cleaneddata[[#This Row],[Unit Price]]*cleaneddata[[#This Row],[Quantity]]*(1-cleaneddata[[#This Row],[Discount %]]/100)</f>
        <v>1820.9599999999998</v>
      </c>
      <c r="Z502">
        <f>cleaneddata[[#This Row],[sales]]-cleaneddata[[#This Row],[Cost]]</f>
        <v>314.05999999999972</v>
      </c>
    </row>
    <row r="503" spans="1:26" x14ac:dyDescent="0.3">
      <c r="A503" t="s">
        <v>1450</v>
      </c>
      <c r="B503" s="1">
        <v>45681</v>
      </c>
      <c r="C503" t="s">
        <v>909</v>
      </c>
      <c r="D503" t="s">
        <v>3256</v>
      </c>
      <c r="E503" s="1">
        <v>45683</v>
      </c>
      <c r="F503" t="s">
        <v>56</v>
      </c>
      <c r="G503" t="s">
        <v>54</v>
      </c>
      <c r="H503" t="s">
        <v>55</v>
      </c>
      <c r="I503" t="s">
        <v>2633</v>
      </c>
      <c r="J503" t="s">
        <v>2636</v>
      </c>
      <c r="K503" t="s">
        <v>52</v>
      </c>
      <c r="L503">
        <v>37</v>
      </c>
      <c r="M503">
        <v>5</v>
      </c>
      <c r="N503">
        <v>10</v>
      </c>
      <c r="O503" t="s">
        <v>1090</v>
      </c>
      <c r="P503" t="s">
        <v>44</v>
      </c>
      <c r="Q503" t="s">
        <v>117</v>
      </c>
      <c r="R503" t="s">
        <v>71</v>
      </c>
      <c r="S503" t="s">
        <v>57</v>
      </c>
      <c r="T503">
        <v>2</v>
      </c>
      <c r="U503">
        <v>503.62</v>
      </c>
      <c r="V503">
        <v>1689.59</v>
      </c>
      <c r="W503">
        <v>2</v>
      </c>
      <c r="X503" t="str">
        <f>TEXT(cleaneddata[[#This Row],[Order Date]],"mmm")</f>
        <v>Jan</v>
      </c>
      <c r="Y503">
        <f>cleaneddata[[#This Row],[Unit Price]]*cleaneddata[[#This Row],[Quantity]]*(1-cleaneddata[[#This Row],[Discount %]]/100)</f>
        <v>2266.29</v>
      </c>
      <c r="Z503">
        <f>cleaneddata[[#This Row],[sales]]-cleaneddata[[#This Row],[Cost]]</f>
        <v>576.70000000000005</v>
      </c>
    </row>
    <row r="504" spans="1:26" x14ac:dyDescent="0.3">
      <c r="A504" t="s">
        <v>1451</v>
      </c>
      <c r="B504" s="1">
        <v>45672</v>
      </c>
      <c r="C504" t="s">
        <v>1012</v>
      </c>
      <c r="D504" t="s">
        <v>3255</v>
      </c>
      <c r="E504" s="1">
        <v>45677</v>
      </c>
      <c r="F504" t="s">
        <v>122</v>
      </c>
      <c r="G504" t="s">
        <v>120</v>
      </c>
      <c r="H504" t="s">
        <v>121</v>
      </c>
      <c r="I504" t="s">
        <v>2663</v>
      </c>
      <c r="J504" t="s">
        <v>2670</v>
      </c>
      <c r="K504" t="s">
        <v>25</v>
      </c>
      <c r="L504">
        <v>52</v>
      </c>
      <c r="M504">
        <v>5</v>
      </c>
      <c r="N504">
        <v>0</v>
      </c>
      <c r="O504" t="s">
        <v>1122</v>
      </c>
      <c r="P504" t="s">
        <v>33</v>
      </c>
      <c r="Q504" t="s">
        <v>31</v>
      </c>
      <c r="R504" t="s">
        <v>32</v>
      </c>
      <c r="S504" t="s">
        <v>123</v>
      </c>
      <c r="T504">
        <v>1</v>
      </c>
      <c r="U504">
        <v>289.77999999999997</v>
      </c>
      <c r="V504">
        <v>1056.52</v>
      </c>
      <c r="W504">
        <v>5</v>
      </c>
      <c r="X504" t="str">
        <f>TEXT(cleaneddata[[#This Row],[Order Date]],"mmm")</f>
        <v>Jan</v>
      </c>
      <c r="Y504">
        <f>cleaneddata[[#This Row],[Unit Price]]*cleaneddata[[#This Row],[Quantity]]*(1-cleaneddata[[#This Row],[Discount %]]/100)</f>
        <v>1448.8999999999999</v>
      </c>
      <c r="Z504">
        <f>cleaneddata[[#This Row],[sales]]-cleaneddata[[#This Row],[Cost]]</f>
        <v>392.37999999999988</v>
      </c>
    </row>
    <row r="505" spans="1:26" x14ac:dyDescent="0.3">
      <c r="A505" t="s">
        <v>1452</v>
      </c>
      <c r="B505" s="1">
        <v>45670</v>
      </c>
      <c r="C505" t="s">
        <v>1453</v>
      </c>
      <c r="D505" t="s">
        <v>3254</v>
      </c>
      <c r="E505" s="1">
        <v>45672</v>
      </c>
      <c r="F505" t="s">
        <v>56</v>
      </c>
      <c r="G505" t="s">
        <v>54</v>
      </c>
      <c r="H505" t="s">
        <v>55</v>
      </c>
      <c r="I505" t="s">
        <v>2625</v>
      </c>
      <c r="J505" t="s">
        <v>2703</v>
      </c>
      <c r="K505" t="s">
        <v>52</v>
      </c>
      <c r="L505">
        <v>27</v>
      </c>
      <c r="M505">
        <v>1</v>
      </c>
      <c r="N505">
        <v>0</v>
      </c>
      <c r="O505" t="s">
        <v>1454</v>
      </c>
      <c r="P505" t="s">
        <v>33</v>
      </c>
      <c r="Q505" t="s">
        <v>58</v>
      </c>
      <c r="R505" t="s">
        <v>71</v>
      </c>
      <c r="S505" t="s">
        <v>57</v>
      </c>
      <c r="T505">
        <v>2</v>
      </c>
      <c r="U505">
        <v>115.08</v>
      </c>
      <c r="V505">
        <v>85.62</v>
      </c>
      <c r="W505">
        <v>2</v>
      </c>
      <c r="X505" t="str">
        <f>TEXT(cleaneddata[[#This Row],[Order Date]],"mmm")</f>
        <v>Jan</v>
      </c>
      <c r="Y505">
        <f>cleaneddata[[#This Row],[Unit Price]]*cleaneddata[[#This Row],[Quantity]]*(1-cleaneddata[[#This Row],[Discount %]]/100)</f>
        <v>115.08</v>
      </c>
      <c r="Z505">
        <f>cleaneddata[[#This Row],[sales]]-cleaneddata[[#This Row],[Cost]]</f>
        <v>29.459999999999994</v>
      </c>
    </row>
    <row r="506" spans="1:26" x14ac:dyDescent="0.3">
      <c r="A506" t="s">
        <v>1455</v>
      </c>
      <c r="B506" s="1">
        <v>45302</v>
      </c>
      <c r="C506" t="s">
        <v>1456</v>
      </c>
      <c r="D506" t="s">
        <v>3253</v>
      </c>
      <c r="E506" s="1">
        <v>45305</v>
      </c>
      <c r="F506" t="s">
        <v>115</v>
      </c>
      <c r="G506" t="s">
        <v>66</v>
      </c>
      <c r="H506" t="s">
        <v>114</v>
      </c>
      <c r="I506" t="s">
        <v>2675</v>
      </c>
      <c r="J506" t="s">
        <v>2676</v>
      </c>
      <c r="K506" t="s">
        <v>25</v>
      </c>
      <c r="L506">
        <v>58</v>
      </c>
      <c r="M506">
        <v>3</v>
      </c>
      <c r="N506">
        <v>25</v>
      </c>
      <c r="O506" t="s">
        <v>1457</v>
      </c>
      <c r="P506" t="s">
        <v>33</v>
      </c>
      <c r="Q506" t="s">
        <v>31</v>
      </c>
      <c r="R506" t="s">
        <v>71</v>
      </c>
      <c r="S506" t="s">
        <v>116</v>
      </c>
      <c r="T506">
        <v>5</v>
      </c>
      <c r="U506">
        <v>505.22</v>
      </c>
      <c r="V506">
        <v>951.44</v>
      </c>
      <c r="W506">
        <v>3</v>
      </c>
      <c r="X506" t="str">
        <f>TEXT(cleaneddata[[#This Row],[Order Date]],"mmm")</f>
        <v>Jan</v>
      </c>
      <c r="Y506">
        <f>cleaneddata[[#This Row],[Unit Price]]*cleaneddata[[#This Row],[Quantity]]*(1-cleaneddata[[#This Row],[Discount %]]/100)</f>
        <v>1136.7450000000001</v>
      </c>
      <c r="Z506">
        <f>cleaneddata[[#This Row],[sales]]-cleaneddata[[#This Row],[Cost]]</f>
        <v>185.30500000000006</v>
      </c>
    </row>
    <row r="507" spans="1:26" x14ac:dyDescent="0.3">
      <c r="A507" t="s">
        <v>1458</v>
      </c>
      <c r="B507" s="1">
        <v>45838</v>
      </c>
      <c r="C507" t="s">
        <v>1459</v>
      </c>
      <c r="D507" t="s">
        <v>3252</v>
      </c>
      <c r="E507" s="1">
        <v>45840</v>
      </c>
      <c r="F507" t="s">
        <v>68</v>
      </c>
      <c r="G507" t="s">
        <v>66</v>
      </c>
      <c r="H507" t="s">
        <v>67</v>
      </c>
      <c r="I507" t="s">
        <v>2632</v>
      </c>
      <c r="J507" t="s">
        <v>2646</v>
      </c>
      <c r="K507" t="s">
        <v>25</v>
      </c>
      <c r="L507">
        <v>27</v>
      </c>
      <c r="M507">
        <v>4</v>
      </c>
      <c r="N507">
        <v>30</v>
      </c>
      <c r="O507" t="s">
        <v>1460</v>
      </c>
      <c r="P507" t="s">
        <v>75</v>
      </c>
      <c r="Q507" t="s">
        <v>117</v>
      </c>
      <c r="R507" t="s">
        <v>43</v>
      </c>
      <c r="S507" t="s">
        <v>69</v>
      </c>
      <c r="T507">
        <v>3</v>
      </c>
      <c r="U507">
        <v>332.58</v>
      </c>
      <c r="V507">
        <v>692.57</v>
      </c>
      <c r="W507">
        <v>2</v>
      </c>
      <c r="X507" t="str">
        <f>TEXT(cleaneddata[[#This Row],[Order Date]],"mmm")</f>
        <v>Jun</v>
      </c>
      <c r="Y507">
        <f>cleaneddata[[#This Row],[Unit Price]]*cleaneddata[[#This Row],[Quantity]]*(1-cleaneddata[[#This Row],[Discount %]]/100)</f>
        <v>931.22399999999993</v>
      </c>
      <c r="Z507">
        <f>cleaneddata[[#This Row],[sales]]-cleaneddata[[#This Row],[Cost]]</f>
        <v>238.65399999999988</v>
      </c>
    </row>
    <row r="508" spans="1:26" x14ac:dyDescent="0.3">
      <c r="A508" t="s">
        <v>1461</v>
      </c>
      <c r="B508" s="1">
        <v>45626</v>
      </c>
      <c r="C508" t="s">
        <v>1462</v>
      </c>
      <c r="D508" t="s">
        <v>3251</v>
      </c>
      <c r="E508" s="1">
        <v>45629</v>
      </c>
      <c r="F508" t="s">
        <v>140</v>
      </c>
      <c r="G508" t="s">
        <v>38</v>
      </c>
      <c r="H508" t="s">
        <v>139</v>
      </c>
      <c r="I508" t="s">
        <v>2663</v>
      </c>
      <c r="J508" t="s">
        <v>2694</v>
      </c>
      <c r="K508" t="s">
        <v>25</v>
      </c>
      <c r="L508">
        <v>64</v>
      </c>
      <c r="M508">
        <v>5</v>
      </c>
      <c r="N508">
        <v>15</v>
      </c>
      <c r="O508" t="s">
        <v>1463</v>
      </c>
      <c r="P508" t="s">
        <v>33</v>
      </c>
      <c r="Q508" t="s">
        <v>70</v>
      </c>
      <c r="R508" t="s">
        <v>32</v>
      </c>
      <c r="S508" t="s">
        <v>141</v>
      </c>
      <c r="T508">
        <v>3</v>
      </c>
      <c r="U508">
        <v>768.66</v>
      </c>
      <c r="V508">
        <v>2393.79</v>
      </c>
      <c r="W508">
        <v>3</v>
      </c>
      <c r="X508" t="str">
        <f>TEXT(cleaneddata[[#This Row],[Order Date]],"mmm")</f>
        <v>Nov</v>
      </c>
      <c r="Y508">
        <f>cleaneddata[[#This Row],[Unit Price]]*cleaneddata[[#This Row],[Quantity]]*(1-cleaneddata[[#This Row],[Discount %]]/100)</f>
        <v>3266.8049999999998</v>
      </c>
      <c r="Z508">
        <f>cleaneddata[[#This Row],[sales]]-cleaneddata[[#This Row],[Cost]]</f>
        <v>873.01499999999987</v>
      </c>
    </row>
    <row r="509" spans="1:26" x14ac:dyDescent="0.3">
      <c r="A509" t="s">
        <v>1464</v>
      </c>
      <c r="B509" s="1">
        <v>45890</v>
      </c>
      <c r="C509" t="s">
        <v>1179</v>
      </c>
      <c r="D509" t="s">
        <v>3250</v>
      </c>
      <c r="E509" s="1">
        <v>45895</v>
      </c>
      <c r="F509" t="s">
        <v>122</v>
      </c>
      <c r="G509" t="s">
        <v>120</v>
      </c>
      <c r="H509" t="s">
        <v>121</v>
      </c>
      <c r="I509" t="s">
        <v>2627</v>
      </c>
      <c r="J509" t="s">
        <v>2628</v>
      </c>
      <c r="K509" t="s">
        <v>52</v>
      </c>
      <c r="L509">
        <v>26</v>
      </c>
      <c r="M509">
        <v>4</v>
      </c>
      <c r="N509">
        <v>15</v>
      </c>
      <c r="O509" t="s">
        <v>1149</v>
      </c>
      <c r="P509" t="s">
        <v>75</v>
      </c>
      <c r="Q509" t="s">
        <v>58</v>
      </c>
      <c r="R509" t="s">
        <v>71</v>
      </c>
      <c r="S509" t="s">
        <v>123</v>
      </c>
      <c r="T509">
        <v>5</v>
      </c>
      <c r="U509">
        <v>427.53</v>
      </c>
      <c r="V509">
        <v>791.58</v>
      </c>
      <c r="W509">
        <v>5</v>
      </c>
      <c r="X509" t="str">
        <f>TEXT(cleaneddata[[#This Row],[Order Date]],"mmm")</f>
        <v>Aug</v>
      </c>
      <c r="Y509">
        <f>cleaneddata[[#This Row],[Unit Price]]*cleaneddata[[#This Row],[Quantity]]*(1-cleaneddata[[#This Row],[Discount %]]/100)</f>
        <v>1453.6019999999999</v>
      </c>
      <c r="Z509">
        <f>cleaneddata[[#This Row],[sales]]-cleaneddata[[#This Row],[Cost]]</f>
        <v>662.02199999999982</v>
      </c>
    </row>
    <row r="510" spans="1:26" x14ac:dyDescent="0.3">
      <c r="A510" t="s">
        <v>1465</v>
      </c>
      <c r="B510" s="1">
        <v>45730</v>
      </c>
      <c r="C510" t="s">
        <v>1466</v>
      </c>
      <c r="D510" t="s">
        <v>3249</v>
      </c>
      <c r="E510" s="1">
        <v>45734</v>
      </c>
      <c r="F510" t="s">
        <v>115</v>
      </c>
      <c r="G510" t="s">
        <v>66</v>
      </c>
      <c r="H510" t="s">
        <v>114</v>
      </c>
      <c r="I510" t="s">
        <v>2631</v>
      </c>
      <c r="J510" t="s">
        <v>2711</v>
      </c>
      <c r="K510" t="s">
        <v>52</v>
      </c>
      <c r="L510">
        <v>20</v>
      </c>
      <c r="M510">
        <v>2</v>
      </c>
      <c r="N510">
        <v>20</v>
      </c>
      <c r="O510" t="s">
        <v>646</v>
      </c>
      <c r="P510" t="s">
        <v>44</v>
      </c>
      <c r="Q510" t="s">
        <v>70</v>
      </c>
      <c r="R510" t="s">
        <v>32</v>
      </c>
      <c r="S510" t="s">
        <v>116</v>
      </c>
      <c r="T510">
        <v>4</v>
      </c>
      <c r="U510">
        <v>416.15</v>
      </c>
      <c r="V510">
        <v>435.88</v>
      </c>
      <c r="W510">
        <v>4</v>
      </c>
      <c r="X510" t="str">
        <f>TEXT(cleaneddata[[#This Row],[Order Date]],"mmm")</f>
        <v>Mar</v>
      </c>
      <c r="Y510">
        <f>cleaneddata[[#This Row],[Unit Price]]*cleaneddata[[#This Row],[Quantity]]*(1-cleaneddata[[#This Row],[Discount %]]/100)</f>
        <v>665.84</v>
      </c>
      <c r="Z510">
        <f>cleaneddata[[#This Row],[sales]]-cleaneddata[[#This Row],[Cost]]</f>
        <v>229.96000000000004</v>
      </c>
    </row>
    <row r="511" spans="1:26" x14ac:dyDescent="0.3">
      <c r="A511" t="s">
        <v>1467</v>
      </c>
      <c r="B511" s="1">
        <v>45775</v>
      </c>
      <c r="C511" t="s">
        <v>1468</v>
      </c>
      <c r="D511" t="s">
        <v>3248</v>
      </c>
      <c r="E511" s="1">
        <v>45780</v>
      </c>
      <c r="F511" t="s">
        <v>115</v>
      </c>
      <c r="G511" t="s">
        <v>66</v>
      </c>
      <c r="H511" t="s">
        <v>114</v>
      </c>
      <c r="I511" t="s">
        <v>2663</v>
      </c>
      <c r="J511" t="s">
        <v>2664</v>
      </c>
      <c r="K511" t="s">
        <v>52</v>
      </c>
      <c r="L511">
        <v>36</v>
      </c>
      <c r="M511">
        <v>1</v>
      </c>
      <c r="N511">
        <v>20</v>
      </c>
      <c r="O511" t="s">
        <v>1469</v>
      </c>
      <c r="P511" t="s">
        <v>44</v>
      </c>
      <c r="Q511" t="s">
        <v>70</v>
      </c>
      <c r="R511" t="s">
        <v>71</v>
      </c>
      <c r="S511" t="s">
        <v>116</v>
      </c>
      <c r="T511">
        <v>4</v>
      </c>
      <c r="U511">
        <v>584.29999999999995</v>
      </c>
      <c r="V511">
        <v>352.26</v>
      </c>
      <c r="W511">
        <v>5</v>
      </c>
      <c r="X511" t="str">
        <f>TEXT(cleaneddata[[#This Row],[Order Date]],"mmm")</f>
        <v>Apr</v>
      </c>
      <c r="Y511">
        <f>cleaneddata[[#This Row],[Unit Price]]*cleaneddata[[#This Row],[Quantity]]*(1-cleaneddata[[#This Row],[Discount %]]/100)</f>
        <v>467.44</v>
      </c>
      <c r="Z511">
        <f>cleaneddata[[#This Row],[sales]]-cleaneddata[[#This Row],[Cost]]</f>
        <v>115.18</v>
      </c>
    </row>
    <row r="512" spans="1:26" x14ac:dyDescent="0.3">
      <c r="A512" t="s">
        <v>1470</v>
      </c>
      <c r="B512" s="1">
        <v>45824</v>
      </c>
      <c r="C512" t="s">
        <v>1471</v>
      </c>
      <c r="D512" t="s">
        <v>3247</v>
      </c>
      <c r="E512" s="1">
        <v>45825</v>
      </c>
      <c r="F512" t="s">
        <v>29</v>
      </c>
      <c r="G512" t="s">
        <v>27</v>
      </c>
      <c r="H512" t="s">
        <v>28</v>
      </c>
      <c r="I512" t="s">
        <v>2633</v>
      </c>
      <c r="J512" t="s">
        <v>2678</v>
      </c>
      <c r="K512" t="s">
        <v>25</v>
      </c>
      <c r="L512">
        <v>56</v>
      </c>
      <c r="M512">
        <v>2</v>
      </c>
      <c r="N512">
        <v>5</v>
      </c>
      <c r="O512" t="s">
        <v>1472</v>
      </c>
      <c r="P512" t="s">
        <v>33</v>
      </c>
      <c r="Q512" t="s">
        <v>70</v>
      </c>
      <c r="R512" t="s">
        <v>62</v>
      </c>
      <c r="S512" t="s">
        <v>30</v>
      </c>
      <c r="T512">
        <v>2</v>
      </c>
      <c r="U512">
        <v>951.36</v>
      </c>
      <c r="V512">
        <v>1301.43</v>
      </c>
      <c r="W512">
        <v>1</v>
      </c>
      <c r="X512" t="str">
        <f>TEXT(cleaneddata[[#This Row],[Order Date]],"mmm")</f>
        <v>Jun</v>
      </c>
      <c r="Y512">
        <f>cleaneddata[[#This Row],[Unit Price]]*cleaneddata[[#This Row],[Quantity]]*(1-cleaneddata[[#This Row],[Discount %]]/100)</f>
        <v>1807.5839999999998</v>
      </c>
      <c r="Z512">
        <f>cleaneddata[[#This Row],[sales]]-cleaneddata[[#This Row],[Cost]]</f>
        <v>506.15399999999977</v>
      </c>
    </row>
    <row r="513" spans="1:26" x14ac:dyDescent="0.3">
      <c r="A513" t="s">
        <v>1473</v>
      </c>
      <c r="B513" s="1">
        <v>45631</v>
      </c>
      <c r="C513" t="s">
        <v>1474</v>
      </c>
      <c r="D513" t="s">
        <v>3246</v>
      </c>
      <c r="E513" s="1">
        <v>45634</v>
      </c>
      <c r="F513" t="s">
        <v>122</v>
      </c>
      <c r="G513" t="s">
        <v>120</v>
      </c>
      <c r="H513" t="s">
        <v>121</v>
      </c>
      <c r="I513" t="s">
        <v>2629</v>
      </c>
      <c r="J513" t="s">
        <v>2689</v>
      </c>
      <c r="K513" t="s">
        <v>25</v>
      </c>
      <c r="L513">
        <v>46</v>
      </c>
      <c r="M513">
        <v>4</v>
      </c>
      <c r="N513">
        <v>30</v>
      </c>
      <c r="O513" t="s">
        <v>1339</v>
      </c>
      <c r="P513" t="s">
        <v>44</v>
      </c>
      <c r="Q513" t="s">
        <v>31</v>
      </c>
      <c r="R513" t="s">
        <v>32</v>
      </c>
      <c r="S513" t="s">
        <v>123</v>
      </c>
      <c r="T513">
        <v>1</v>
      </c>
      <c r="U513">
        <v>359.68</v>
      </c>
      <c r="V513">
        <v>588.22</v>
      </c>
      <c r="W513">
        <v>3</v>
      </c>
      <c r="X513" t="str">
        <f>TEXT(cleaneddata[[#This Row],[Order Date]],"mmm")</f>
        <v>Dec</v>
      </c>
      <c r="Y513">
        <f>cleaneddata[[#This Row],[Unit Price]]*cleaneddata[[#This Row],[Quantity]]*(1-cleaneddata[[#This Row],[Discount %]]/100)</f>
        <v>1007.1039999999999</v>
      </c>
      <c r="Z513">
        <f>cleaneddata[[#This Row],[sales]]-cleaneddata[[#This Row],[Cost]]</f>
        <v>418.8839999999999</v>
      </c>
    </row>
    <row r="514" spans="1:26" x14ac:dyDescent="0.3">
      <c r="A514" t="s">
        <v>1475</v>
      </c>
      <c r="B514" s="1">
        <v>45939</v>
      </c>
      <c r="C514" t="s">
        <v>1476</v>
      </c>
      <c r="D514" t="s">
        <v>3245</v>
      </c>
      <c r="E514" s="1">
        <v>45940</v>
      </c>
      <c r="F514" t="s">
        <v>29</v>
      </c>
      <c r="G514" t="s">
        <v>27</v>
      </c>
      <c r="H514" t="s">
        <v>28</v>
      </c>
      <c r="I514" t="s">
        <v>2625</v>
      </c>
      <c r="J514" t="s">
        <v>2703</v>
      </c>
      <c r="K514" t="s">
        <v>52</v>
      </c>
      <c r="L514">
        <v>39</v>
      </c>
      <c r="M514">
        <v>1</v>
      </c>
      <c r="N514">
        <v>5</v>
      </c>
      <c r="O514" t="s">
        <v>1477</v>
      </c>
      <c r="P514" t="s">
        <v>75</v>
      </c>
      <c r="Q514" t="s">
        <v>31</v>
      </c>
      <c r="R514" t="s">
        <v>43</v>
      </c>
      <c r="S514" t="s">
        <v>30</v>
      </c>
      <c r="T514">
        <v>5</v>
      </c>
      <c r="U514">
        <v>174.73</v>
      </c>
      <c r="V514">
        <v>87.9</v>
      </c>
      <c r="W514">
        <v>1</v>
      </c>
      <c r="X514" t="str">
        <f>TEXT(cleaneddata[[#This Row],[Order Date]],"mmm")</f>
        <v>Oct</v>
      </c>
      <c r="Y514">
        <f>cleaneddata[[#This Row],[Unit Price]]*cleaneddata[[#This Row],[Quantity]]*(1-cleaneddata[[#This Row],[Discount %]]/100)</f>
        <v>165.99349999999998</v>
      </c>
      <c r="Z514">
        <f>cleaneddata[[#This Row],[sales]]-cleaneddata[[#This Row],[Cost]]</f>
        <v>78.093499999999977</v>
      </c>
    </row>
    <row r="515" spans="1:26" x14ac:dyDescent="0.3">
      <c r="A515" t="s">
        <v>1478</v>
      </c>
      <c r="B515" s="1">
        <v>45750</v>
      </c>
      <c r="C515" t="s">
        <v>1479</v>
      </c>
      <c r="D515" t="s">
        <v>3244</v>
      </c>
      <c r="E515" s="1">
        <v>45752</v>
      </c>
      <c r="F515" t="s">
        <v>140</v>
      </c>
      <c r="G515" t="s">
        <v>38</v>
      </c>
      <c r="H515" t="s">
        <v>139</v>
      </c>
      <c r="I515" t="s">
        <v>2629</v>
      </c>
      <c r="J515" t="s">
        <v>2697</v>
      </c>
      <c r="K515" t="s">
        <v>52</v>
      </c>
      <c r="L515">
        <v>61</v>
      </c>
      <c r="M515">
        <v>2</v>
      </c>
      <c r="N515">
        <v>25</v>
      </c>
      <c r="O515" t="s">
        <v>1339</v>
      </c>
      <c r="P515" t="s">
        <v>33</v>
      </c>
      <c r="Q515" t="s">
        <v>42</v>
      </c>
      <c r="R515" t="s">
        <v>62</v>
      </c>
      <c r="S515" t="s">
        <v>141</v>
      </c>
      <c r="T515">
        <v>1</v>
      </c>
      <c r="U515">
        <v>355.25</v>
      </c>
      <c r="V515">
        <v>340.32</v>
      </c>
      <c r="W515">
        <v>2</v>
      </c>
      <c r="X515" t="str">
        <f>TEXT(cleaneddata[[#This Row],[Order Date]],"mmm")</f>
        <v>Apr</v>
      </c>
      <c r="Y515">
        <f>cleaneddata[[#This Row],[Unit Price]]*cleaneddata[[#This Row],[Quantity]]*(1-cleaneddata[[#This Row],[Discount %]]/100)</f>
        <v>532.875</v>
      </c>
      <c r="Z515">
        <f>cleaneddata[[#This Row],[sales]]-cleaneddata[[#This Row],[Cost]]</f>
        <v>192.55500000000001</v>
      </c>
    </row>
    <row r="516" spans="1:26" x14ac:dyDescent="0.3">
      <c r="A516" t="s">
        <v>1480</v>
      </c>
      <c r="B516" s="1">
        <v>45785</v>
      </c>
      <c r="C516" t="s">
        <v>1481</v>
      </c>
      <c r="D516" t="s">
        <v>3243</v>
      </c>
      <c r="E516" s="1">
        <v>45789</v>
      </c>
      <c r="F516" t="s">
        <v>128</v>
      </c>
      <c r="G516" t="s">
        <v>98</v>
      </c>
      <c r="H516" t="s">
        <v>127</v>
      </c>
      <c r="I516" t="s">
        <v>2625</v>
      </c>
      <c r="J516" t="s">
        <v>2703</v>
      </c>
      <c r="K516" t="s">
        <v>52</v>
      </c>
      <c r="L516">
        <v>57</v>
      </c>
      <c r="M516">
        <v>3</v>
      </c>
      <c r="N516">
        <v>20</v>
      </c>
      <c r="O516" t="s">
        <v>1482</v>
      </c>
      <c r="P516" t="s">
        <v>33</v>
      </c>
      <c r="Q516" t="s">
        <v>70</v>
      </c>
      <c r="R516" t="s">
        <v>71</v>
      </c>
      <c r="S516" t="s">
        <v>129</v>
      </c>
      <c r="T516">
        <v>2</v>
      </c>
      <c r="U516">
        <v>12.89</v>
      </c>
      <c r="V516">
        <v>17.420000000000002</v>
      </c>
      <c r="W516">
        <v>4</v>
      </c>
      <c r="X516" t="str">
        <f>TEXT(cleaneddata[[#This Row],[Order Date]],"mmm")</f>
        <v>May</v>
      </c>
      <c r="Y516">
        <f>cleaneddata[[#This Row],[Unit Price]]*cleaneddata[[#This Row],[Quantity]]*(1-cleaneddata[[#This Row],[Discount %]]/100)</f>
        <v>30.936000000000003</v>
      </c>
      <c r="Z516">
        <f>cleaneddata[[#This Row],[sales]]-cleaneddata[[#This Row],[Cost]]</f>
        <v>13.516000000000002</v>
      </c>
    </row>
    <row r="517" spans="1:26" x14ac:dyDescent="0.3">
      <c r="A517" t="s">
        <v>1483</v>
      </c>
      <c r="B517" s="1">
        <v>46147</v>
      </c>
      <c r="C517" t="s">
        <v>1484</v>
      </c>
      <c r="D517" t="s">
        <v>3242</v>
      </c>
      <c r="E517" s="1">
        <v>46152</v>
      </c>
      <c r="F517" t="s">
        <v>56</v>
      </c>
      <c r="G517" t="s">
        <v>54</v>
      </c>
      <c r="H517" t="s">
        <v>55</v>
      </c>
      <c r="I517" t="s">
        <v>2634</v>
      </c>
      <c r="J517" t="s">
        <v>2650</v>
      </c>
      <c r="K517" t="s">
        <v>25</v>
      </c>
      <c r="L517">
        <v>34</v>
      </c>
      <c r="M517">
        <v>1</v>
      </c>
      <c r="N517">
        <v>0</v>
      </c>
      <c r="O517" t="s">
        <v>1485</v>
      </c>
      <c r="P517" t="s">
        <v>75</v>
      </c>
      <c r="Q517" t="s">
        <v>58</v>
      </c>
      <c r="R517" t="s">
        <v>32</v>
      </c>
      <c r="S517" t="s">
        <v>57</v>
      </c>
      <c r="T517">
        <v>4</v>
      </c>
      <c r="U517">
        <v>526.9</v>
      </c>
      <c r="V517">
        <v>330.28</v>
      </c>
      <c r="W517">
        <v>5</v>
      </c>
      <c r="X517" t="str">
        <f>TEXT(cleaneddata[[#This Row],[Order Date]],"mmm")</f>
        <v>May</v>
      </c>
      <c r="Y517">
        <f>cleaneddata[[#This Row],[Unit Price]]*cleaneddata[[#This Row],[Quantity]]*(1-cleaneddata[[#This Row],[Discount %]]/100)</f>
        <v>526.9</v>
      </c>
      <c r="Z517">
        <f>cleaneddata[[#This Row],[sales]]-cleaneddata[[#This Row],[Cost]]</f>
        <v>196.62</v>
      </c>
    </row>
    <row r="518" spans="1:26" x14ac:dyDescent="0.3">
      <c r="A518" t="s">
        <v>1486</v>
      </c>
      <c r="B518" s="1">
        <v>45316</v>
      </c>
      <c r="C518" t="s">
        <v>1487</v>
      </c>
      <c r="D518" t="s">
        <v>3241</v>
      </c>
      <c r="E518" s="1">
        <v>45320</v>
      </c>
      <c r="F518" t="s">
        <v>56</v>
      </c>
      <c r="G518" t="s">
        <v>54</v>
      </c>
      <c r="H518" t="s">
        <v>55</v>
      </c>
      <c r="I518" t="s">
        <v>2647</v>
      </c>
      <c r="J518" t="s">
        <v>2721</v>
      </c>
      <c r="K518" t="s">
        <v>25</v>
      </c>
      <c r="L518">
        <v>19</v>
      </c>
      <c r="M518">
        <v>1</v>
      </c>
      <c r="N518">
        <v>15</v>
      </c>
      <c r="O518" t="s">
        <v>1463</v>
      </c>
      <c r="P518" t="s">
        <v>44</v>
      </c>
      <c r="Q518" t="s">
        <v>58</v>
      </c>
      <c r="R518" t="s">
        <v>43</v>
      </c>
      <c r="S518" t="s">
        <v>57</v>
      </c>
      <c r="T518">
        <v>1</v>
      </c>
      <c r="U518">
        <v>87.34</v>
      </c>
      <c r="V518">
        <v>55.45</v>
      </c>
      <c r="W518">
        <v>4</v>
      </c>
      <c r="X518" t="str">
        <f>TEXT(cleaneddata[[#This Row],[Order Date]],"mmm")</f>
        <v>Jan</v>
      </c>
      <c r="Y518">
        <f>cleaneddata[[#This Row],[Unit Price]]*cleaneddata[[#This Row],[Quantity]]*(1-cleaneddata[[#This Row],[Discount %]]/100)</f>
        <v>74.239000000000004</v>
      </c>
      <c r="Z518">
        <f>cleaneddata[[#This Row],[sales]]-cleaneddata[[#This Row],[Cost]]</f>
        <v>18.789000000000001</v>
      </c>
    </row>
    <row r="519" spans="1:26" x14ac:dyDescent="0.3">
      <c r="A519" t="s">
        <v>1488</v>
      </c>
      <c r="B519" s="1">
        <v>46094</v>
      </c>
      <c r="C519" t="s">
        <v>1489</v>
      </c>
      <c r="D519" t="s">
        <v>3240</v>
      </c>
      <c r="E519" s="1">
        <v>46099</v>
      </c>
      <c r="F519" t="s">
        <v>122</v>
      </c>
      <c r="G519" t="s">
        <v>120</v>
      </c>
      <c r="H519" t="s">
        <v>121</v>
      </c>
      <c r="I519" t="s">
        <v>2631</v>
      </c>
      <c r="J519" t="s">
        <v>2694</v>
      </c>
      <c r="K519" t="s">
        <v>25</v>
      </c>
      <c r="L519">
        <v>21</v>
      </c>
      <c r="M519">
        <v>1</v>
      </c>
      <c r="N519">
        <v>0</v>
      </c>
      <c r="O519" t="s">
        <v>700</v>
      </c>
      <c r="P519" t="s">
        <v>33</v>
      </c>
      <c r="Q519" t="s">
        <v>42</v>
      </c>
      <c r="R519" t="s">
        <v>62</v>
      </c>
      <c r="S519" t="s">
        <v>123</v>
      </c>
      <c r="T519">
        <v>3</v>
      </c>
      <c r="U519">
        <v>784.39</v>
      </c>
      <c r="V519">
        <v>593.15</v>
      </c>
      <c r="W519">
        <v>5</v>
      </c>
      <c r="X519" t="str">
        <f>TEXT(cleaneddata[[#This Row],[Order Date]],"mmm")</f>
        <v>Mar</v>
      </c>
      <c r="Y519">
        <f>cleaneddata[[#This Row],[Unit Price]]*cleaneddata[[#This Row],[Quantity]]*(1-cleaneddata[[#This Row],[Discount %]]/100)</f>
        <v>784.39</v>
      </c>
      <c r="Z519">
        <f>cleaneddata[[#This Row],[sales]]-cleaneddata[[#This Row],[Cost]]</f>
        <v>191.24</v>
      </c>
    </row>
    <row r="520" spans="1:26" x14ac:dyDescent="0.3">
      <c r="A520" t="s">
        <v>1490</v>
      </c>
      <c r="B520" s="1">
        <v>45856</v>
      </c>
      <c r="C520" t="s">
        <v>1491</v>
      </c>
      <c r="D520" t="s">
        <v>2761</v>
      </c>
      <c r="E520" s="1">
        <v>45863</v>
      </c>
      <c r="F520" t="s">
        <v>140</v>
      </c>
      <c r="G520" t="s">
        <v>38</v>
      </c>
      <c r="H520" t="s">
        <v>139</v>
      </c>
      <c r="I520" t="s">
        <v>2635</v>
      </c>
      <c r="J520" t="s">
        <v>2677</v>
      </c>
      <c r="K520" t="s">
        <v>52</v>
      </c>
      <c r="L520">
        <v>19</v>
      </c>
      <c r="M520">
        <v>1</v>
      </c>
      <c r="N520">
        <v>25</v>
      </c>
      <c r="O520" t="s">
        <v>709</v>
      </c>
      <c r="P520" t="s">
        <v>75</v>
      </c>
      <c r="Q520" t="s">
        <v>42</v>
      </c>
      <c r="R520" t="s">
        <v>32</v>
      </c>
      <c r="S520" t="s">
        <v>141</v>
      </c>
      <c r="T520">
        <v>5</v>
      </c>
      <c r="U520">
        <v>99.51</v>
      </c>
      <c r="V520">
        <v>61.08</v>
      </c>
      <c r="W520">
        <v>7</v>
      </c>
      <c r="X520" t="str">
        <f>TEXT(cleaneddata[[#This Row],[Order Date]],"mmm")</f>
        <v>Jul</v>
      </c>
      <c r="Y520">
        <f>cleaneddata[[#This Row],[Unit Price]]*cleaneddata[[#This Row],[Quantity]]*(1-cleaneddata[[#This Row],[Discount %]]/100)</f>
        <v>74.632500000000007</v>
      </c>
      <c r="Z520">
        <f>cleaneddata[[#This Row],[sales]]-cleaneddata[[#This Row],[Cost]]</f>
        <v>13.552500000000009</v>
      </c>
    </row>
    <row r="521" spans="1:26" x14ac:dyDescent="0.3">
      <c r="A521" t="s">
        <v>1492</v>
      </c>
      <c r="B521" s="1">
        <v>45863</v>
      </c>
      <c r="C521" t="s">
        <v>1493</v>
      </c>
      <c r="D521" t="s">
        <v>2760</v>
      </c>
      <c r="E521" s="1">
        <v>45864</v>
      </c>
      <c r="F521" t="s">
        <v>40</v>
      </c>
      <c r="G521" t="s">
        <v>38</v>
      </c>
      <c r="H521" t="s">
        <v>39</v>
      </c>
      <c r="I521" t="s">
        <v>2634</v>
      </c>
      <c r="J521" t="s">
        <v>2714</v>
      </c>
      <c r="K521" t="s">
        <v>52</v>
      </c>
      <c r="L521">
        <v>50</v>
      </c>
      <c r="M521">
        <v>3</v>
      </c>
      <c r="N521">
        <v>10</v>
      </c>
      <c r="O521" t="s">
        <v>1494</v>
      </c>
      <c r="P521" t="s">
        <v>33</v>
      </c>
      <c r="Q521" t="s">
        <v>117</v>
      </c>
      <c r="R521" t="s">
        <v>43</v>
      </c>
      <c r="S521" t="s">
        <v>41</v>
      </c>
      <c r="T521">
        <v>4</v>
      </c>
      <c r="U521">
        <v>853.18</v>
      </c>
      <c r="V521">
        <v>1637.44</v>
      </c>
      <c r="W521">
        <v>1</v>
      </c>
      <c r="X521" t="str">
        <f>TEXT(cleaneddata[[#This Row],[Order Date]],"mmm")</f>
        <v>Jul</v>
      </c>
      <c r="Y521">
        <f>cleaneddata[[#This Row],[Unit Price]]*cleaneddata[[#This Row],[Quantity]]*(1-cleaneddata[[#This Row],[Discount %]]/100)</f>
        <v>2303.5860000000002</v>
      </c>
      <c r="Z521">
        <f>cleaneddata[[#This Row],[sales]]-cleaneddata[[#This Row],[Cost]]</f>
        <v>666.14600000000019</v>
      </c>
    </row>
    <row r="522" spans="1:26" x14ac:dyDescent="0.3">
      <c r="A522" t="s">
        <v>1495</v>
      </c>
      <c r="B522" s="1">
        <v>45911</v>
      </c>
      <c r="C522" t="s">
        <v>1496</v>
      </c>
      <c r="D522" t="s">
        <v>2759</v>
      </c>
      <c r="E522" s="1">
        <v>45913</v>
      </c>
      <c r="F522" t="s">
        <v>100</v>
      </c>
      <c r="G522" t="s">
        <v>98</v>
      </c>
      <c r="H522" t="s">
        <v>99</v>
      </c>
      <c r="I522" t="s">
        <v>2623</v>
      </c>
      <c r="J522" t="s">
        <v>2701</v>
      </c>
      <c r="K522" t="s">
        <v>52</v>
      </c>
      <c r="L522">
        <v>50</v>
      </c>
      <c r="M522">
        <v>4</v>
      </c>
      <c r="N522">
        <v>5</v>
      </c>
      <c r="O522" t="s">
        <v>1497</v>
      </c>
      <c r="P522" t="s">
        <v>33</v>
      </c>
      <c r="Q522" t="s">
        <v>31</v>
      </c>
      <c r="R522" t="s">
        <v>32</v>
      </c>
      <c r="S522" t="s">
        <v>101</v>
      </c>
      <c r="T522">
        <v>2</v>
      </c>
      <c r="U522">
        <v>990.67</v>
      </c>
      <c r="V522">
        <v>2956.29</v>
      </c>
      <c r="W522">
        <v>2</v>
      </c>
      <c r="X522" t="str">
        <f>TEXT(cleaneddata[[#This Row],[Order Date]],"mmm")</f>
        <v>Sep</v>
      </c>
      <c r="Y522">
        <f>cleaneddata[[#This Row],[Unit Price]]*cleaneddata[[#This Row],[Quantity]]*(1-cleaneddata[[#This Row],[Discount %]]/100)</f>
        <v>3764.5459999999998</v>
      </c>
      <c r="Z522">
        <f>cleaneddata[[#This Row],[sales]]-cleaneddata[[#This Row],[Cost]]</f>
        <v>808.25599999999986</v>
      </c>
    </row>
    <row r="523" spans="1:26" x14ac:dyDescent="0.3">
      <c r="A523" t="s">
        <v>1498</v>
      </c>
      <c r="B523" s="1">
        <v>45612</v>
      </c>
      <c r="C523" t="s">
        <v>1499</v>
      </c>
      <c r="D523" t="s">
        <v>2758</v>
      </c>
      <c r="E523" s="1">
        <v>45613</v>
      </c>
      <c r="F523" t="s">
        <v>56</v>
      </c>
      <c r="G523" t="s">
        <v>54</v>
      </c>
      <c r="H523" t="s">
        <v>55</v>
      </c>
      <c r="I523" t="s">
        <v>2647</v>
      </c>
      <c r="J523" t="s">
        <v>2648</v>
      </c>
      <c r="K523" t="s">
        <v>52</v>
      </c>
      <c r="L523">
        <v>25</v>
      </c>
      <c r="M523">
        <v>4</v>
      </c>
      <c r="N523">
        <v>15</v>
      </c>
      <c r="O523" t="s">
        <v>1500</v>
      </c>
      <c r="P523" t="s">
        <v>75</v>
      </c>
      <c r="Q523" t="s">
        <v>58</v>
      </c>
      <c r="R523" t="s">
        <v>71</v>
      </c>
      <c r="S523" t="s">
        <v>57</v>
      </c>
      <c r="T523">
        <v>1</v>
      </c>
      <c r="U523">
        <v>905.8</v>
      </c>
      <c r="V523">
        <v>2572.0500000000002</v>
      </c>
      <c r="W523">
        <v>1</v>
      </c>
      <c r="X523" t="str">
        <f>TEXT(cleaneddata[[#This Row],[Order Date]],"mmm")</f>
        <v>Nov</v>
      </c>
      <c r="Y523">
        <f>cleaneddata[[#This Row],[Unit Price]]*cleaneddata[[#This Row],[Quantity]]*(1-cleaneddata[[#This Row],[Discount %]]/100)</f>
        <v>3079.72</v>
      </c>
      <c r="Z523">
        <f>cleaneddata[[#This Row],[sales]]-cleaneddata[[#This Row],[Cost]]</f>
        <v>507.66999999999962</v>
      </c>
    </row>
    <row r="524" spans="1:26" x14ac:dyDescent="0.3">
      <c r="A524" t="s">
        <v>1501</v>
      </c>
      <c r="B524" s="1">
        <v>45304</v>
      </c>
      <c r="C524" t="s">
        <v>1502</v>
      </c>
      <c r="D524" t="s">
        <v>3239</v>
      </c>
      <c r="E524" s="1">
        <v>45309</v>
      </c>
      <c r="F524" t="s">
        <v>56</v>
      </c>
      <c r="G524" t="s">
        <v>54</v>
      </c>
      <c r="H524" t="s">
        <v>55</v>
      </c>
      <c r="I524" t="s">
        <v>2647</v>
      </c>
      <c r="J524" t="s">
        <v>2648</v>
      </c>
      <c r="K524" t="s">
        <v>52</v>
      </c>
      <c r="L524">
        <v>56</v>
      </c>
      <c r="M524">
        <v>1</v>
      </c>
      <c r="N524">
        <v>30</v>
      </c>
      <c r="O524" t="s">
        <v>1201</v>
      </c>
      <c r="P524" t="s">
        <v>33</v>
      </c>
      <c r="Q524" t="s">
        <v>117</v>
      </c>
      <c r="R524" t="s">
        <v>32</v>
      </c>
      <c r="S524" t="s">
        <v>57</v>
      </c>
      <c r="T524">
        <v>1</v>
      </c>
      <c r="U524">
        <v>409.55</v>
      </c>
      <c r="V524">
        <v>181.04</v>
      </c>
      <c r="W524">
        <v>5</v>
      </c>
      <c r="X524" t="str">
        <f>TEXT(cleaneddata[[#This Row],[Order Date]],"mmm")</f>
        <v>Jan</v>
      </c>
      <c r="Y524">
        <f>cleaneddata[[#This Row],[Unit Price]]*cleaneddata[[#This Row],[Quantity]]*(1-cleaneddata[[#This Row],[Discount %]]/100)</f>
        <v>286.685</v>
      </c>
      <c r="Z524">
        <f>cleaneddata[[#This Row],[sales]]-cleaneddata[[#This Row],[Cost]]</f>
        <v>105.64500000000001</v>
      </c>
    </row>
    <row r="525" spans="1:26" x14ac:dyDescent="0.3">
      <c r="A525" t="s">
        <v>1503</v>
      </c>
      <c r="B525" s="1">
        <v>45434</v>
      </c>
      <c r="C525" t="s">
        <v>1504</v>
      </c>
      <c r="D525" t="s">
        <v>3238</v>
      </c>
      <c r="E525" s="1">
        <v>45439</v>
      </c>
      <c r="F525" t="s">
        <v>29</v>
      </c>
      <c r="G525" t="s">
        <v>27</v>
      </c>
      <c r="H525" t="s">
        <v>28</v>
      </c>
      <c r="I525" t="s">
        <v>2623</v>
      </c>
      <c r="J525" t="s">
        <v>2691</v>
      </c>
      <c r="K525" t="s">
        <v>25</v>
      </c>
      <c r="L525">
        <v>31</v>
      </c>
      <c r="M525">
        <v>1</v>
      </c>
      <c r="N525">
        <v>15</v>
      </c>
      <c r="O525" t="s">
        <v>1505</v>
      </c>
      <c r="P525" t="s">
        <v>44</v>
      </c>
      <c r="Q525" t="s">
        <v>42</v>
      </c>
      <c r="R525" t="s">
        <v>43</v>
      </c>
      <c r="S525" t="s">
        <v>30</v>
      </c>
      <c r="T525">
        <v>5</v>
      </c>
      <c r="U525">
        <v>762.36</v>
      </c>
      <c r="V525">
        <v>447.35</v>
      </c>
      <c r="W525">
        <v>5</v>
      </c>
      <c r="X525" t="str">
        <f>TEXT(cleaneddata[[#This Row],[Order Date]],"mmm")</f>
        <v>May</v>
      </c>
      <c r="Y525">
        <f>cleaneddata[[#This Row],[Unit Price]]*cleaneddata[[#This Row],[Quantity]]*(1-cleaneddata[[#This Row],[Discount %]]/100)</f>
        <v>648.00599999999997</v>
      </c>
      <c r="Z525">
        <f>cleaneddata[[#This Row],[sales]]-cleaneddata[[#This Row],[Cost]]</f>
        <v>200.65599999999995</v>
      </c>
    </row>
    <row r="526" spans="1:26" x14ac:dyDescent="0.3">
      <c r="A526" t="s">
        <v>1506</v>
      </c>
      <c r="B526" s="1">
        <v>45816</v>
      </c>
      <c r="C526" t="s">
        <v>1507</v>
      </c>
      <c r="D526" t="s">
        <v>3237</v>
      </c>
      <c r="E526" s="1">
        <v>45817</v>
      </c>
      <c r="F526" t="s">
        <v>56</v>
      </c>
      <c r="G526" t="s">
        <v>54</v>
      </c>
      <c r="H526" t="s">
        <v>55</v>
      </c>
      <c r="I526" t="s">
        <v>2634</v>
      </c>
      <c r="J526" t="s">
        <v>2644</v>
      </c>
      <c r="K526" t="s">
        <v>25</v>
      </c>
      <c r="L526">
        <v>27</v>
      </c>
      <c r="M526">
        <v>4</v>
      </c>
      <c r="N526">
        <v>0</v>
      </c>
      <c r="O526" t="s">
        <v>1508</v>
      </c>
      <c r="P526" t="s">
        <v>44</v>
      </c>
      <c r="Q526" t="s">
        <v>70</v>
      </c>
      <c r="R526" t="s">
        <v>71</v>
      </c>
      <c r="S526" t="s">
        <v>57</v>
      </c>
      <c r="T526">
        <v>5</v>
      </c>
      <c r="U526">
        <v>410.57</v>
      </c>
      <c r="V526">
        <v>1307.8800000000001</v>
      </c>
      <c r="W526">
        <v>1</v>
      </c>
      <c r="X526" t="str">
        <f>TEXT(cleaneddata[[#This Row],[Order Date]],"mmm")</f>
        <v>Jun</v>
      </c>
      <c r="Y526">
        <f>cleaneddata[[#This Row],[Unit Price]]*cleaneddata[[#This Row],[Quantity]]*(1-cleaneddata[[#This Row],[Discount %]]/100)</f>
        <v>1642.28</v>
      </c>
      <c r="Z526">
        <f>cleaneddata[[#This Row],[sales]]-cleaneddata[[#This Row],[Cost]]</f>
        <v>334.39999999999986</v>
      </c>
    </row>
    <row r="527" spans="1:26" x14ac:dyDescent="0.3">
      <c r="A527" t="s">
        <v>1509</v>
      </c>
      <c r="B527" s="1">
        <v>45660</v>
      </c>
      <c r="C527" t="s">
        <v>1510</v>
      </c>
      <c r="D527" t="s">
        <v>3236</v>
      </c>
      <c r="E527" s="1">
        <v>45667</v>
      </c>
      <c r="F527" t="s">
        <v>40</v>
      </c>
      <c r="G527" t="s">
        <v>38</v>
      </c>
      <c r="H527" t="s">
        <v>39</v>
      </c>
      <c r="I527" t="s">
        <v>2679</v>
      </c>
      <c r="J527" t="s">
        <v>2707</v>
      </c>
      <c r="K527" t="s">
        <v>52</v>
      </c>
      <c r="L527">
        <v>40</v>
      </c>
      <c r="M527">
        <v>1</v>
      </c>
      <c r="N527">
        <v>30</v>
      </c>
      <c r="O527" t="s">
        <v>1511</v>
      </c>
      <c r="P527" t="s">
        <v>33</v>
      </c>
      <c r="Q527" t="s">
        <v>42</v>
      </c>
      <c r="R527" t="s">
        <v>62</v>
      </c>
      <c r="S527" t="s">
        <v>41</v>
      </c>
      <c r="T527">
        <v>5</v>
      </c>
      <c r="U527">
        <v>727.1</v>
      </c>
      <c r="V527">
        <v>296.72000000000003</v>
      </c>
      <c r="W527">
        <v>7</v>
      </c>
      <c r="X527" t="str">
        <f>TEXT(cleaneddata[[#This Row],[Order Date]],"mmm")</f>
        <v>Jan</v>
      </c>
      <c r="Y527">
        <f>cleaneddata[[#This Row],[Unit Price]]*cleaneddata[[#This Row],[Quantity]]*(1-cleaneddata[[#This Row],[Discount %]]/100)</f>
        <v>508.96999999999997</v>
      </c>
      <c r="Z527">
        <f>cleaneddata[[#This Row],[sales]]-cleaneddata[[#This Row],[Cost]]</f>
        <v>212.24999999999994</v>
      </c>
    </row>
    <row r="528" spans="1:26" x14ac:dyDescent="0.3">
      <c r="A528" t="s">
        <v>1512</v>
      </c>
      <c r="B528" s="1">
        <v>45785</v>
      </c>
      <c r="C528" t="s">
        <v>1513</v>
      </c>
      <c r="D528" t="s">
        <v>3235</v>
      </c>
      <c r="E528" s="1">
        <v>45791</v>
      </c>
      <c r="F528" t="s">
        <v>122</v>
      </c>
      <c r="G528" t="s">
        <v>120</v>
      </c>
      <c r="H528" t="s">
        <v>121</v>
      </c>
      <c r="I528" t="s">
        <v>2623</v>
      </c>
      <c r="J528" t="s">
        <v>2691</v>
      </c>
      <c r="K528" t="s">
        <v>52</v>
      </c>
      <c r="L528">
        <v>29</v>
      </c>
      <c r="M528">
        <v>4</v>
      </c>
      <c r="N528">
        <v>5</v>
      </c>
      <c r="O528" t="s">
        <v>1514</v>
      </c>
      <c r="P528" t="s">
        <v>44</v>
      </c>
      <c r="Q528" t="s">
        <v>42</v>
      </c>
      <c r="R528" t="s">
        <v>32</v>
      </c>
      <c r="S528" t="s">
        <v>123</v>
      </c>
      <c r="T528">
        <v>5</v>
      </c>
      <c r="U528">
        <v>74.59</v>
      </c>
      <c r="V528">
        <v>234.12</v>
      </c>
      <c r="W528">
        <v>6</v>
      </c>
      <c r="X528" t="str">
        <f>TEXT(cleaneddata[[#This Row],[Order Date]],"mmm")</f>
        <v>May</v>
      </c>
      <c r="Y528">
        <f>cleaneddata[[#This Row],[Unit Price]]*cleaneddata[[#This Row],[Quantity]]*(1-cleaneddata[[#This Row],[Discount %]]/100)</f>
        <v>283.44200000000001</v>
      </c>
      <c r="Z528">
        <f>cleaneddata[[#This Row],[sales]]-cleaneddata[[#This Row],[Cost]]</f>
        <v>49.322000000000003</v>
      </c>
    </row>
    <row r="529" spans="1:26" x14ac:dyDescent="0.3">
      <c r="A529" t="s">
        <v>1515</v>
      </c>
      <c r="B529" s="1">
        <v>46151</v>
      </c>
      <c r="C529" t="s">
        <v>1516</v>
      </c>
      <c r="D529" t="s">
        <v>3234</v>
      </c>
      <c r="E529" s="1">
        <v>46155</v>
      </c>
      <c r="F529" t="s">
        <v>56</v>
      </c>
      <c r="G529" t="s">
        <v>54</v>
      </c>
      <c r="H529" t="s">
        <v>55</v>
      </c>
      <c r="I529" t="s">
        <v>2631</v>
      </c>
      <c r="J529" t="s">
        <v>2694</v>
      </c>
      <c r="K529" t="s">
        <v>25</v>
      </c>
      <c r="L529">
        <v>57</v>
      </c>
      <c r="M529">
        <v>3</v>
      </c>
      <c r="N529">
        <v>0</v>
      </c>
      <c r="O529" t="s">
        <v>829</v>
      </c>
      <c r="P529" t="s">
        <v>75</v>
      </c>
      <c r="Q529" t="s">
        <v>42</v>
      </c>
      <c r="R529" t="s">
        <v>43</v>
      </c>
      <c r="S529" t="s">
        <v>57</v>
      </c>
      <c r="T529">
        <v>5</v>
      </c>
      <c r="U529">
        <v>41.12</v>
      </c>
      <c r="V529">
        <v>78.47</v>
      </c>
      <c r="W529">
        <v>4</v>
      </c>
      <c r="X529" t="str">
        <f>TEXT(cleaneddata[[#This Row],[Order Date]],"mmm")</f>
        <v>May</v>
      </c>
      <c r="Y529">
        <f>cleaneddata[[#This Row],[Unit Price]]*cleaneddata[[#This Row],[Quantity]]*(1-cleaneddata[[#This Row],[Discount %]]/100)</f>
        <v>123.35999999999999</v>
      </c>
      <c r="Z529">
        <f>cleaneddata[[#This Row],[sales]]-cleaneddata[[#This Row],[Cost]]</f>
        <v>44.889999999999986</v>
      </c>
    </row>
    <row r="530" spans="1:26" x14ac:dyDescent="0.3">
      <c r="A530" t="s">
        <v>1517</v>
      </c>
      <c r="B530" s="1">
        <v>45771</v>
      </c>
      <c r="C530" t="s">
        <v>1518</v>
      </c>
      <c r="D530" t="s">
        <v>3233</v>
      </c>
      <c r="E530" s="1">
        <v>45774</v>
      </c>
      <c r="F530" t="s">
        <v>29</v>
      </c>
      <c r="G530" t="s">
        <v>27</v>
      </c>
      <c r="H530" t="s">
        <v>28</v>
      </c>
      <c r="I530" t="s">
        <v>2629</v>
      </c>
      <c r="J530" t="s">
        <v>2689</v>
      </c>
      <c r="K530" t="s">
        <v>52</v>
      </c>
      <c r="L530">
        <v>57</v>
      </c>
      <c r="M530">
        <v>2</v>
      </c>
      <c r="N530">
        <v>10</v>
      </c>
      <c r="O530" t="s">
        <v>1519</v>
      </c>
      <c r="P530" t="s">
        <v>44</v>
      </c>
      <c r="Q530" t="s">
        <v>117</v>
      </c>
      <c r="R530" t="s">
        <v>71</v>
      </c>
      <c r="S530" t="s">
        <v>30</v>
      </c>
      <c r="T530">
        <v>4</v>
      </c>
      <c r="U530">
        <v>986.06</v>
      </c>
      <c r="V530">
        <v>1288.8</v>
      </c>
      <c r="W530">
        <v>3</v>
      </c>
      <c r="X530" t="str">
        <f>TEXT(cleaneddata[[#This Row],[Order Date]],"mmm")</f>
        <v>Apr</v>
      </c>
      <c r="Y530">
        <f>cleaneddata[[#This Row],[Unit Price]]*cleaneddata[[#This Row],[Quantity]]*(1-cleaneddata[[#This Row],[Discount %]]/100)</f>
        <v>1774.9079999999999</v>
      </c>
      <c r="Z530">
        <f>cleaneddata[[#This Row],[sales]]-cleaneddata[[#This Row],[Cost]]</f>
        <v>486.10799999999995</v>
      </c>
    </row>
    <row r="531" spans="1:26" x14ac:dyDescent="0.3">
      <c r="A531" t="s">
        <v>1520</v>
      </c>
      <c r="B531" s="1">
        <v>45828</v>
      </c>
      <c r="C531" t="s">
        <v>1521</v>
      </c>
      <c r="D531" t="s">
        <v>3232</v>
      </c>
      <c r="E531" s="1">
        <v>45834</v>
      </c>
      <c r="F531" t="s">
        <v>100</v>
      </c>
      <c r="G531" t="s">
        <v>98</v>
      </c>
      <c r="H531" t="s">
        <v>99</v>
      </c>
      <c r="I531" t="s">
        <v>2622</v>
      </c>
      <c r="J531" t="s">
        <v>2622</v>
      </c>
      <c r="K531" t="s">
        <v>52</v>
      </c>
      <c r="L531">
        <v>23</v>
      </c>
      <c r="M531">
        <v>3</v>
      </c>
      <c r="N531">
        <v>30</v>
      </c>
      <c r="O531" t="s">
        <v>1522</v>
      </c>
      <c r="P531" t="s">
        <v>33</v>
      </c>
      <c r="Q531" t="s">
        <v>58</v>
      </c>
      <c r="R531" t="s">
        <v>32</v>
      </c>
      <c r="S531" t="s">
        <v>101</v>
      </c>
      <c r="T531">
        <v>1</v>
      </c>
      <c r="U531">
        <v>602.54999999999995</v>
      </c>
      <c r="V531">
        <v>915.89</v>
      </c>
      <c r="W531">
        <v>6</v>
      </c>
      <c r="X531" t="str">
        <f>TEXT(cleaneddata[[#This Row],[Order Date]],"mmm")</f>
        <v>Jun</v>
      </c>
      <c r="Y531">
        <f>cleaneddata[[#This Row],[Unit Price]]*cleaneddata[[#This Row],[Quantity]]*(1-cleaneddata[[#This Row],[Discount %]]/100)</f>
        <v>1265.3549999999998</v>
      </c>
      <c r="Z531">
        <f>cleaneddata[[#This Row],[sales]]-cleaneddata[[#This Row],[Cost]]</f>
        <v>349.4649999999998</v>
      </c>
    </row>
    <row r="532" spans="1:26" x14ac:dyDescent="0.3">
      <c r="A532" t="s">
        <v>1523</v>
      </c>
      <c r="B532" s="1">
        <v>45529</v>
      </c>
      <c r="C532" t="s">
        <v>1524</v>
      </c>
      <c r="D532" t="s">
        <v>3231</v>
      </c>
      <c r="E532" s="1">
        <v>45532</v>
      </c>
      <c r="F532" t="s">
        <v>122</v>
      </c>
      <c r="G532" t="s">
        <v>120</v>
      </c>
      <c r="H532" t="s">
        <v>121</v>
      </c>
      <c r="I532" t="s">
        <v>2634</v>
      </c>
      <c r="J532" t="s">
        <v>2650</v>
      </c>
      <c r="K532" t="s">
        <v>25</v>
      </c>
      <c r="L532">
        <v>54</v>
      </c>
      <c r="M532">
        <v>5</v>
      </c>
      <c r="N532">
        <v>10</v>
      </c>
      <c r="O532" t="s">
        <v>1525</v>
      </c>
      <c r="P532" t="s">
        <v>33</v>
      </c>
      <c r="Q532" t="s">
        <v>42</v>
      </c>
      <c r="R532" t="s">
        <v>71</v>
      </c>
      <c r="S532" t="s">
        <v>123</v>
      </c>
      <c r="T532">
        <v>3</v>
      </c>
      <c r="U532">
        <v>353.63</v>
      </c>
      <c r="V532">
        <v>1040.4100000000001</v>
      </c>
      <c r="W532">
        <v>3</v>
      </c>
      <c r="X532" t="str">
        <f>TEXT(cleaneddata[[#This Row],[Order Date]],"mmm")</f>
        <v>Aug</v>
      </c>
      <c r="Y532">
        <f>cleaneddata[[#This Row],[Unit Price]]*cleaneddata[[#This Row],[Quantity]]*(1-cleaneddata[[#This Row],[Discount %]]/100)</f>
        <v>1591.335</v>
      </c>
      <c r="Z532">
        <f>cleaneddata[[#This Row],[sales]]-cleaneddata[[#This Row],[Cost]]</f>
        <v>550.92499999999995</v>
      </c>
    </row>
    <row r="533" spans="1:26" x14ac:dyDescent="0.3">
      <c r="A533" t="s">
        <v>1526</v>
      </c>
      <c r="B533" s="1">
        <v>46042</v>
      </c>
      <c r="C533" t="s">
        <v>1527</v>
      </c>
      <c r="D533" t="s">
        <v>3230</v>
      </c>
      <c r="E533" s="1">
        <v>46047</v>
      </c>
      <c r="F533" t="s">
        <v>68</v>
      </c>
      <c r="G533" t="s">
        <v>66</v>
      </c>
      <c r="H533" t="s">
        <v>67</v>
      </c>
      <c r="I533" t="s">
        <v>2633</v>
      </c>
      <c r="J533" t="s">
        <v>2695</v>
      </c>
      <c r="K533" t="s">
        <v>25</v>
      </c>
      <c r="L533">
        <v>51</v>
      </c>
      <c r="M533">
        <v>3</v>
      </c>
      <c r="N533">
        <v>30</v>
      </c>
      <c r="O533" t="s">
        <v>1528</v>
      </c>
      <c r="P533" t="s">
        <v>44</v>
      </c>
      <c r="Q533" t="s">
        <v>31</v>
      </c>
      <c r="R533" t="s">
        <v>32</v>
      </c>
      <c r="S533" t="s">
        <v>69</v>
      </c>
      <c r="T533">
        <v>2</v>
      </c>
      <c r="U533">
        <v>710.98</v>
      </c>
      <c r="V533">
        <v>1221.44</v>
      </c>
      <c r="W533">
        <v>5</v>
      </c>
      <c r="X533" t="str">
        <f>TEXT(cleaneddata[[#This Row],[Order Date]],"mmm")</f>
        <v>Jan</v>
      </c>
      <c r="Y533">
        <f>cleaneddata[[#This Row],[Unit Price]]*cleaneddata[[#This Row],[Quantity]]*(1-cleaneddata[[#This Row],[Discount %]]/100)</f>
        <v>1493.058</v>
      </c>
      <c r="Z533">
        <f>cleaneddata[[#This Row],[sales]]-cleaneddata[[#This Row],[Cost]]</f>
        <v>271.61799999999994</v>
      </c>
    </row>
    <row r="534" spans="1:26" x14ac:dyDescent="0.3">
      <c r="A534" t="s">
        <v>1529</v>
      </c>
      <c r="B534" s="1">
        <v>45452</v>
      </c>
      <c r="C534" t="s">
        <v>1530</v>
      </c>
      <c r="D534" t="s">
        <v>3229</v>
      </c>
      <c r="E534" s="1">
        <v>45456</v>
      </c>
      <c r="F534" t="s">
        <v>140</v>
      </c>
      <c r="G534" t="s">
        <v>38</v>
      </c>
      <c r="H534" t="s">
        <v>139</v>
      </c>
      <c r="I534" t="s">
        <v>2659</v>
      </c>
      <c r="J534" t="s">
        <v>2681</v>
      </c>
      <c r="K534" t="s">
        <v>52</v>
      </c>
      <c r="L534">
        <v>29</v>
      </c>
      <c r="M534">
        <v>1</v>
      </c>
      <c r="N534">
        <v>15</v>
      </c>
      <c r="O534" t="s">
        <v>1531</v>
      </c>
      <c r="P534" t="s">
        <v>44</v>
      </c>
      <c r="Q534" t="s">
        <v>70</v>
      </c>
      <c r="R534" t="s">
        <v>62</v>
      </c>
      <c r="S534" t="s">
        <v>141</v>
      </c>
      <c r="T534">
        <v>2</v>
      </c>
      <c r="U534">
        <v>37.479999999999997</v>
      </c>
      <c r="V534">
        <v>25.37</v>
      </c>
      <c r="W534">
        <v>4</v>
      </c>
      <c r="X534" t="str">
        <f>TEXT(cleaneddata[[#This Row],[Order Date]],"mmm")</f>
        <v>Jun</v>
      </c>
      <c r="Y534">
        <f>cleaneddata[[#This Row],[Unit Price]]*cleaneddata[[#This Row],[Quantity]]*(1-cleaneddata[[#This Row],[Discount %]]/100)</f>
        <v>31.857999999999997</v>
      </c>
      <c r="Z534">
        <f>cleaneddata[[#This Row],[sales]]-cleaneddata[[#This Row],[Cost]]</f>
        <v>6.487999999999996</v>
      </c>
    </row>
    <row r="535" spans="1:26" x14ac:dyDescent="0.3">
      <c r="A535" t="s">
        <v>1532</v>
      </c>
      <c r="B535" s="1">
        <v>45844</v>
      </c>
      <c r="C535" t="s">
        <v>1533</v>
      </c>
      <c r="D535" t="s">
        <v>3228</v>
      </c>
      <c r="E535" s="1">
        <v>45851</v>
      </c>
      <c r="F535" t="s">
        <v>122</v>
      </c>
      <c r="G535" t="s">
        <v>120</v>
      </c>
      <c r="H535" t="s">
        <v>121</v>
      </c>
      <c r="I535" t="s">
        <v>2625</v>
      </c>
      <c r="J535" t="s">
        <v>2626</v>
      </c>
      <c r="K535" t="s">
        <v>52</v>
      </c>
      <c r="L535">
        <v>52</v>
      </c>
      <c r="M535">
        <v>5</v>
      </c>
      <c r="N535">
        <v>0</v>
      </c>
      <c r="O535" t="s">
        <v>371</v>
      </c>
      <c r="P535" t="s">
        <v>75</v>
      </c>
      <c r="Q535" t="s">
        <v>70</v>
      </c>
      <c r="R535" t="s">
        <v>43</v>
      </c>
      <c r="S535" t="s">
        <v>123</v>
      </c>
      <c r="T535">
        <v>3</v>
      </c>
      <c r="U535">
        <v>665.52</v>
      </c>
      <c r="V535">
        <v>2143.0300000000002</v>
      </c>
      <c r="W535">
        <v>7</v>
      </c>
      <c r="X535" t="str">
        <f>TEXT(cleaneddata[[#This Row],[Order Date]],"mmm")</f>
        <v>Jul</v>
      </c>
      <c r="Y535">
        <f>cleaneddata[[#This Row],[Unit Price]]*cleaneddata[[#This Row],[Quantity]]*(1-cleaneddata[[#This Row],[Discount %]]/100)</f>
        <v>3327.6</v>
      </c>
      <c r="Z535">
        <f>cleaneddata[[#This Row],[sales]]-cleaneddata[[#This Row],[Cost]]</f>
        <v>1184.5699999999997</v>
      </c>
    </row>
    <row r="536" spans="1:26" x14ac:dyDescent="0.3">
      <c r="A536" t="s">
        <v>1534</v>
      </c>
      <c r="B536" s="1">
        <v>45681</v>
      </c>
      <c r="C536" t="s">
        <v>1535</v>
      </c>
      <c r="D536" t="s">
        <v>3227</v>
      </c>
      <c r="E536" s="1">
        <v>45682</v>
      </c>
      <c r="F536" t="s">
        <v>29</v>
      </c>
      <c r="G536" t="s">
        <v>27</v>
      </c>
      <c r="H536" t="s">
        <v>28</v>
      </c>
      <c r="I536" t="s">
        <v>2625</v>
      </c>
      <c r="J536" t="s">
        <v>2651</v>
      </c>
      <c r="K536" t="s">
        <v>52</v>
      </c>
      <c r="L536">
        <v>50</v>
      </c>
      <c r="M536">
        <v>1</v>
      </c>
      <c r="N536">
        <v>30</v>
      </c>
      <c r="O536" t="s">
        <v>1536</v>
      </c>
      <c r="P536" t="s">
        <v>44</v>
      </c>
      <c r="Q536" t="s">
        <v>42</v>
      </c>
      <c r="R536" t="s">
        <v>32</v>
      </c>
      <c r="S536" t="s">
        <v>30</v>
      </c>
      <c r="T536">
        <v>2</v>
      </c>
      <c r="U536">
        <v>596.78</v>
      </c>
      <c r="V536">
        <v>284.43</v>
      </c>
      <c r="W536">
        <v>1</v>
      </c>
      <c r="X536" t="str">
        <f>TEXT(cleaneddata[[#This Row],[Order Date]],"mmm")</f>
        <v>Jan</v>
      </c>
      <c r="Y536">
        <f>cleaneddata[[#This Row],[Unit Price]]*cleaneddata[[#This Row],[Quantity]]*(1-cleaneddata[[#This Row],[Discount %]]/100)</f>
        <v>417.74599999999998</v>
      </c>
      <c r="Z536">
        <f>cleaneddata[[#This Row],[sales]]-cleaneddata[[#This Row],[Cost]]</f>
        <v>133.31599999999997</v>
      </c>
    </row>
    <row r="537" spans="1:26" x14ac:dyDescent="0.3">
      <c r="A537" t="s">
        <v>1537</v>
      </c>
      <c r="B537" s="1">
        <v>45463</v>
      </c>
      <c r="C537" t="s">
        <v>1538</v>
      </c>
      <c r="D537" t="s">
        <v>3226</v>
      </c>
      <c r="E537" s="1">
        <v>45470</v>
      </c>
      <c r="F537" t="s">
        <v>100</v>
      </c>
      <c r="G537" t="s">
        <v>98</v>
      </c>
      <c r="H537" t="s">
        <v>99</v>
      </c>
      <c r="I537" t="s">
        <v>2627</v>
      </c>
      <c r="J537" t="s">
        <v>2717</v>
      </c>
      <c r="K537" t="s">
        <v>25</v>
      </c>
      <c r="L537">
        <v>58</v>
      </c>
      <c r="M537">
        <v>4</v>
      </c>
      <c r="N537">
        <v>10</v>
      </c>
      <c r="O537" t="s">
        <v>1400</v>
      </c>
      <c r="P537" t="s">
        <v>75</v>
      </c>
      <c r="Q537" t="s">
        <v>70</v>
      </c>
      <c r="R537" t="s">
        <v>32</v>
      </c>
      <c r="S537" t="s">
        <v>101</v>
      </c>
      <c r="T537">
        <v>4</v>
      </c>
      <c r="U537">
        <v>669.21</v>
      </c>
      <c r="V537">
        <v>1677.7</v>
      </c>
      <c r="W537">
        <v>7</v>
      </c>
      <c r="X537" t="str">
        <f>TEXT(cleaneddata[[#This Row],[Order Date]],"mmm")</f>
        <v>Jun</v>
      </c>
      <c r="Y537">
        <f>cleaneddata[[#This Row],[Unit Price]]*cleaneddata[[#This Row],[Quantity]]*(1-cleaneddata[[#This Row],[Discount %]]/100)</f>
        <v>2409.1560000000004</v>
      </c>
      <c r="Z537">
        <f>cleaneddata[[#This Row],[sales]]-cleaneddata[[#This Row],[Cost]]</f>
        <v>731.45600000000036</v>
      </c>
    </row>
    <row r="538" spans="1:26" x14ac:dyDescent="0.3">
      <c r="A538" t="s">
        <v>1539</v>
      </c>
      <c r="B538" s="1">
        <v>45702</v>
      </c>
      <c r="C538" t="s">
        <v>1540</v>
      </c>
      <c r="D538" t="s">
        <v>3225</v>
      </c>
      <c r="E538" s="1">
        <v>45706</v>
      </c>
      <c r="F538" t="s">
        <v>122</v>
      </c>
      <c r="G538" t="s">
        <v>120</v>
      </c>
      <c r="H538" t="s">
        <v>121</v>
      </c>
      <c r="I538" t="s">
        <v>2625</v>
      </c>
      <c r="J538" t="s">
        <v>2703</v>
      </c>
      <c r="K538" t="s">
        <v>52</v>
      </c>
      <c r="L538">
        <v>32</v>
      </c>
      <c r="M538">
        <v>5</v>
      </c>
      <c r="N538">
        <v>15</v>
      </c>
      <c r="O538" t="s">
        <v>1541</v>
      </c>
      <c r="P538" t="s">
        <v>75</v>
      </c>
      <c r="Q538" t="s">
        <v>58</v>
      </c>
      <c r="R538" t="s">
        <v>43</v>
      </c>
      <c r="S538" t="s">
        <v>123</v>
      </c>
      <c r="T538">
        <v>3</v>
      </c>
      <c r="U538">
        <v>47.34</v>
      </c>
      <c r="V538">
        <v>170.4</v>
      </c>
      <c r="W538">
        <v>4</v>
      </c>
      <c r="X538" t="str">
        <f>TEXT(cleaneddata[[#This Row],[Order Date]],"mmm")</f>
        <v>Feb</v>
      </c>
      <c r="Y538">
        <f>cleaneddata[[#This Row],[Unit Price]]*cleaneddata[[#This Row],[Quantity]]*(1-cleaneddata[[#This Row],[Discount %]]/100)</f>
        <v>201.19500000000002</v>
      </c>
      <c r="Z538">
        <f>cleaneddata[[#This Row],[sales]]-cleaneddata[[#This Row],[Cost]]</f>
        <v>30.795000000000016</v>
      </c>
    </row>
    <row r="539" spans="1:26" x14ac:dyDescent="0.3">
      <c r="A539" t="s">
        <v>1542</v>
      </c>
      <c r="B539" s="1">
        <v>46051</v>
      </c>
      <c r="C539" t="s">
        <v>1543</v>
      </c>
      <c r="D539" t="s">
        <v>3224</v>
      </c>
      <c r="E539" s="1">
        <v>46052</v>
      </c>
      <c r="F539" t="s">
        <v>100</v>
      </c>
      <c r="G539" t="s">
        <v>98</v>
      </c>
      <c r="H539" t="s">
        <v>99</v>
      </c>
      <c r="I539" t="s">
        <v>2654</v>
      </c>
      <c r="J539" t="s">
        <v>2684</v>
      </c>
      <c r="K539" t="s">
        <v>52</v>
      </c>
      <c r="L539">
        <v>50</v>
      </c>
      <c r="M539">
        <v>1</v>
      </c>
      <c r="N539">
        <v>30</v>
      </c>
      <c r="O539" t="s">
        <v>818</v>
      </c>
      <c r="P539" t="s">
        <v>44</v>
      </c>
      <c r="Q539" t="s">
        <v>31</v>
      </c>
      <c r="R539" t="s">
        <v>43</v>
      </c>
      <c r="S539" t="s">
        <v>101</v>
      </c>
      <c r="T539">
        <v>1</v>
      </c>
      <c r="U539">
        <v>791.13</v>
      </c>
      <c r="V539">
        <v>370.49</v>
      </c>
      <c r="W539">
        <v>1</v>
      </c>
      <c r="X539" t="str">
        <f>TEXT(cleaneddata[[#This Row],[Order Date]],"mmm")</f>
        <v>Jan</v>
      </c>
      <c r="Y539">
        <f>cleaneddata[[#This Row],[Unit Price]]*cleaneddata[[#This Row],[Quantity]]*(1-cleaneddata[[#This Row],[Discount %]]/100)</f>
        <v>553.79099999999994</v>
      </c>
      <c r="Z539">
        <f>cleaneddata[[#This Row],[sales]]-cleaneddata[[#This Row],[Cost]]</f>
        <v>183.30099999999993</v>
      </c>
    </row>
    <row r="540" spans="1:26" x14ac:dyDescent="0.3">
      <c r="A540" t="s">
        <v>1544</v>
      </c>
      <c r="B540" s="1">
        <v>45599</v>
      </c>
      <c r="C540" t="s">
        <v>1545</v>
      </c>
      <c r="D540" t="s">
        <v>3223</v>
      </c>
      <c r="E540" s="1">
        <v>45606</v>
      </c>
      <c r="F540" t="s">
        <v>29</v>
      </c>
      <c r="G540" t="s">
        <v>27</v>
      </c>
      <c r="H540" t="s">
        <v>28</v>
      </c>
      <c r="I540" t="s">
        <v>2634</v>
      </c>
      <c r="J540" t="s">
        <v>2650</v>
      </c>
      <c r="K540" t="s">
        <v>25</v>
      </c>
      <c r="L540">
        <v>20</v>
      </c>
      <c r="M540">
        <v>4</v>
      </c>
      <c r="N540">
        <v>5</v>
      </c>
      <c r="O540" t="s">
        <v>1546</v>
      </c>
      <c r="P540" t="s">
        <v>44</v>
      </c>
      <c r="Q540" t="s">
        <v>70</v>
      </c>
      <c r="R540" t="s">
        <v>62</v>
      </c>
      <c r="S540" t="s">
        <v>30</v>
      </c>
      <c r="T540">
        <v>3</v>
      </c>
      <c r="U540">
        <v>423.23</v>
      </c>
      <c r="V540">
        <v>1311.13</v>
      </c>
      <c r="W540">
        <v>7</v>
      </c>
      <c r="X540" t="str">
        <f>TEXT(cleaneddata[[#This Row],[Order Date]],"mmm")</f>
        <v>Nov</v>
      </c>
      <c r="Y540">
        <f>cleaneddata[[#This Row],[Unit Price]]*cleaneddata[[#This Row],[Quantity]]*(1-cleaneddata[[#This Row],[Discount %]]/100)</f>
        <v>1608.2739999999999</v>
      </c>
      <c r="Z540">
        <f>cleaneddata[[#This Row],[sales]]-cleaneddata[[#This Row],[Cost]]</f>
        <v>297.14399999999978</v>
      </c>
    </row>
    <row r="541" spans="1:26" x14ac:dyDescent="0.3">
      <c r="A541" t="s">
        <v>1547</v>
      </c>
      <c r="B541" s="1">
        <v>45532</v>
      </c>
      <c r="C541" t="s">
        <v>1548</v>
      </c>
      <c r="D541" t="s">
        <v>3222</v>
      </c>
      <c r="E541" s="1">
        <v>45538</v>
      </c>
      <c r="F541" t="s">
        <v>40</v>
      </c>
      <c r="G541" t="s">
        <v>38</v>
      </c>
      <c r="H541" t="s">
        <v>39</v>
      </c>
      <c r="I541" t="s">
        <v>2659</v>
      </c>
      <c r="J541" t="s">
        <v>2681</v>
      </c>
      <c r="K541" t="s">
        <v>52</v>
      </c>
      <c r="L541">
        <v>40</v>
      </c>
      <c r="M541">
        <v>3</v>
      </c>
      <c r="N541">
        <v>0</v>
      </c>
      <c r="O541" t="s">
        <v>1549</v>
      </c>
      <c r="P541" t="s">
        <v>75</v>
      </c>
      <c r="Q541" t="s">
        <v>31</v>
      </c>
      <c r="R541" t="s">
        <v>71</v>
      </c>
      <c r="S541" t="s">
        <v>41</v>
      </c>
      <c r="T541">
        <v>1</v>
      </c>
      <c r="U541">
        <v>177.86</v>
      </c>
      <c r="V541">
        <v>426.98</v>
      </c>
      <c r="W541">
        <v>6</v>
      </c>
      <c r="X541" t="str">
        <f>TEXT(cleaneddata[[#This Row],[Order Date]],"mmm")</f>
        <v>Aug</v>
      </c>
      <c r="Y541">
        <f>cleaneddata[[#This Row],[Unit Price]]*cleaneddata[[#This Row],[Quantity]]*(1-cleaneddata[[#This Row],[Discount %]]/100)</f>
        <v>533.58000000000004</v>
      </c>
      <c r="Z541">
        <f>cleaneddata[[#This Row],[sales]]-cleaneddata[[#This Row],[Cost]]</f>
        <v>106.60000000000002</v>
      </c>
    </row>
    <row r="542" spans="1:26" x14ac:dyDescent="0.3">
      <c r="A542" t="s">
        <v>1550</v>
      </c>
      <c r="B542" s="1">
        <v>45404</v>
      </c>
      <c r="C542" t="s">
        <v>1551</v>
      </c>
      <c r="D542" t="s">
        <v>3221</v>
      </c>
      <c r="E542" s="1">
        <v>45405</v>
      </c>
      <c r="F542" t="s">
        <v>140</v>
      </c>
      <c r="G542" t="s">
        <v>38</v>
      </c>
      <c r="H542" t="s">
        <v>139</v>
      </c>
      <c r="I542" t="s">
        <v>2665</v>
      </c>
      <c r="J542" t="s">
        <v>2693</v>
      </c>
      <c r="K542" t="s">
        <v>52</v>
      </c>
      <c r="L542">
        <v>55</v>
      </c>
      <c r="M542">
        <v>1</v>
      </c>
      <c r="N542">
        <v>0</v>
      </c>
      <c r="O542" t="s">
        <v>1552</v>
      </c>
      <c r="P542" t="s">
        <v>75</v>
      </c>
      <c r="Q542" t="s">
        <v>70</v>
      </c>
      <c r="R542" t="s">
        <v>62</v>
      </c>
      <c r="S542" t="s">
        <v>141</v>
      </c>
      <c r="T542">
        <v>1</v>
      </c>
      <c r="U542">
        <v>943.04</v>
      </c>
      <c r="V542">
        <v>738.31</v>
      </c>
      <c r="W542">
        <v>1</v>
      </c>
      <c r="X542" t="str">
        <f>TEXT(cleaneddata[[#This Row],[Order Date]],"mmm")</f>
        <v>Apr</v>
      </c>
      <c r="Y542">
        <f>cleaneddata[[#This Row],[Unit Price]]*cleaneddata[[#This Row],[Quantity]]*(1-cleaneddata[[#This Row],[Discount %]]/100)</f>
        <v>943.04</v>
      </c>
      <c r="Z542">
        <f>cleaneddata[[#This Row],[sales]]-cleaneddata[[#This Row],[Cost]]</f>
        <v>204.73000000000002</v>
      </c>
    </row>
    <row r="543" spans="1:26" x14ac:dyDescent="0.3">
      <c r="A543" t="s">
        <v>1553</v>
      </c>
      <c r="B543" s="1">
        <v>45459</v>
      </c>
      <c r="C543" t="s">
        <v>1554</v>
      </c>
      <c r="D543" t="s">
        <v>3220</v>
      </c>
      <c r="E543" s="1">
        <v>45461</v>
      </c>
      <c r="F543" t="s">
        <v>29</v>
      </c>
      <c r="G543" t="s">
        <v>27</v>
      </c>
      <c r="H543" t="s">
        <v>28</v>
      </c>
      <c r="I543" t="s">
        <v>2652</v>
      </c>
      <c r="J543" t="s">
        <v>2653</v>
      </c>
      <c r="K543" t="s">
        <v>25</v>
      </c>
      <c r="L543">
        <v>25</v>
      </c>
      <c r="M543">
        <v>3</v>
      </c>
      <c r="N543">
        <v>15</v>
      </c>
      <c r="O543" t="s">
        <v>209</v>
      </c>
      <c r="P543" t="s">
        <v>44</v>
      </c>
      <c r="Q543" t="s">
        <v>117</v>
      </c>
      <c r="R543" t="s">
        <v>71</v>
      </c>
      <c r="S543" t="s">
        <v>30</v>
      </c>
      <c r="T543">
        <v>5</v>
      </c>
      <c r="U543">
        <v>421.33</v>
      </c>
      <c r="V543">
        <v>694.77</v>
      </c>
      <c r="W543">
        <v>2</v>
      </c>
      <c r="X543" t="str">
        <f>TEXT(cleaneddata[[#This Row],[Order Date]],"mmm")</f>
        <v>Jun</v>
      </c>
      <c r="Y543">
        <f>cleaneddata[[#This Row],[Unit Price]]*cleaneddata[[#This Row],[Quantity]]*(1-cleaneddata[[#This Row],[Discount %]]/100)</f>
        <v>1074.3915</v>
      </c>
      <c r="Z543">
        <f>cleaneddata[[#This Row],[sales]]-cleaneddata[[#This Row],[Cost]]</f>
        <v>379.62149999999997</v>
      </c>
    </row>
    <row r="544" spans="1:26" x14ac:dyDescent="0.3">
      <c r="A544" t="s">
        <v>1555</v>
      </c>
      <c r="B544" s="1">
        <v>46018</v>
      </c>
      <c r="C544" t="s">
        <v>1556</v>
      </c>
      <c r="D544" t="s">
        <v>3219</v>
      </c>
      <c r="E544" s="1">
        <v>46024</v>
      </c>
      <c r="F544" t="s">
        <v>122</v>
      </c>
      <c r="G544" t="s">
        <v>120</v>
      </c>
      <c r="H544" t="s">
        <v>121</v>
      </c>
      <c r="I544" t="s">
        <v>2635</v>
      </c>
      <c r="J544" t="s">
        <v>2677</v>
      </c>
      <c r="K544" t="s">
        <v>25</v>
      </c>
      <c r="L544">
        <v>31</v>
      </c>
      <c r="M544">
        <v>1</v>
      </c>
      <c r="N544">
        <v>30</v>
      </c>
      <c r="O544" t="s">
        <v>1557</v>
      </c>
      <c r="P544" t="s">
        <v>75</v>
      </c>
      <c r="Q544" t="s">
        <v>58</v>
      </c>
      <c r="R544" t="s">
        <v>71</v>
      </c>
      <c r="S544" t="s">
        <v>123</v>
      </c>
      <c r="T544">
        <v>3</v>
      </c>
      <c r="U544">
        <v>56.63</v>
      </c>
      <c r="V544">
        <v>30.01</v>
      </c>
      <c r="W544">
        <v>6</v>
      </c>
      <c r="X544" t="str">
        <f>TEXT(cleaneddata[[#This Row],[Order Date]],"mmm")</f>
        <v>Dec</v>
      </c>
      <c r="Y544">
        <f>cleaneddata[[#This Row],[Unit Price]]*cleaneddata[[#This Row],[Quantity]]*(1-cleaneddata[[#This Row],[Discount %]]/100)</f>
        <v>39.640999999999998</v>
      </c>
      <c r="Z544">
        <f>cleaneddata[[#This Row],[sales]]-cleaneddata[[#This Row],[Cost]]</f>
        <v>9.6309999999999967</v>
      </c>
    </row>
    <row r="545" spans="1:26" x14ac:dyDescent="0.3">
      <c r="A545" t="s">
        <v>1558</v>
      </c>
      <c r="B545" s="1">
        <v>45299</v>
      </c>
      <c r="C545" t="s">
        <v>1559</v>
      </c>
      <c r="D545" t="s">
        <v>3218</v>
      </c>
      <c r="E545" s="1">
        <v>45304</v>
      </c>
      <c r="F545" t="s">
        <v>56</v>
      </c>
      <c r="G545" t="s">
        <v>54</v>
      </c>
      <c r="H545" t="s">
        <v>55</v>
      </c>
      <c r="I545" t="s">
        <v>2625</v>
      </c>
      <c r="J545" t="s">
        <v>2651</v>
      </c>
      <c r="K545" t="s">
        <v>25</v>
      </c>
      <c r="L545">
        <v>25</v>
      </c>
      <c r="M545">
        <v>2</v>
      </c>
      <c r="N545">
        <v>15</v>
      </c>
      <c r="O545" t="s">
        <v>1560</v>
      </c>
      <c r="P545" t="s">
        <v>75</v>
      </c>
      <c r="Q545" t="s">
        <v>70</v>
      </c>
      <c r="R545" t="s">
        <v>32</v>
      </c>
      <c r="S545" t="s">
        <v>57</v>
      </c>
      <c r="T545">
        <v>4</v>
      </c>
      <c r="U545">
        <v>739.24</v>
      </c>
      <c r="V545">
        <v>751.8</v>
      </c>
      <c r="W545">
        <v>5</v>
      </c>
      <c r="X545" t="str">
        <f>TEXT(cleaneddata[[#This Row],[Order Date]],"mmm")</f>
        <v>Jan</v>
      </c>
      <c r="Y545">
        <f>cleaneddata[[#This Row],[Unit Price]]*cleaneddata[[#This Row],[Quantity]]*(1-cleaneddata[[#This Row],[Discount %]]/100)</f>
        <v>1256.7080000000001</v>
      </c>
      <c r="Z545">
        <f>cleaneddata[[#This Row],[sales]]-cleaneddata[[#This Row],[Cost]]</f>
        <v>504.90800000000013</v>
      </c>
    </row>
    <row r="546" spans="1:26" x14ac:dyDescent="0.3">
      <c r="A546" t="s">
        <v>1561</v>
      </c>
      <c r="B546" s="1">
        <v>45818</v>
      </c>
      <c r="C546" t="s">
        <v>1562</v>
      </c>
      <c r="D546" t="s">
        <v>3217</v>
      </c>
      <c r="E546" s="1">
        <v>45822</v>
      </c>
      <c r="F546" t="s">
        <v>29</v>
      </c>
      <c r="G546" t="s">
        <v>27</v>
      </c>
      <c r="H546" t="s">
        <v>28</v>
      </c>
      <c r="I546" t="s">
        <v>2629</v>
      </c>
      <c r="J546" t="s">
        <v>2689</v>
      </c>
      <c r="K546" t="s">
        <v>25</v>
      </c>
      <c r="L546">
        <v>31</v>
      </c>
      <c r="M546">
        <v>3</v>
      </c>
      <c r="N546">
        <v>15</v>
      </c>
      <c r="O546" t="s">
        <v>563</v>
      </c>
      <c r="P546" t="s">
        <v>44</v>
      </c>
      <c r="Q546" t="s">
        <v>117</v>
      </c>
      <c r="R546" t="s">
        <v>71</v>
      </c>
      <c r="S546" t="s">
        <v>30</v>
      </c>
      <c r="T546">
        <v>4</v>
      </c>
      <c r="U546">
        <v>345.58</v>
      </c>
      <c r="V546">
        <v>511.77</v>
      </c>
      <c r="W546">
        <v>4</v>
      </c>
      <c r="X546" t="str">
        <f>TEXT(cleaneddata[[#This Row],[Order Date]],"mmm")</f>
        <v>Jun</v>
      </c>
      <c r="Y546">
        <f>cleaneddata[[#This Row],[Unit Price]]*cleaneddata[[#This Row],[Quantity]]*(1-cleaneddata[[#This Row],[Discount %]]/100)</f>
        <v>881.22899999999993</v>
      </c>
      <c r="Z546">
        <f>cleaneddata[[#This Row],[sales]]-cleaneddata[[#This Row],[Cost]]</f>
        <v>369.45899999999995</v>
      </c>
    </row>
    <row r="547" spans="1:26" x14ac:dyDescent="0.3">
      <c r="A547" t="s">
        <v>1563</v>
      </c>
      <c r="B547" s="1">
        <v>45385</v>
      </c>
      <c r="C547" t="s">
        <v>1564</v>
      </c>
      <c r="D547" t="s">
        <v>3216</v>
      </c>
      <c r="E547" s="1">
        <v>45386</v>
      </c>
      <c r="F547" t="s">
        <v>122</v>
      </c>
      <c r="G547" t="s">
        <v>120</v>
      </c>
      <c r="H547" t="s">
        <v>121</v>
      </c>
      <c r="I547" t="s">
        <v>2623</v>
      </c>
      <c r="J547" t="s">
        <v>2691</v>
      </c>
      <c r="K547" t="s">
        <v>25</v>
      </c>
      <c r="L547">
        <v>57</v>
      </c>
      <c r="M547">
        <v>4</v>
      </c>
      <c r="N547">
        <v>20</v>
      </c>
      <c r="O547" t="s">
        <v>1565</v>
      </c>
      <c r="P547" t="s">
        <v>75</v>
      </c>
      <c r="Q547" t="s">
        <v>117</v>
      </c>
      <c r="R547" t="s">
        <v>43</v>
      </c>
      <c r="S547" t="s">
        <v>123</v>
      </c>
      <c r="T547">
        <v>5</v>
      </c>
      <c r="U547">
        <v>301.39</v>
      </c>
      <c r="V547">
        <v>602.26</v>
      </c>
      <c r="W547">
        <v>1</v>
      </c>
      <c r="X547" t="str">
        <f>TEXT(cleaneddata[[#This Row],[Order Date]],"mmm")</f>
        <v>Apr</v>
      </c>
      <c r="Y547">
        <f>cleaneddata[[#This Row],[Unit Price]]*cleaneddata[[#This Row],[Quantity]]*(1-cleaneddata[[#This Row],[Discount %]]/100)</f>
        <v>964.44799999999998</v>
      </c>
      <c r="Z547">
        <f>cleaneddata[[#This Row],[sales]]-cleaneddata[[#This Row],[Cost]]</f>
        <v>362.18799999999999</v>
      </c>
    </row>
    <row r="548" spans="1:26" x14ac:dyDescent="0.3">
      <c r="A548" t="s">
        <v>1566</v>
      </c>
      <c r="B548" s="1">
        <v>46115</v>
      </c>
      <c r="C548" t="s">
        <v>1567</v>
      </c>
      <c r="D548" t="s">
        <v>3215</v>
      </c>
      <c r="E548" s="1">
        <v>46120</v>
      </c>
      <c r="F548" t="s">
        <v>40</v>
      </c>
      <c r="G548" t="s">
        <v>38</v>
      </c>
      <c r="H548" t="s">
        <v>39</v>
      </c>
      <c r="I548" t="s">
        <v>2625</v>
      </c>
      <c r="J548" t="s">
        <v>2651</v>
      </c>
      <c r="K548" t="s">
        <v>25</v>
      </c>
      <c r="L548">
        <v>34</v>
      </c>
      <c r="M548">
        <v>3</v>
      </c>
      <c r="N548">
        <v>10</v>
      </c>
      <c r="O548" t="s">
        <v>589</v>
      </c>
      <c r="P548" t="s">
        <v>33</v>
      </c>
      <c r="Q548" t="s">
        <v>42</v>
      </c>
      <c r="R548" t="s">
        <v>62</v>
      </c>
      <c r="S548" t="s">
        <v>41</v>
      </c>
      <c r="T548">
        <v>2</v>
      </c>
      <c r="U548">
        <v>766.17</v>
      </c>
      <c r="V548">
        <v>1128.57</v>
      </c>
      <c r="W548">
        <v>5</v>
      </c>
      <c r="X548" t="str">
        <f>TEXT(cleaneddata[[#This Row],[Order Date]],"mmm")</f>
        <v>Apr</v>
      </c>
      <c r="Y548">
        <f>cleaneddata[[#This Row],[Unit Price]]*cleaneddata[[#This Row],[Quantity]]*(1-cleaneddata[[#This Row],[Discount %]]/100)</f>
        <v>2068.6589999999997</v>
      </c>
      <c r="Z548">
        <f>cleaneddata[[#This Row],[sales]]-cleaneddata[[#This Row],[Cost]]</f>
        <v>940.08899999999971</v>
      </c>
    </row>
    <row r="549" spans="1:26" x14ac:dyDescent="0.3">
      <c r="A549" t="s">
        <v>1568</v>
      </c>
      <c r="B549" s="1">
        <v>45772</v>
      </c>
      <c r="C549" t="s">
        <v>1569</v>
      </c>
      <c r="D549" t="s">
        <v>3214</v>
      </c>
      <c r="E549" s="1">
        <v>45773</v>
      </c>
      <c r="F549" t="s">
        <v>115</v>
      </c>
      <c r="G549" t="s">
        <v>66</v>
      </c>
      <c r="H549" t="s">
        <v>114</v>
      </c>
      <c r="I549" t="s">
        <v>2622</v>
      </c>
      <c r="J549" t="s">
        <v>2704</v>
      </c>
      <c r="K549" t="s">
        <v>25</v>
      </c>
      <c r="L549">
        <v>26</v>
      </c>
      <c r="M549">
        <v>5</v>
      </c>
      <c r="N549">
        <v>20</v>
      </c>
      <c r="O549" t="s">
        <v>255</v>
      </c>
      <c r="P549" t="s">
        <v>75</v>
      </c>
      <c r="Q549" t="s">
        <v>42</v>
      </c>
      <c r="R549" t="s">
        <v>62</v>
      </c>
      <c r="S549" t="s">
        <v>116</v>
      </c>
      <c r="T549">
        <v>4</v>
      </c>
      <c r="U549">
        <v>346.31</v>
      </c>
      <c r="V549">
        <v>1127.54</v>
      </c>
      <c r="W549">
        <v>1</v>
      </c>
      <c r="X549" t="str">
        <f>TEXT(cleaneddata[[#This Row],[Order Date]],"mmm")</f>
        <v>Apr</v>
      </c>
      <c r="Y549">
        <f>cleaneddata[[#This Row],[Unit Price]]*cleaneddata[[#This Row],[Quantity]]*(1-cleaneddata[[#This Row],[Discount %]]/100)</f>
        <v>1385.24</v>
      </c>
      <c r="Z549">
        <f>cleaneddata[[#This Row],[sales]]-cleaneddata[[#This Row],[Cost]]</f>
        <v>257.70000000000005</v>
      </c>
    </row>
    <row r="550" spans="1:26" x14ac:dyDescent="0.3">
      <c r="A550" t="s">
        <v>1570</v>
      </c>
      <c r="B550" s="1">
        <v>45724</v>
      </c>
      <c r="C550" t="s">
        <v>1571</v>
      </c>
      <c r="D550" t="s">
        <v>3213</v>
      </c>
      <c r="E550" s="1">
        <v>45731</v>
      </c>
      <c r="F550" t="s">
        <v>56</v>
      </c>
      <c r="G550" t="s">
        <v>54</v>
      </c>
      <c r="H550" t="s">
        <v>55</v>
      </c>
      <c r="I550" t="s">
        <v>2629</v>
      </c>
      <c r="J550" t="s">
        <v>2697</v>
      </c>
      <c r="K550" t="s">
        <v>52</v>
      </c>
      <c r="L550">
        <v>28</v>
      </c>
      <c r="M550">
        <v>3</v>
      </c>
      <c r="N550">
        <v>0</v>
      </c>
      <c r="O550" t="s">
        <v>1572</v>
      </c>
      <c r="P550" t="s">
        <v>75</v>
      </c>
      <c r="Q550" t="s">
        <v>70</v>
      </c>
      <c r="R550" t="s">
        <v>62</v>
      </c>
      <c r="S550" t="s">
        <v>57</v>
      </c>
      <c r="T550">
        <v>3</v>
      </c>
      <c r="U550">
        <v>196.25</v>
      </c>
      <c r="V550">
        <v>427.48</v>
      </c>
      <c r="W550">
        <v>7</v>
      </c>
      <c r="X550" t="str">
        <f>TEXT(cleaneddata[[#This Row],[Order Date]],"mmm")</f>
        <v>Mar</v>
      </c>
      <c r="Y550">
        <f>cleaneddata[[#This Row],[Unit Price]]*cleaneddata[[#This Row],[Quantity]]*(1-cleaneddata[[#This Row],[Discount %]]/100)</f>
        <v>588.75</v>
      </c>
      <c r="Z550">
        <f>cleaneddata[[#This Row],[sales]]-cleaneddata[[#This Row],[Cost]]</f>
        <v>161.26999999999998</v>
      </c>
    </row>
    <row r="551" spans="1:26" x14ac:dyDescent="0.3">
      <c r="A551" t="s">
        <v>1573</v>
      </c>
      <c r="B551" s="1">
        <v>45713</v>
      </c>
      <c r="C551" t="s">
        <v>1574</v>
      </c>
      <c r="D551" t="s">
        <v>3212</v>
      </c>
      <c r="E551" s="1">
        <v>45719</v>
      </c>
      <c r="F551" t="s">
        <v>68</v>
      </c>
      <c r="G551" t="s">
        <v>66</v>
      </c>
      <c r="H551" t="s">
        <v>67</v>
      </c>
      <c r="I551" t="s">
        <v>2629</v>
      </c>
      <c r="J551" t="s">
        <v>2709</v>
      </c>
      <c r="K551" t="s">
        <v>52</v>
      </c>
      <c r="L551">
        <v>40</v>
      </c>
      <c r="M551">
        <v>1</v>
      </c>
      <c r="N551">
        <v>0</v>
      </c>
      <c r="O551" t="s">
        <v>1494</v>
      </c>
      <c r="P551" t="s">
        <v>33</v>
      </c>
      <c r="Q551" t="s">
        <v>117</v>
      </c>
      <c r="R551" t="s">
        <v>43</v>
      </c>
      <c r="S551" t="s">
        <v>69</v>
      </c>
      <c r="T551">
        <v>2</v>
      </c>
      <c r="U551">
        <v>975.21</v>
      </c>
      <c r="V551">
        <v>686.32</v>
      </c>
      <c r="W551">
        <v>6</v>
      </c>
      <c r="X551" t="str">
        <f>TEXT(cleaneddata[[#This Row],[Order Date]],"mmm")</f>
        <v>Feb</v>
      </c>
      <c r="Y551">
        <f>cleaneddata[[#This Row],[Unit Price]]*cleaneddata[[#This Row],[Quantity]]*(1-cleaneddata[[#This Row],[Discount %]]/100)</f>
        <v>975.21</v>
      </c>
      <c r="Z551">
        <f>cleaneddata[[#This Row],[sales]]-cleaneddata[[#This Row],[Cost]]</f>
        <v>288.89</v>
      </c>
    </row>
    <row r="552" spans="1:26" x14ac:dyDescent="0.3">
      <c r="A552" t="s">
        <v>1575</v>
      </c>
      <c r="B552" s="1">
        <v>45292</v>
      </c>
      <c r="C552" t="s">
        <v>1576</v>
      </c>
      <c r="D552" t="s">
        <v>3211</v>
      </c>
      <c r="E552" s="1">
        <v>45295</v>
      </c>
      <c r="F552" t="s">
        <v>40</v>
      </c>
      <c r="G552" t="s">
        <v>38</v>
      </c>
      <c r="H552" t="s">
        <v>39</v>
      </c>
      <c r="I552" t="s">
        <v>2623</v>
      </c>
      <c r="J552" t="s">
        <v>2696</v>
      </c>
      <c r="K552" t="s">
        <v>25</v>
      </c>
      <c r="L552">
        <v>21</v>
      </c>
      <c r="M552">
        <v>3</v>
      </c>
      <c r="N552">
        <v>20</v>
      </c>
      <c r="O552" t="s">
        <v>379</v>
      </c>
      <c r="P552" t="s">
        <v>44</v>
      </c>
      <c r="Q552" t="s">
        <v>31</v>
      </c>
      <c r="R552" t="s">
        <v>62</v>
      </c>
      <c r="S552" t="s">
        <v>41</v>
      </c>
      <c r="T552">
        <v>4</v>
      </c>
      <c r="U552">
        <v>815.94</v>
      </c>
      <c r="V552">
        <v>1036.21</v>
      </c>
      <c r="W552">
        <v>3</v>
      </c>
      <c r="X552" t="str">
        <f>TEXT(cleaneddata[[#This Row],[Order Date]],"mmm")</f>
        <v>Jan</v>
      </c>
      <c r="Y552">
        <f>cleaneddata[[#This Row],[Unit Price]]*cleaneddata[[#This Row],[Quantity]]*(1-cleaneddata[[#This Row],[Discount %]]/100)</f>
        <v>1958.2560000000003</v>
      </c>
      <c r="Z552">
        <f>cleaneddata[[#This Row],[sales]]-cleaneddata[[#This Row],[Cost]]</f>
        <v>922.04600000000028</v>
      </c>
    </row>
    <row r="553" spans="1:26" x14ac:dyDescent="0.3">
      <c r="A553" t="s">
        <v>1577</v>
      </c>
      <c r="B553" s="1">
        <v>45736</v>
      </c>
      <c r="C553" t="s">
        <v>1578</v>
      </c>
      <c r="D553" t="s">
        <v>3210</v>
      </c>
      <c r="E553" s="1">
        <v>45740</v>
      </c>
      <c r="F553" t="s">
        <v>56</v>
      </c>
      <c r="G553" t="s">
        <v>54</v>
      </c>
      <c r="H553" t="s">
        <v>55</v>
      </c>
      <c r="I553" t="s">
        <v>2654</v>
      </c>
      <c r="J553" t="s">
        <v>2684</v>
      </c>
      <c r="K553" t="s">
        <v>52</v>
      </c>
      <c r="L553">
        <v>49</v>
      </c>
      <c r="M553">
        <v>3</v>
      </c>
      <c r="N553">
        <v>20</v>
      </c>
      <c r="O553" t="s">
        <v>1497</v>
      </c>
      <c r="P553" t="s">
        <v>75</v>
      </c>
      <c r="Q553" t="s">
        <v>31</v>
      </c>
      <c r="R553" t="s">
        <v>71</v>
      </c>
      <c r="S553" t="s">
        <v>57</v>
      </c>
      <c r="T553">
        <v>4</v>
      </c>
      <c r="U553">
        <v>903.59</v>
      </c>
      <c r="V553">
        <v>1360.69</v>
      </c>
      <c r="W553">
        <v>4</v>
      </c>
      <c r="X553" t="str">
        <f>TEXT(cleaneddata[[#This Row],[Order Date]],"mmm")</f>
        <v>Mar</v>
      </c>
      <c r="Y553">
        <f>cleaneddata[[#This Row],[Unit Price]]*cleaneddata[[#This Row],[Quantity]]*(1-cleaneddata[[#This Row],[Discount %]]/100)</f>
        <v>2168.616</v>
      </c>
      <c r="Z553">
        <f>cleaneddata[[#This Row],[sales]]-cleaneddata[[#This Row],[Cost]]</f>
        <v>807.92599999999993</v>
      </c>
    </row>
    <row r="554" spans="1:26" x14ac:dyDescent="0.3">
      <c r="A554" t="s">
        <v>1579</v>
      </c>
      <c r="B554" s="1">
        <v>45824</v>
      </c>
      <c r="C554" t="s">
        <v>1580</v>
      </c>
      <c r="D554" t="s">
        <v>3209</v>
      </c>
      <c r="E554" s="1">
        <v>45831</v>
      </c>
      <c r="F554" t="s">
        <v>68</v>
      </c>
      <c r="G554" t="s">
        <v>66</v>
      </c>
      <c r="H554" t="s">
        <v>67</v>
      </c>
      <c r="I554" t="s">
        <v>2631</v>
      </c>
      <c r="J554" t="s">
        <v>2674</v>
      </c>
      <c r="K554" t="s">
        <v>52</v>
      </c>
      <c r="L554">
        <v>25</v>
      </c>
      <c r="M554">
        <v>2</v>
      </c>
      <c r="N554">
        <v>20</v>
      </c>
      <c r="O554" t="s">
        <v>1164</v>
      </c>
      <c r="P554" t="s">
        <v>33</v>
      </c>
      <c r="Q554" t="s">
        <v>117</v>
      </c>
      <c r="R554" t="s">
        <v>32</v>
      </c>
      <c r="S554" t="s">
        <v>69</v>
      </c>
      <c r="T554">
        <v>4</v>
      </c>
      <c r="U554">
        <v>337.71</v>
      </c>
      <c r="V554">
        <v>391.72</v>
      </c>
      <c r="W554">
        <v>7</v>
      </c>
      <c r="X554" t="str">
        <f>TEXT(cleaneddata[[#This Row],[Order Date]],"mmm")</f>
        <v>Jun</v>
      </c>
      <c r="Y554">
        <f>cleaneddata[[#This Row],[Unit Price]]*cleaneddata[[#This Row],[Quantity]]*(1-cleaneddata[[#This Row],[Discount %]]/100)</f>
        <v>540.33600000000001</v>
      </c>
      <c r="Z554">
        <f>cleaneddata[[#This Row],[sales]]-cleaneddata[[#This Row],[Cost]]</f>
        <v>148.61599999999999</v>
      </c>
    </row>
    <row r="555" spans="1:26" x14ac:dyDescent="0.3">
      <c r="A555" t="s">
        <v>1581</v>
      </c>
      <c r="B555" s="1">
        <v>45734</v>
      </c>
      <c r="C555" t="s">
        <v>1582</v>
      </c>
      <c r="D555" t="s">
        <v>3208</v>
      </c>
      <c r="E555" s="1">
        <v>45738</v>
      </c>
      <c r="F555" t="s">
        <v>140</v>
      </c>
      <c r="G555" t="s">
        <v>38</v>
      </c>
      <c r="H555" t="s">
        <v>139</v>
      </c>
      <c r="I555" t="s">
        <v>2625</v>
      </c>
      <c r="J555" t="s">
        <v>2667</v>
      </c>
      <c r="K555" t="s">
        <v>25</v>
      </c>
      <c r="L555">
        <v>34</v>
      </c>
      <c r="M555">
        <v>2</v>
      </c>
      <c r="N555">
        <v>25</v>
      </c>
      <c r="O555" t="s">
        <v>1583</v>
      </c>
      <c r="P555" t="s">
        <v>44</v>
      </c>
      <c r="Q555" t="s">
        <v>117</v>
      </c>
      <c r="R555" t="s">
        <v>32</v>
      </c>
      <c r="S555" t="s">
        <v>141</v>
      </c>
      <c r="T555">
        <v>3</v>
      </c>
      <c r="U555">
        <v>75.790000000000006</v>
      </c>
      <c r="V555">
        <v>88.19</v>
      </c>
      <c r="W555">
        <v>4</v>
      </c>
      <c r="X555" t="str">
        <f>TEXT(cleaneddata[[#This Row],[Order Date]],"mmm")</f>
        <v>Mar</v>
      </c>
      <c r="Y555">
        <f>cleaneddata[[#This Row],[Unit Price]]*cleaneddata[[#This Row],[Quantity]]*(1-cleaneddata[[#This Row],[Discount %]]/100)</f>
        <v>113.685</v>
      </c>
      <c r="Z555">
        <f>cleaneddata[[#This Row],[sales]]-cleaneddata[[#This Row],[Cost]]</f>
        <v>25.495000000000005</v>
      </c>
    </row>
    <row r="556" spans="1:26" x14ac:dyDescent="0.3">
      <c r="A556" t="s">
        <v>1584</v>
      </c>
      <c r="B556" s="1">
        <v>45432</v>
      </c>
      <c r="C556" t="s">
        <v>1585</v>
      </c>
      <c r="D556" t="s">
        <v>3207</v>
      </c>
      <c r="E556" s="1">
        <v>45435</v>
      </c>
      <c r="F556" t="s">
        <v>40</v>
      </c>
      <c r="G556" t="s">
        <v>38</v>
      </c>
      <c r="H556" t="s">
        <v>39</v>
      </c>
      <c r="I556" t="s">
        <v>2659</v>
      </c>
      <c r="J556" t="s">
        <v>2660</v>
      </c>
      <c r="K556" t="s">
        <v>25</v>
      </c>
      <c r="L556">
        <v>41</v>
      </c>
      <c r="M556">
        <v>2</v>
      </c>
      <c r="N556">
        <v>0</v>
      </c>
      <c r="O556" t="s">
        <v>97</v>
      </c>
      <c r="P556" t="s">
        <v>75</v>
      </c>
      <c r="Q556" t="s">
        <v>117</v>
      </c>
      <c r="R556" t="s">
        <v>43</v>
      </c>
      <c r="S556" t="s">
        <v>41</v>
      </c>
      <c r="T556">
        <v>2</v>
      </c>
      <c r="U556">
        <v>325.89</v>
      </c>
      <c r="V556">
        <v>549.09</v>
      </c>
      <c r="W556">
        <v>3</v>
      </c>
      <c r="X556" t="str">
        <f>TEXT(cleaneddata[[#This Row],[Order Date]],"mmm")</f>
        <v>May</v>
      </c>
      <c r="Y556">
        <f>cleaneddata[[#This Row],[Unit Price]]*cleaneddata[[#This Row],[Quantity]]*(1-cleaneddata[[#This Row],[Discount %]]/100)</f>
        <v>651.78</v>
      </c>
      <c r="Z556">
        <f>cleaneddata[[#This Row],[sales]]-cleaneddata[[#This Row],[Cost]]</f>
        <v>102.68999999999994</v>
      </c>
    </row>
    <row r="557" spans="1:26" x14ac:dyDescent="0.3">
      <c r="A557" t="s">
        <v>1586</v>
      </c>
      <c r="B557" s="1">
        <v>46191</v>
      </c>
      <c r="C557" t="s">
        <v>1314</v>
      </c>
      <c r="D557" t="s">
        <v>3206</v>
      </c>
      <c r="E557" s="1">
        <v>46192</v>
      </c>
      <c r="F557" t="s">
        <v>56</v>
      </c>
      <c r="G557" t="s">
        <v>54</v>
      </c>
      <c r="H557" t="s">
        <v>55</v>
      </c>
      <c r="I557" t="s">
        <v>2668</v>
      </c>
      <c r="J557" t="s">
        <v>2669</v>
      </c>
      <c r="K557" t="s">
        <v>25</v>
      </c>
      <c r="L557">
        <v>39</v>
      </c>
      <c r="M557">
        <v>1</v>
      </c>
      <c r="N557">
        <v>15</v>
      </c>
      <c r="O557" t="s">
        <v>1587</v>
      </c>
      <c r="P557" t="s">
        <v>33</v>
      </c>
      <c r="Q557" t="s">
        <v>31</v>
      </c>
      <c r="R557" t="s">
        <v>32</v>
      </c>
      <c r="S557" t="s">
        <v>57</v>
      </c>
      <c r="T557">
        <v>2</v>
      </c>
      <c r="U557">
        <v>605.36</v>
      </c>
      <c r="V557">
        <v>285.05</v>
      </c>
      <c r="W557">
        <v>1</v>
      </c>
      <c r="X557" t="str">
        <f>TEXT(cleaneddata[[#This Row],[Order Date]],"mmm")</f>
        <v>Jun</v>
      </c>
      <c r="Y557">
        <f>cleaneddata[[#This Row],[Unit Price]]*cleaneddata[[#This Row],[Quantity]]*(1-cleaneddata[[#This Row],[Discount %]]/100)</f>
        <v>514.55600000000004</v>
      </c>
      <c r="Z557">
        <f>cleaneddata[[#This Row],[sales]]-cleaneddata[[#This Row],[Cost]]</f>
        <v>229.50600000000003</v>
      </c>
    </row>
    <row r="558" spans="1:26" x14ac:dyDescent="0.3">
      <c r="A558" t="s">
        <v>1588</v>
      </c>
      <c r="B558" s="1">
        <v>46101</v>
      </c>
      <c r="C558" t="s">
        <v>1589</v>
      </c>
      <c r="D558" t="s">
        <v>3205</v>
      </c>
      <c r="E558" s="1">
        <v>46107</v>
      </c>
      <c r="F558" t="s">
        <v>29</v>
      </c>
      <c r="G558" t="s">
        <v>27</v>
      </c>
      <c r="H558" t="s">
        <v>28</v>
      </c>
      <c r="I558" t="s">
        <v>2632</v>
      </c>
      <c r="J558" t="s">
        <v>2715</v>
      </c>
      <c r="K558" t="s">
        <v>52</v>
      </c>
      <c r="L558">
        <v>22</v>
      </c>
      <c r="M558">
        <v>1</v>
      </c>
      <c r="N558">
        <v>5</v>
      </c>
      <c r="O558" t="s">
        <v>975</v>
      </c>
      <c r="P558" t="s">
        <v>44</v>
      </c>
      <c r="Q558" t="s">
        <v>70</v>
      </c>
      <c r="R558" t="s">
        <v>71</v>
      </c>
      <c r="S558" t="s">
        <v>30</v>
      </c>
      <c r="T558">
        <v>1</v>
      </c>
      <c r="U558">
        <v>597.9</v>
      </c>
      <c r="V558">
        <v>434.68</v>
      </c>
      <c r="W558">
        <v>6</v>
      </c>
      <c r="X558" t="str">
        <f>TEXT(cleaneddata[[#This Row],[Order Date]],"mmm")</f>
        <v>Mar</v>
      </c>
      <c r="Y558">
        <f>cleaneddata[[#This Row],[Unit Price]]*cleaneddata[[#This Row],[Quantity]]*(1-cleaneddata[[#This Row],[Discount %]]/100)</f>
        <v>568.005</v>
      </c>
      <c r="Z558">
        <f>cleaneddata[[#This Row],[sales]]-cleaneddata[[#This Row],[Cost]]</f>
        <v>133.32499999999999</v>
      </c>
    </row>
    <row r="559" spans="1:26" x14ac:dyDescent="0.3">
      <c r="A559" t="s">
        <v>1590</v>
      </c>
      <c r="B559" s="1">
        <v>45692</v>
      </c>
      <c r="C559" t="s">
        <v>1591</v>
      </c>
      <c r="D559" t="s">
        <v>3204</v>
      </c>
      <c r="E559" s="1">
        <v>45693</v>
      </c>
      <c r="F559" t="s">
        <v>68</v>
      </c>
      <c r="G559" t="s">
        <v>66</v>
      </c>
      <c r="H559" t="s">
        <v>67</v>
      </c>
      <c r="I559" t="s">
        <v>2672</v>
      </c>
      <c r="J559" t="s">
        <v>2690</v>
      </c>
      <c r="K559" t="s">
        <v>25</v>
      </c>
      <c r="L559">
        <v>43</v>
      </c>
      <c r="M559">
        <v>2</v>
      </c>
      <c r="N559">
        <v>10</v>
      </c>
      <c r="O559" t="s">
        <v>1592</v>
      </c>
      <c r="P559" t="s">
        <v>75</v>
      </c>
      <c r="Q559" t="s">
        <v>42</v>
      </c>
      <c r="R559" t="s">
        <v>62</v>
      </c>
      <c r="S559" t="s">
        <v>69</v>
      </c>
      <c r="T559">
        <v>2</v>
      </c>
      <c r="U559">
        <v>777.98</v>
      </c>
      <c r="V559">
        <v>1120.24</v>
      </c>
      <c r="W559">
        <v>1</v>
      </c>
      <c r="X559" t="str">
        <f>TEXT(cleaneddata[[#This Row],[Order Date]],"mmm")</f>
        <v>Feb</v>
      </c>
      <c r="Y559">
        <f>cleaneddata[[#This Row],[Unit Price]]*cleaneddata[[#This Row],[Quantity]]*(1-cleaneddata[[#This Row],[Discount %]]/100)</f>
        <v>1400.364</v>
      </c>
      <c r="Z559">
        <f>cleaneddata[[#This Row],[sales]]-cleaneddata[[#This Row],[Cost]]</f>
        <v>280.12400000000002</v>
      </c>
    </row>
    <row r="560" spans="1:26" x14ac:dyDescent="0.3">
      <c r="A560" t="s">
        <v>1593</v>
      </c>
      <c r="B560" s="1">
        <v>45467</v>
      </c>
      <c r="C560" t="s">
        <v>1594</v>
      </c>
      <c r="D560" t="s">
        <v>3203</v>
      </c>
      <c r="E560" s="1">
        <v>45473</v>
      </c>
      <c r="F560" t="s">
        <v>122</v>
      </c>
      <c r="G560" t="s">
        <v>120</v>
      </c>
      <c r="H560" t="s">
        <v>121</v>
      </c>
      <c r="I560" t="s">
        <v>2629</v>
      </c>
      <c r="J560" t="s">
        <v>2697</v>
      </c>
      <c r="K560" t="s">
        <v>25</v>
      </c>
      <c r="L560">
        <v>47</v>
      </c>
      <c r="M560">
        <v>5</v>
      </c>
      <c r="N560">
        <v>25</v>
      </c>
      <c r="O560" t="s">
        <v>1525</v>
      </c>
      <c r="P560" t="s">
        <v>75</v>
      </c>
      <c r="Q560" t="s">
        <v>31</v>
      </c>
      <c r="R560" t="s">
        <v>71</v>
      </c>
      <c r="S560" t="s">
        <v>123</v>
      </c>
      <c r="T560">
        <v>5</v>
      </c>
      <c r="U560">
        <v>419.58</v>
      </c>
      <c r="V560">
        <v>1222.51</v>
      </c>
      <c r="W560">
        <v>6</v>
      </c>
      <c r="X560" t="str">
        <f>TEXT(cleaneddata[[#This Row],[Order Date]],"mmm")</f>
        <v>Jun</v>
      </c>
      <c r="Y560">
        <f>cleaneddata[[#This Row],[Unit Price]]*cleaneddata[[#This Row],[Quantity]]*(1-cleaneddata[[#This Row],[Discount %]]/100)</f>
        <v>1573.4250000000002</v>
      </c>
      <c r="Z560">
        <f>cleaneddata[[#This Row],[sales]]-cleaneddata[[#This Row],[Cost]]</f>
        <v>350.91500000000019</v>
      </c>
    </row>
    <row r="561" spans="1:26" x14ac:dyDescent="0.3">
      <c r="A561" t="s">
        <v>1595</v>
      </c>
      <c r="B561" s="1">
        <v>46185</v>
      </c>
      <c r="C561" t="s">
        <v>1596</v>
      </c>
      <c r="D561" t="s">
        <v>3202</v>
      </c>
      <c r="E561" s="1">
        <v>46187</v>
      </c>
      <c r="F561" t="s">
        <v>29</v>
      </c>
      <c r="G561" t="s">
        <v>27</v>
      </c>
      <c r="H561" t="s">
        <v>28</v>
      </c>
      <c r="I561" t="s">
        <v>2627</v>
      </c>
      <c r="J561" t="s">
        <v>2628</v>
      </c>
      <c r="K561" t="s">
        <v>25</v>
      </c>
      <c r="L561">
        <v>18</v>
      </c>
      <c r="M561">
        <v>3</v>
      </c>
      <c r="N561">
        <v>0</v>
      </c>
      <c r="O561" t="s">
        <v>1597</v>
      </c>
      <c r="P561" t="s">
        <v>75</v>
      </c>
      <c r="Q561" t="s">
        <v>70</v>
      </c>
      <c r="R561" t="s">
        <v>43</v>
      </c>
      <c r="S561" t="s">
        <v>30</v>
      </c>
      <c r="T561">
        <v>4</v>
      </c>
      <c r="U561">
        <v>301.49</v>
      </c>
      <c r="V561">
        <v>581.05999999999995</v>
      </c>
      <c r="W561">
        <v>2</v>
      </c>
      <c r="X561" t="str">
        <f>TEXT(cleaneddata[[#This Row],[Order Date]],"mmm")</f>
        <v>Jun</v>
      </c>
      <c r="Y561">
        <f>cleaneddata[[#This Row],[Unit Price]]*cleaneddata[[#This Row],[Quantity]]*(1-cleaneddata[[#This Row],[Discount %]]/100)</f>
        <v>904.47</v>
      </c>
      <c r="Z561">
        <f>cleaneddata[[#This Row],[sales]]-cleaneddata[[#This Row],[Cost]]</f>
        <v>323.41000000000008</v>
      </c>
    </row>
    <row r="562" spans="1:26" x14ac:dyDescent="0.3">
      <c r="A562" t="s">
        <v>1598</v>
      </c>
      <c r="B562" s="1">
        <v>45776</v>
      </c>
      <c r="C562" t="s">
        <v>1599</v>
      </c>
      <c r="D562" t="s">
        <v>3201</v>
      </c>
      <c r="E562" s="1">
        <v>45782</v>
      </c>
      <c r="F562" t="s">
        <v>40</v>
      </c>
      <c r="G562" t="s">
        <v>38</v>
      </c>
      <c r="H562" t="s">
        <v>39</v>
      </c>
      <c r="I562" t="s">
        <v>2635</v>
      </c>
      <c r="J562" t="s">
        <v>2643</v>
      </c>
      <c r="K562" t="s">
        <v>52</v>
      </c>
      <c r="L562">
        <v>58</v>
      </c>
      <c r="M562">
        <v>3</v>
      </c>
      <c r="N562">
        <v>25</v>
      </c>
      <c r="O562" t="s">
        <v>1600</v>
      </c>
      <c r="P562" t="s">
        <v>44</v>
      </c>
      <c r="Q562" t="s">
        <v>117</v>
      </c>
      <c r="R562" t="s">
        <v>71</v>
      </c>
      <c r="S562" t="s">
        <v>41</v>
      </c>
      <c r="T562">
        <v>3</v>
      </c>
      <c r="U562">
        <v>490.5</v>
      </c>
      <c r="V562">
        <v>725.13</v>
      </c>
      <c r="W562">
        <v>6</v>
      </c>
      <c r="X562" t="str">
        <f>TEXT(cleaneddata[[#This Row],[Order Date]],"mmm")</f>
        <v>Apr</v>
      </c>
      <c r="Y562">
        <f>cleaneddata[[#This Row],[Unit Price]]*cleaneddata[[#This Row],[Quantity]]*(1-cleaneddata[[#This Row],[Discount %]]/100)</f>
        <v>1103.625</v>
      </c>
      <c r="Z562">
        <f>cleaneddata[[#This Row],[sales]]-cleaneddata[[#This Row],[Cost]]</f>
        <v>378.495</v>
      </c>
    </row>
    <row r="563" spans="1:26" x14ac:dyDescent="0.3">
      <c r="A563" t="s">
        <v>1601</v>
      </c>
      <c r="B563" s="1">
        <v>45877</v>
      </c>
      <c r="C563" t="s">
        <v>1602</v>
      </c>
      <c r="D563" t="s">
        <v>3200</v>
      </c>
      <c r="E563" s="1">
        <v>45884</v>
      </c>
      <c r="F563" t="s">
        <v>29</v>
      </c>
      <c r="G563" t="s">
        <v>27</v>
      </c>
      <c r="H563" t="s">
        <v>28</v>
      </c>
      <c r="I563" t="s">
        <v>2639</v>
      </c>
      <c r="J563" t="s">
        <v>2640</v>
      </c>
      <c r="K563" t="s">
        <v>52</v>
      </c>
      <c r="L563">
        <v>18</v>
      </c>
      <c r="M563">
        <v>3</v>
      </c>
      <c r="N563">
        <v>30</v>
      </c>
      <c r="O563" t="s">
        <v>1603</v>
      </c>
      <c r="P563" t="s">
        <v>33</v>
      </c>
      <c r="Q563" t="s">
        <v>58</v>
      </c>
      <c r="R563" t="s">
        <v>62</v>
      </c>
      <c r="S563" t="s">
        <v>30</v>
      </c>
      <c r="T563">
        <v>2</v>
      </c>
      <c r="U563">
        <v>316.2</v>
      </c>
      <c r="V563">
        <v>524.38</v>
      </c>
      <c r="W563">
        <v>7</v>
      </c>
      <c r="X563" t="str">
        <f>TEXT(cleaneddata[[#This Row],[Order Date]],"mmm")</f>
        <v>Aug</v>
      </c>
      <c r="Y563">
        <f>cleaneddata[[#This Row],[Unit Price]]*cleaneddata[[#This Row],[Quantity]]*(1-cleaneddata[[#This Row],[Discount %]]/100)</f>
        <v>664.01999999999987</v>
      </c>
      <c r="Z563">
        <f>cleaneddata[[#This Row],[sales]]-cleaneddata[[#This Row],[Cost]]</f>
        <v>139.63999999999987</v>
      </c>
    </row>
    <row r="564" spans="1:26" x14ac:dyDescent="0.3">
      <c r="A564" t="s">
        <v>1604</v>
      </c>
      <c r="B564" s="1">
        <v>45416</v>
      </c>
      <c r="C564" t="s">
        <v>1605</v>
      </c>
      <c r="D564" t="s">
        <v>3199</v>
      </c>
      <c r="E564" s="1">
        <v>45422</v>
      </c>
      <c r="F564" t="s">
        <v>56</v>
      </c>
      <c r="G564" t="s">
        <v>54</v>
      </c>
      <c r="H564" t="s">
        <v>55</v>
      </c>
      <c r="I564" t="s">
        <v>2637</v>
      </c>
      <c r="J564" t="s">
        <v>99</v>
      </c>
      <c r="K564" t="s">
        <v>52</v>
      </c>
      <c r="L564">
        <v>62</v>
      </c>
      <c r="M564">
        <v>4</v>
      </c>
      <c r="N564">
        <v>5</v>
      </c>
      <c r="O564" t="s">
        <v>1114</v>
      </c>
      <c r="P564" t="s">
        <v>33</v>
      </c>
      <c r="Q564" t="s">
        <v>70</v>
      </c>
      <c r="R564" t="s">
        <v>62</v>
      </c>
      <c r="S564" t="s">
        <v>57</v>
      </c>
      <c r="T564">
        <v>5</v>
      </c>
      <c r="U564">
        <v>460.62</v>
      </c>
      <c r="V564">
        <v>944.72</v>
      </c>
      <c r="W564">
        <v>6</v>
      </c>
      <c r="X564" t="str">
        <f>TEXT(cleaneddata[[#This Row],[Order Date]],"mmm")</f>
        <v>May</v>
      </c>
      <c r="Y564">
        <f>cleaneddata[[#This Row],[Unit Price]]*cleaneddata[[#This Row],[Quantity]]*(1-cleaneddata[[#This Row],[Discount %]]/100)</f>
        <v>1750.356</v>
      </c>
      <c r="Z564">
        <f>cleaneddata[[#This Row],[sales]]-cleaneddata[[#This Row],[Cost]]</f>
        <v>805.63599999999997</v>
      </c>
    </row>
    <row r="565" spans="1:26" x14ac:dyDescent="0.3">
      <c r="A565" t="s">
        <v>1606</v>
      </c>
      <c r="B565" s="1">
        <v>46143</v>
      </c>
      <c r="C565" t="s">
        <v>1607</v>
      </c>
      <c r="D565" t="s">
        <v>3198</v>
      </c>
      <c r="E565" s="1">
        <v>46149</v>
      </c>
      <c r="F565" t="s">
        <v>100</v>
      </c>
      <c r="G565" t="s">
        <v>98</v>
      </c>
      <c r="H565" t="s">
        <v>99</v>
      </c>
      <c r="I565" t="s">
        <v>2625</v>
      </c>
      <c r="J565" t="s">
        <v>2626</v>
      </c>
      <c r="K565" t="s">
        <v>25</v>
      </c>
      <c r="L565">
        <v>39</v>
      </c>
      <c r="M565">
        <v>2</v>
      </c>
      <c r="N565">
        <v>10</v>
      </c>
      <c r="O565" t="s">
        <v>1351</v>
      </c>
      <c r="P565" t="s">
        <v>44</v>
      </c>
      <c r="Q565" t="s">
        <v>70</v>
      </c>
      <c r="R565" t="s">
        <v>71</v>
      </c>
      <c r="S565" t="s">
        <v>101</v>
      </c>
      <c r="T565">
        <v>5</v>
      </c>
      <c r="U565">
        <v>612.55999999999995</v>
      </c>
      <c r="V565">
        <v>909.93</v>
      </c>
      <c r="W565">
        <v>6</v>
      </c>
      <c r="X565" t="str">
        <f>TEXT(cleaneddata[[#This Row],[Order Date]],"mmm")</f>
        <v>May</v>
      </c>
      <c r="Y565">
        <f>cleaneddata[[#This Row],[Unit Price]]*cleaneddata[[#This Row],[Quantity]]*(1-cleaneddata[[#This Row],[Discount %]]/100)</f>
        <v>1102.6079999999999</v>
      </c>
      <c r="Z565">
        <f>cleaneddata[[#This Row],[sales]]-cleaneddata[[#This Row],[Cost]]</f>
        <v>192.678</v>
      </c>
    </row>
    <row r="566" spans="1:26" x14ac:dyDescent="0.3">
      <c r="A566" t="s">
        <v>1608</v>
      </c>
      <c r="B566" s="1">
        <v>45631</v>
      </c>
      <c r="C566" t="s">
        <v>1609</v>
      </c>
      <c r="D566" t="s">
        <v>3197</v>
      </c>
      <c r="E566" s="1">
        <v>45633</v>
      </c>
      <c r="F566" t="s">
        <v>100</v>
      </c>
      <c r="G566" t="s">
        <v>98</v>
      </c>
      <c r="H566" t="s">
        <v>99</v>
      </c>
      <c r="I566" t="s">
        <v>2663</v>
      </c>
      <c r="J566" t="s">
        <v>2670</v>
      </c>
      <c r="K566" t="s">
        <v>25</v>
      </c>
      <c r="L566">
        <v>52</v>
      </c>
      <c r="M566">
        <v>1</v>
      </c>
      <c r="N566">
        <v>5</v>
      </c>
      <c r="O566" t="s">
        <v>1610</v>
      </c>
      <c r="P566" t="s">
        <v>33</v>
      </c>
      <c r="Q566" t="s">
        <v>31</v>
      </c>
      <c r="R566" t="s">
        <v>62</v>
      </c>
      <c r="S566" t="s">
        <v>101</v>
      </c>
      <c r="T566">
        <v>1</v>
      </c>
      <c r="U566">
        <v>98.8</v>
      </c>
      <c r="V566">
        <v>50.62</v>
      </c>
      <c r="W566">
        <v>2</v>
      </c>
      <c r="X566" t="str">
        <f>TEXT(cleaneddata[[#This Row],[Order Date]],"mmm")</f>
        <v>Dec</v>
      </c>
      <c r="Y566">
        <f>cleaneddata[[#This Row],[Unit Price]]*cleaneddata[[#This Row],[Quantity]]*(1-cleaneddata[[#This Row],[Discount %]]/100)</f>
        <v>93.86</v>
      </c>
      <c r="Z566">
        <f>cleaneddata[[#This Row],[sales]]-cleaneddata[[#This Row],[Cost]]</f>
        <v>43.24</v>
      </c>
    </row>
    <row r="567" spans="1:26" x14ac:dyDescent="0.3">
      <c r="A567" t="s">
        <v>1611</v>
      </c>
      <c r="B567" s="1">
        <v>45550</v>
      </c>
      <c r="C567" t="s">
        <v>1612</v>
      </c>
      <c r="D567" t="s">
        <v>3196</v>
      </c>
      <c r="E567" s="1">
        <v>45553</v>
      </c>
      <c r="F567" t="s">
        <v>29</v>
      </c>
      <c r="G567" t="s">
        <v>27</v>
      </c>
      <c r="H567" t="s">
        <v>28</v>
      </c>
      <c r="I567" t="s">
        <v>2675</v>
      </c>
      <c r="J567" t="s">
        <v>2676</v>
      </c>
      <c r="K567" t="s">
        <v>25</v>
      </c>
      <c r="L567">
        <v>40</v>
      </c>
      <c r="M567">
        <v>5</v>
      </c>
      <c r="N567">
        <v>10</v>
      </c>
      <c r="O567" t="s">
        <v>126</v>
      </c>
      <c r="P567" t="s">
        <v>44</v>
      </c>
      <c r="Q567" t="s">
        <v>117</v>
      </c>
      <c r="R567" t="s">
        <v>62</v>
      </c>
      <c r="S567" t="s">
        <v>30</v>
      </c>
      <c r="T567">
        <v>1</v>
      </c>
      <c r="U567">
        <v>227.91</v>
      </c>
      <c r="V567">
        <v>855.1</v>
      </c>
      <c r="W567">
        <v>3</v>
      </c>
      <c r="X567" t="str">
        <f>TEXT(cleaneddata[[#This Row],[Order Date]],"mmm")</f>
        <v>Sep</v>
      </c>
      <c r="Y567">
        <f>cleaneddata[[#This Row],[Unit Price]]*cleaneddata[[#This Row],[Quantity]]*(1-cleaneddata[[#This Row],[Discount %]]/100)</f>
        <v>1025.595</v>
      </c>
      <c r="Z567">
        <f>cleaneddata[[#This Row],[sales]]-cleaneddata[[#This Row],[Cost]]</f>
        <v>170.495</v>
      </c>
    </row>
    <row r="568" spans="1:26" x14ac:dyDescent="0.3">
      <c r="A568" t="s">
        <v>1613</v>
      </c>
      <c r="B568" s="1">
        <v>45517</v>
      </c>
      <c r="C568" t="s">
        <v>1614</v>
      </c>
      <c r="D568" t="s">
        <v>3195</v>
      </c>
      <c r="E568" s="1">
        <v>45520</v>
      </c>
      <c r="F568" t="s">
        <v>68</v>
      </c>
      <c r="G568" t="s">
        <v>66</v>
      </c>
      <c r="H568" t="s">
        <v>67</v>
      </c>
      <c r="I568" t="s">
        <v>2672</v>
      </c>
      <c r="J568" t="s">
        <v>2716</v>
      </c>
      <c r="K568" t="s">
        <v>25</v>
      </c>
      <c r="L568">
        <v>18</v>
      </c>
      <c r="M568">
        <v>3</v>
      </c>
      <c r="N568">
        <v>10</v>
      </c>
      <c r="O568" t="s">
        <v>1615</v>
      </c>
      <c r="P568" t="s">
        <v>44</v>
      </c>
      <c r="Q568" t="s">
        <v>58</v>
      </c>
      <c r="R568" t="s">
        <v>62</v>
      </c>
      <c r="S568" t="s">
        <v>69</v>
      </c>
      <c r="T568">
        <v>1</v>
      </c>
      <c r="U568">
        <v>617.21</v>
      </c>
      <c r="V568">
        <v>1166.5899999999999</v>
      </c>
      <c r="W568">
        <v>3</v>
      </c>
      <c r="X568" t="str">
        <f>TEXT(cleaneddata[[#This Row],[Order Date]],"mmm")</f>
        <v>Aug</v>
      </c>
      <c r="Y568">
        <f>cleaneddata[[#This Row],[Unit Price]]*cleaneddata[[#This Row],[Quantity]]*(1-cleaneddata[[#This Row],[Discount %]]/100)</f>
        <v>1666.4670000000001</v>
      </c>
      <c r="Z568">
        <f>cleaneddata[[#This Row],[sales]]-cleaneddata[[#This Row],[Cost]]</f>
        <v>499.87700000000018</v>
      </c>
    </row>
    <row r="569" spans="1:26" x14ac:dyDescent="0.3">
      <c r="A569" t="s">
        <v>1616</v>
      </c>
      <c r="B569" s="1">
        <v>45987</v>
      </c>
      <c r="C569" t="s">
        <v>1617</v>
      </c>
      <c r="D569" t="s">
        <v>2757</v>
      </c>
      <c r="E569" s="1">
        <v>45992</v>
      </c>
      <c r="F569" t="s">
        <v>68</v>
      </c>
      <c r="G569" t="s">
        <v>66</v>
      </c>
      <c r="H569" t="s">
        <v>67</v>
      </c>
      <c r="I569" t="s">
        <v>2622</v>
      </c>
      <c r="J569" t="s">
        <v>2704</v>
      </c>
      <c r="K569" t="s">
        <v>52</v>
      </c>
      <c r="L569">
        <v>48</v>
      </c>
      <c r="M569">
        <v>3</v>
      </c>
      <c r="N569">
        <v>30</v>
      </c>
      <c r="O569" t="s">
        <v>1618</v>
      </c>
      <c r="P569" t="s">
        <v>33</v>
      </c>
      <c r="Q569" t="s">
        <v>31</v>
      </c>
      <c r="R569" t="s">
        <v>32</v>
      </c>
      <c r="S569" t="s">
        <v>69</v>
      </c>
      <c r="T569">
        <v>3</v>
      </c>
      <c r="U569">
        <v>841.15</v>
      </c>
      <c r="V569">
        <v>973.73</v>
      </c>
      <c r="W569">
        <v>5</v>
      </c>
      <c r="X569" t="str">
        <f>TEXT(cleaneddata[[#This Row],[Order Date]],"mmm")</f>
        <v>Nov</v>
      </c>
      <c r="Y569">
        <f>cleaneddata[[#This Row],[Unit Price]]*cleaneddata[[#This Row],[Quantity]]*(1-cleaneddata[[#This Row],[Discount %]]/100)</f>
        <v>1766.4149999999997</v>
      </c>
      <c r="Z569">
        <f>cleaneddata[[#This Row],[sales]]-cleaneddata[[#This Row],[Cost]]</f>
        <v>792.68499999999972</v>
      </c>
    </row>
    <row r="570" spans="1:26" x14ac:dyDescent="0.3">
      <c r="A570" t="s">
        <v>1619</v>
      </c>
      <c r="B570" s="1">
        <v>45327</v>
      </c>
      <c r="C570" t="s">
        <v>1620</v>
      </c>
      <c r="D570" t="s">
        <v>2756</v>
      </c>
      <c r="E570" s="1">
        <v>45333</v>
      </c>
      <c r="F570" t="s">
        <v>68</v>
      </c>
      <c r="G570" t="s">
        <v>66</v>
      </c>
      <c r="H570" t="s">
        <v>67</v>
      </c>
      <c r="I570" t="s">
        <v>2639</v>
      </c>
      <c r="J570" t="s">
        <v>2687</v>
      </c>
      <c r="K570" t="s">
        <v>25</v>
      </c>
      <c r="L570">
        <v>31</v>
      </c>
      <c r="M570">
        <v>3</v>
      </c>
      <c r="N570">
        <v>30</v>
      </c>
      <c r="O570" t="s">
        <v>479</v>
      </c>
      <c r="P570" t="s">
        <v>44</v>
      </c>
      <c r="Q570" t="s">
        <v>117</v>
      </c>
      <c r="R570" t="s">
        <v>43</v>
      </c>
      <c r="S570" t="s">
        <v>69</v>
      </c>
      <c r="T570">
        <v>2</v>
      </c>
      <c r="U570">
        <v>250.22</v>
      </c>
      <c r="V570">
        <v>344.4</v>
      </c>
      <c r="W570">
        <v>6</v>
      </c>
      <c r="X570" t="str">
        <f>TEXT(cleaneddata[[#This Row],[Order Date]],"mmm")</f>
        <v>Feb</v>
      </c>
      <c r="Y570">
        <f>cleaneddata[[#This Row],[Unit Price]]*cleaneddata[[#This Row],[Quantity]]*(1-cleaneddata[[#This Row],[Discount %]]/100)</f>
        <v>525.46199999999999</v>
      </c>
      <c r="Z570">
        <f>cleaneddata[[#This Row],[sales]]-cleaneddata[[#This Row],[Cost]]</f>
        <v>181.06200000000001</v>
      </c>
    </row>
    <row r="571" spans="1:26" x14ac:dyDescent="0.3">
      <c r="A571" t="s">
        <v>1621</v>
      </c>
      <c r="B571" s="1">
        <v>45440</v>
      </c>
      <c r="C571" t="s">
        <v>1622</v>
      </c>
      <c r="D571" t="s">
        <v>2755</v>
      </c>
      <c r="E571" s="1">
        <v>45446</v>
      </c>
      <c r="F571" t="s">
        <v>100</v>
      </c>
      <c r="G571" t="s">
        <v>98</v>
      </c>
      <c r="H571" t="s">
        <v>99</v>
      </c>
      <c r="I571" t="s">
        <v>2665</v>
      </c>
      <c r="J571" t="s">
        <v>2693</v>
      </c>
      <c r="K571" t="s">
        <v>52</v>
      </c>
      <c r="L571">
        <v>61</v>
      </c>
      <c r="M571">
        <v>4</v>
      </c>
      <c r="N571">
        <v>10</v>
      </c>
      <c r="O571" t="s">
        <v>808</v>
      </c>
      <c r="P571" t="s">
        <v>75</v>
      </c>
      <c r="Q571" t="s">
        <v>58</v>
      </c>
      <c r="R571" t="s">
        <v>43</v>
      </c>
      <c r="S571" t="s">
        <v>101</v>
      </c>
      <c r="T571">
        <v>5</v>
      </c>
      <c r="U571">
        <v>629.61</v>
      </c>
      <c r="V571">
        <v>1257.52</v>
      </c>
      <c r="W571">
        <v>6</v>
      </c>
      <c r="X571" t="str">
        <f>TEXT(cleaneddata[[#This Row],[Order Date]],"mmm")</f>
        <v>May</v>
      </c>
      <c r="Y571">
        <f>cleaneddata[[#This Row],[Unit Price]]*cleaneddata[[#This Row],[Quantity]]*(1-cleaneddata[[#This Row],[Discount %]]/100)</f>
        <v>2266.596</v>
      </c>
      <c r="Z571">
        <f>cleaneddata[[#This Row],[sales]]-cleaneddata[[#This Row],[Cost]]</f>
        <v>1009.076</v>
      </c>
    </row>
    <row r="572" spans="1:26" x14ac:dyDescent="0.3">
      <c r="A572" t="s">
        <v>1623</v>
      </c>
      <c r="B572" s="1">
        <v>46152</v>
      </c>
      <c r="C572" t="s">
        <v>1624</v>
      </c>
      <c r="D572" t="s">
        <v>2754</v>
      </c>
      <c r="E572" s="1">
        <v>46159</v>
      </c>
      <c r="F572" t="s">
        <v>128</v>
      </c>
      <c r="G572" t="s">
        <v>98</v>
      </c>
      <c r="H572" t="s">
        <v>127</v>
      </c>
      <c r="I572" t="s">
        <v>2631</v>
      </c>
      <c r="J572" t="s">
        <v>2711</v>
      </c>
      <c r="K572" t="s">
        <v>25</v>
      </c>
      <c r="L572">
        <v>31</v>
      </c>
      <c r="M572">
        <v>3</v>
      </c>
      <c r="N572">
        <v>30</v>
      </c>
      <c r="O572" t="s">
        <v>461</v>
      </c>
      <c r="P572" t="s">
        <v>75</v>
      </c>
      <c r="Q572" t="s">
        <v>58</v>
      </c>
      <c r="R572" t="s">
        <v>32</v>
      </c>
      <c r="S572" t="s">
        <v>129</v>
      </c>
      <c r="T572">
        <v>2</v>
      </c>
      <c r="U572">
        <v>24.56</v>
      </c>
      <c r="V572">
        <v>37.729999999999997</v>
      </c>
      <c r="W572">
        <v>7</v>
      </c>
      <c r="X572" t="str">
        <f>TEXT(cleaneddata[[#This Row],[Order Date]],"mmm")</f>
        <v>May</v>
      </c>
      <c r="Y572">
        <f>cleaneddata[[#This Row],[Unit Price]]*cleaneddata[[#This Row],[Quantity]]*(1-cleaneddata[[#This Row],[Discount %]]/100)</f>
        <v>51.575999999999993</v>
      </c>
      <c r="Z572">
        <f>cleaneddata[[#This Row],[sales]]-cleaneddata[[#This Row],[Cost]]</f>
        <v>13.845999999999997</v>
      </c>
    </row>
    <row r="573" spans="1:26" x14ac:dyDescent="0.3">
      <c r="A573" t="s">
        <v>1625</v>
      </c>
      <c r="B573" s="1">
        <v>46165</v>
      </c>
      <c r="C573" t="s">
        <v>1626</v>
      </c>
      <c r="D573" t="s">
        <v>3194</v>
      </c>
      <c r="E573" s="1">
        <v>46168</v>
      </c>
      <c r="F573" t="s">
        <v>128</v>
      </c>
      <c r="G573" t="s">
        <v>98</v>
      </c>
      <c r="H573" t="s">
        <v>127</v>
      </c>
      <c r="I573" t="s">
        <v>2635</v>
      </c>
      <c r="J573" t="s">
        <v>2720</v>
      </c>
      <c r="K573" t="s">
        <v>25</v>
      </c>
      <c r="L573">
        <v>26</v>
      </c>
      <c r="M573">
        <v>1</v>
      </c>
      <c r="N573">
        <v>15</v>
      </c>
      <c r="O573" t="s">
        <v>805</v>
      </c>
      <c r="P573" t="s">
        <v>44</v>
      </c>
      <c r="Q573" t="s">
        <v>117</v>
      </c>
      <c r="R573" t="s">
        <v>62</v>
      </c>
      <c r="S573" t="s">
        <v>129</v>
      </c>
      <c r="T573">
        <v>3</v>
      </c>
      <c r="U573">
        <v>448.08</v>
      </c>
      <c r="V573">
        <v>222.84</v>
      </c>
      <c r="W573">
        <v>3</v>
      </c>
      <c r="X573" t="str">
        <f>TEXT(cleaneddata[[#This Row],[Order Date]],"mmm")</f>
        <v>May</v>
      </c>
      <c r="Y573">
        <f>cleaneddata[[#This Row],[Unit Price]]*cleaneddata[[#This Row],[Quantity]]*(1-cleaneddata[[#This Row],[Discount %]]/100)</f>
        <v>380.86799999999999</v>
      </c>
      <c r="Z573">
        <f>cleaneddata[[#This Row],[sales]]-cleaneddata[[#This Row],[Cost]]</f>
        <v>158.02799999999999</v>
      </c>
    </row>
    <row r="574" spans="1:26" x14ac:dyDescent="0.3">
      <c r="A574" t="s">
        <v>1627</v>
      </c>
      <c r="B574" s="1">
        <v>46159</v>
      </c>
      <c r="C574" t="s">
        <v>1628</v>
      </c>
      <c r="D574" t="s">
        <v>3193</v>
      </c>
      <c r="E574" s="1">
        <v>46166</v>
      </c>
      <c r="F574" t="s">
        <v>40</v>
      </c>
      <c r="G574" t="s">
        <v>38</v>
      </c>
      <c r="H574" t="s">
        <v>39</v>
      </c>
      <c r="I574" t="s">
        <v>2631</v>
      </c>
      <c r="J574" t="s">
        <v>2674</v>
      </c>
      <c r="K574" t="s">
        <v>25</v>
      </c>
      <c r="L574">
        <v>22</v>
      </c>
      <c r="M574">
        <v>2</v>
      </c>
      <c r="N574">
        <v>10</v>
      </c>
      <c r="O574" t="s">
        <v>874</v>
      </c>
      <c r="P574" t="s">
        <v>75</v>
      </c>
      <c r="Q574" t="s">
        <v>31</v>
      </c>
      <c r="R574" t="s">
        <v>71</v>
      </c>
      <c r="S574" t="s">
        <v>41</v>
      </c>
      <c r="T574">
        <v>2</v>
      </c>
      <c r="U574">
        <v>753.83</v>
      </c>
      <c r="V574">
        <v>986</v>
      </c>
      <c r="W574">
        <v>7</v>
      </c>
      <c r="X574" t="str">
        <f>TEXT(cleaneddata[[#This Row],[Order Date]],"mmm")</f>
        <v>May</v>
      </c>
      <c r="Y574">
        <f>cleaneddata[[#This Row],[Unit Price]]*cleaneddata[[#This Row],[Quantity]]*(1-cleaneddata[[#This Row],[Discount %]]/100)</f>
        <v>1356.894</v>
      </c>
      <c r="Z574">
        <f>cleaneddata[[#This Row],[sales]]-cleaneddata[[#This Row],[Cost]]</f>
        <v>370.89400000000001</v>
      </c>
    </row>
    <row r="575" spans="1:26" x14ac:dyDescent="0.3">
      <c r="A575" t="s">
        <v>1629</v>
      </c>
      <c r="B575" s="1">
        <v>45388</v>
      </c>
      <c r="C575" t="s">
        <v>1630</v>
      </c>
      <c r="D575" t="s">
        <v>3192</v>
      </c>
      <c r="E575" s="1">
        <v>45391</v>
      </c>
      <c r="F575" t="s">
        <v>29</v>
      </c>
      <c r="G575" t="s">
        <v>27</v>
      </c>
      <c r="H575" t="s">
        <v>28</v>
      </c>
      <c r="I575" t="s">
        <v>2665</v>
      </c>
      <c r="J575" t="s">
        <v>2666</v>
      </c>
      <c r="K575" t="s">
        <v>25</v>
      </c>
      <c r="L575">
        <v>44</v>
      </c>
      <c r="M575">
        <v>5</v>
      </c>
      <c r="N575">
        <v>10</v>
      </c>
      <c r="O575" t="s">
        <v>159</v>
      </c>
      <c r="P575" t="s">
        <v>33</v>
      </c>
      <c r="Q575" t="s">
        <v>42</v>
      </c>
      <c r="R575" t="s">
        <v>62</v>
      </c>
      <c r="S575" t="s">
        <v>30</v>
      </c>
      <c r="T575">
        <v>4</v>
      </c>
      <c r="U575">
        <v>525.12</v>
      </c>
      <c r="V575">
        <v>1611.68</v>
      </c>
      <c r="W575">
        <v>3</v>
      </c>
      <c r="X575" t="str">
        <f>TEXT(cleaneddata[[#This Row],[Order Date]],"mmm")</f>
        <v>Apr</v>
      </c>
      <c r="Y575">
        <f>cleaneddata[[#This Row],[Unit Price]]*cleaneddata[[#This Row],[Quantity]]*(1-cleaneddata[[#This Row],[Discount %]]/100)</f>
        <v>2363.04</v>
      </c>
      <c r="Z575">
        <f>cleaneddata[[#This Row],[sales]]-cleaneddata[[#This Row],[Cost]]</f>
        <v>751.3599999999999</v>
      </c>
    </row>
    <row r="576" spans="1:26" x14ac:dyDescent="0.3">
      <c r="A576" t="s">
        <v>1631</v>
      </c>
      <c r="B576" s="1">
        <v>46021</v>
      </c>
      <c r="C576" t="s">
        <v>1632</v>
      </c>
      <c r="D576" t="s">
        <v>3191</v>
      </c>
      <c r="E576" s="1">
        <v>46026</v>
      </c>
      <c r="F576" t="s">
        <v>56</v>
      </c>
      <c r="G576" t="s">
        <v>54</v>
      </c>
      <c r="H576" t="s">
        <v>55</v>
      </c>
      <c r="I576" t="s">
        <v>2623</v>
      </c>
      <c r="J576" t="s">
        <v>2624</v>
      </c>
      <c r="K576" t="s">
        <v>52</v>
      </c>
      <c r="L576">
        <v>36</v>
      </c>
      <c r="M576">
        <v>4</v>
      </c>
      <c r="N576">
        <v>10</v>
      </c>
      <c r="O576" t="s">
        <v>1552</v>
      </c>
      <c r="P576" t="s">
        <v>44</v>
      </c>
      <c r="Q576" t="s">
        <v>70</v>
      </c>
      <c r="R576" t="s">
        <v>62</v>
      </c>
      <c r="S576" t="s">
        <v>57</v>
      </c>
      <c r="T576">
        <v>2</v>
      </c>
      <c r="U576">
        <v>969.52</v>
      </c>
      <c r="V576">
        <v>2845.41</v>
      </c>
      <c r="W576">
        <v>5</v>
      </c>
      <c r="X576" t="str">
        <f>TEXT(cleaneddata[[#This Row],[Order Date]],"mmm")</f>
        <v>Dec</v>
      </c>
      <c r="Y576">
        <f>cleaneddata[[#This Row],[Unit Price]]*cleaneddata[[#This Row],[Quantity]]*(1-cleaneddata[[#This Row],[Discount %]]/100)</f>
        <v>3490.2719999999999</v>
      </c>
      <c r="Z576">
        <f>cleaneddata[[#This Row],[sales]]-cleaneddata[[#This Row],[Cost]]</f>
        <v>644.86200000000008</v>
      </c>
    </row>
    <row r="577" spans="1:26" x14ac:dyDescent="0.3">
      <c r="A577" t="s">
        <v>1633</v>
      </c>
      <c r="B577" s="1">
        <v>45917</v>
      </c>
      <c r="C577" t="s">
        <v>1634</v>
      </c>
      <c r="D577" t="s">
        <v>3190</v>
      </c>
      <c r="E577" s="1">
        <v>45919</v>
      </c>
      <c r="F577" t="s">
        <v>56</v>
      </c>
      <c r="G577" t="s">
        <v>54</v>
      </c>
      <c r="H577" t="s">
        <v>55</v>
      </c>
      <c r="I577" t="s">
        <v>2672</v>
      </c>
      <c r="J577" t="s">
        <v>2673</v>
      </c>
      <c r="K577" t="s">
        <v>52</v>
      </c>
      <c r="L577">
        <v>61</v>
      </c>
      <c r="M577">
        <v>2</v>
      </c>
      <c r="N577">
        <v>20</v>
      </c>
      <c r="O577" t="s">
        <v>84</v>
      </c>
      <c r="P577" t="s">
        <v>33</v>
      </c>
      <c r="Q577" t="s">
        <v>70</v>
      </c>
      <c r="R577" t="s">
        <v>32</v>
      </c>
      <c r="S577" t="s">
        <v>57</v>
      </c>
      <c r="T577">
        <v>2</v>
      </c>
      <c r="U577">
        <v>564.74</v>
      </c>
      <c r="V577">
        <v>574.62</v>
      </c>
      <c r="W577">
        <v>2</v>
      </c>
      <c r="X577" t="str">
        <f>TEXT(cleaneddata[[#This Row],[Order Date]],"mmm")</f>
        <v>Sep</v>
      </c>
      <c r="Y577">
        <f>cleaneddata[[#This Row],[Unit Price]]*cleaneddata[[#This Row],[Quantity]]*(1-cleaneddata[[#This Row],[Discount %]]/100)</f>
        <v>903.58400000000006</v>
      </c>
      <c r="Z577">
        <f>cleaneddata[[#This Row],[sales]]-cleaneddata[[#This Row],[Cost]]</f>
        <v>328.96400000000006</v>
      </c>
    </row>
    <row r="578" spans="1:26" x14ac:dyDescent="0.3">
      <c r="A578" t="s">
        <v>1635</v>
      </c>
      <c r="B578" s="1">
        <v>45365</v>
      </c>
      <c r="C578" t="s">
        <v>1636</v>
      </c>
      <c r="D578" t="s">
        <v>3189</v>
      </c>
      <c r="E578" s="1">
        <v>45369</v>
      </c>
      <c r="F578" t="s">
        <v>122</v>
      </c>
      <c r="G578" t="s">
        <v>120</v>
      </c>
      <c r="H578" t="s">
        <v>121</v>
      </c>
      <c r="I578" t="s">
        <v>2652</v>
      </c>
      <c r="J578" t="s">
        <v>2653</v>
      </c>
      <c r="K578" t="s">
        <v>52</v>
      </c>
      <c r="L578">
        <v>61</v>
      </c>
      <c r="M578">
        <v>5</v>
      </c>
      <c r="N578">
        <v>0</v>
      </c>
      <c r="O578" t="s">
        <v>1637</v>
      </c>
      <c r="P578" t="s">
        <v>44</v>
      </c>
      <c r="Q578" t="s">
        <v>58</v>
      </c>
      <c r="R578" t="s">
        <v>71</v>
      </c>
      <c r="S578" t="s">
        <v>123</v>
      </c>
      <c r="T578">
        <v>5</v>
      </c>
      <c r="U578">
        <v>243.58</v>
      </c>
      <c r="V578">
        <v>615.91</v>
      </c>
      <c r="W578">
        <v>4</v>
      </c>
      <c r="X578" t="str">
        <f>TEXT(cleaneddata[[#This Row],[Order Date]],"mmm")</f>
        <v>Mar</v>
      </c>
      <c r="Y578">
        <f>cleaneddata[[#This Row],[Unit Price]]*cleaneddata[[#This Row],[Quantity]]*(1-cleaneddata[[#This Row],[Discount %]]/100)</f>
        <v>1217.9000000000001</v>
      </c>
      <c r="Z578">
        <f>cleaneddata[[#This Row],[sales]]-cleaneddata[[#This Row],[Cost]]</f>
        <v>601.99000000000012</v>
      </c>
    </row>
    <row r="579" spans="1:26" x14ac:dyDescent="0.3">
      <c r="A579" t="s">
        <v>1638</v>
      </c>
      <c r="B579" s="1">
        <v>45668</v>
      </c>
      <c r="C579" t="s">
        <v>1639</v>
      </c>
      <c r="D579" t="s">
        <v>3188</v>
      </c>
      <c r="E579" s="1">
        <v>45669</v>
      </c>
      <c r="F579" t="s">
        <v>56</v>
      </c>
      <c r="G579" t="s">
        <v>54</v>
      </c>
      <c r="H579" t="s">
        <v>55</v>
      </c>
      <c r="I579" t="s">
        <v>2623</v>
      </c>
      <c r="J579" t="s">
        <v>2624</v>
      </c>
      <c r="K579" t="s">
        <v>52</v>
      </c>
      <c r="L579">
        <v>54</v>
      </c>
      <c r="M579">
        <v>5</v>
      </c>
      <c r="N579">
        <v>15</v>
      </c>
      <c r="O579" t="s">
        <v>1618</v>
      </c>
      <c r="P579" t="s">
        <v>75</v>
      </c>
      <c r="Q579" t="s">
        <v>42</v>
      </c>
      <c r="R579" t="s">
        <v>62</v>
      </c>
      <c r="S579" t="s">
        <v>57</v>
      </c>
      <c r="T579">
        <v>5</v>
      </c>
      <c r="U579">
        <v>186.64</v>
      </c>
      <c r="V579">
        <v>536.35</v>
      </c>
      <c r="W579">
        <v>1</v>
      </c>
      <c r="X579" t="str">
        <f>TEXT(cleaneddata[[#This Row],[Order Date]],"mmm")</f>
        <v>Jan</v>
      </c>
      <c r="Y579">
        <f>cleaneddata[[#This Row],[Unit Price]]*cleaneddata[[#This Row],[Quantity]]*(1-cleaneddata[[#This Row],[Discount %]]/100)</f>
        <v>793.21999999999991</v>
      </c>
      <c r="Z579">
        <f>cleaneddata[[#This Row],[sales]]-cleaneddata[[#This Row],[Cost]]</f>
        <v>256.86999999999989</v>
      </c>
    </row>
    <row r="580" spans="1:26" x14ac:dyDescent="0.3">
      <c r="A580" t="s">
        <v>1640</v>
      </c>
      <c r="B580" s="1">
        <v>45842</v>
      </c>
      <c r="C580" t="s">
        <v>1641</v>
      </c>
      <c r="D580" t="s">
        <v>3187</v>
      </c>
      <c r="E580" s="1">
        <v>45847</v>
      </c>
      <c r="F580" t="s">
        <v>68</v>
      </c>
      <c r="G580" t="s">
        <v>66</v>
      </c>
      <c r="H580" t="s">
        <v>67</v>
      </c>
      <c r="I580" t="s">
        <v>2634</v>
      </c>
      <c r="J580" t="s">
        <v>2644</v>
      </c>
      <c r="K580" t="s">
        <v>25</v>
      </c>
      <c r="L580">
        <v>45</v>
      </c>
      <c r="M580">
        <v>1</v>
      </c>
      <c r="N580">
        <v>25</v>
      </c>
      <c r="O580" t="s">
        <v>1642</v>
      </c>
      <c r="P580" t="s">
        <v>75</v>
      </c>
      <c r="Q580" t="s">
        <v>117</v>
      </c>
      <c r="R580" t="s">
        <v>62</v>
      </c>
      <c r="S580" t="s">
        <v>69</v>
      </c>
      <c r="T580">
        <v>3</v>
      </c>
      <c r="U580">
        <v>789.3</v>
      </c>
      <c r="V580">
        <v>296.94</v>
      </c>
      <c r="W580">
        <v>5</v>
      </c>
      <c r="X580" t="str">
        <f>TEXT(cleaneddata[[#This Row],[Order Date]],"mmm")</f>
        <v>Jul</v>
      </c>
      <c r="Y580">
        <f>cleaneddata[[#This Row],[Unit Price]]*cleaneddata[[#This Row],[Quantity]]*(1-cleaneddata[[#This Row],[Discount %]]/100)</f>
        <v>591.97499999999991</v>
      </c>
      <c r="Z580">
        <f>cleaneddata[[#This Row],[sales]]-cleaneddata[[#This Row],[Cost]]</f>
        <v>295.03499999999991</v>
      </c>
    </row>
    <row r="581" spans="1:26" x14ac:dyDescent="0.3">
      <c r="A581" t="s">
        <v>1643</v>
      </c>
      <c r="B581" s="1">
        <v>45942</v>
      </c>
      <c r="C581" t="s">
        <v>1644</v>
      </c>
      <c r="D581" t="s">
        <v>3186</v>
      </c>
      <c r="E581" s="1">
        <v>45944</v>
      </c>
      <c r="F581" t="s">
        <v>68</v>
      </c>
      <c r="G581" t="s">
        <v>66</v>
      </c>
      <c r="H581" t="s">
        <v>67</v>
      </c>
      <c r="I581" t="s">
        <v>2634</v>
      </c>
      <c r="J581" t="s">
        <v>2644</v>
      </c>
      <c r="K581" t="s">
        <v>25</v>
      </c>
      <c r="L581">
        <v>38</v>
      </c>
      <c r="M581">
        <v>2</v>
      </c>
      <c r="N581">
        <v>20</v>
      </c>
      <c r="O581" t="s">
        <v>1645</v>
      </c>
      <c r="P581" t="s">
        <v>75</v>
      </c>
      <c r="Q581" t="s">
        <v>70</v>
      </c>
      <c r="R581" t="s">
        <v>32</v>
      </c>
      <c r="S581" t="s">
        <v>69</v>
      </c>
      <c r="T581">
        <v>3</v>
      </c>
      <c r="U581">
        <v>787.46</v>
      </c>
      <c r="V581">
        <v>821.56</v>
      </c>
      <c r="W581">
        <v>2</v>
      </c>
      <c r="X581" t="str">
        <f>TEXT(cleaneddata[[#This Row],[Order Date]],"mmm")</f>
        <v>Oct</v>
      </c>
      <c r="Y581">
        <f>cleaneddata[[#This Row],[Unit Price]]*cleaneddata[[#This Row],[Quantity]]*(1-cleaneddata[[#This Row],[Discount %]]/100)</f>
        <v>1259.9360000000001</v>
      </c>
      <c r="Z581">
        <f>cleaneddata[[#This Row],[sales]]-cleaneddata[[#This Row],[Cost]]</f>
        <v>438.3760000000002</v>
      </c>
    </row>
    <row r="582" spans="1:26" x14ac:dyDescent="0.3">
      <c r="A582" t="s">
        <v>1646</v>
      </c>
      <c r="B582" s="1">
        <v>45905</v>
      </c>
      <c r="C582" t="s">
        <v>1647</v>
      </c>
      <c r="D582" t="s">
        <v>3185</v>
      </c>
      <c r="E582" s="1">
        <v>45910</v>
      </c>
      <c r="F582" t="s">
        <v>122</v>
      </c>
      <c r="G582" t="s">
        <v>120</v>
      </c>
      <c r="H582" t="s">
        <v>121</v>
      </c>
      <c r="I582" t="s">
        <v>2652</v>
      </c>
      <c r="J582" t="s">
        <v>2688</v>
      </c>
      <c r="K582" t="s">
        <v>52</v>
      </c>
      <c r="L582">
        <v>38</v>
      </c>
      <c r="M582">
        <v>5</v>
      </c>
      <c r="N582">
        <v>0</v>
      </c>
      <c r="O582" t="s">
        <v>379</v>
      </c>
      <c r="P582" t="s">
        <v>44</v>
      </c>
      <c r="Q582" t="s">
        <v>70</v>
      </c>
      <c r="R582" t="s">
        <v>32</v>
      </c>
      <c r="S582" t="s">
        <v>123</v>
      </c>
      <c r="T582">
        <v>5</v>
      </c>
      <c r="U582">
        <v>778.07</v>
      </c>
      <c r="V582">
        <v>2763.08</v>
      </c>
      <c r="W582">
        <v>5</v>
      </c>
      <c r="X582" t="str">
        <f>TEXT(cleaneddata[[#This Row],[Order Date]],"mmm")</f>
        <v>Sep</v>
      </c>
      <c r="Y582">
        <f>cleaneddata[[#This Row],[Unit Price]]*cleaneddata[[#This Row],[Quantity]]*(1-cleaneddata[[#This Row],[Discount %]]/100)</f>
        <v>3890.3500000000004</v>
      </c>
      <c r="Z582">
        <f>cleaneddata[[#This Row],[sales]]-cleaneddata[[#This Row],[Cost]]</f>
        <v>1127.2700000000004</v>
      </c>
    </row>
    <row r="583" spans="1:26" x14ac:dyDescent="0.3">
      <c r="A583" t="s">
        <v>1648</v>
      </c>
      <c r="B583" s="1">
        <v>45577</v>
      </c>
      <c r="C583" t="s">
        <v>1649</v>
      </c>
      <c r="D583" t="s">
        <v>3184</v>
      </c>
      <c r="E583" s="1">
        <v>45583</v>
      </c>
      <c r="F583" t="s">
        <v>29</v>
      </c>
      <c r="G583" t="s">
        <v>27</v>
      </c>
      <c r="H583" t="s">
        <v>28</v>
      </c>
      <c r="I583" t="s">
        <v>2623</v>
      </c>
      <c r="J583" t="s">
        <v>2624</v>
      </c>
      <c r="K583" t="s">
        <v>52</v>
      </c>
      <c r="L583">
        <v>31</v>
      </c>
      <c r="M583">
        <v>3</v>
      </c>
      <c r="N583">
        <v>10</v>
      </c>
      <c r="O583" t="s">
        <v>255</v>
      </c>
      <c r="P583" t="s">
        <v>44</v>
      </c>
      <c r="Q583" t="s">
        <v>70</v>
      </c>
      <c r="R583" t="s">
        <v>62</v>
      </c>
      <c r="S583" t="s">
        <v>30</v>
      </c>
      <c r="T583">
        <v>1</v>
      </c>
      <c r="U583">
        <v>756.45</v>
      </c>
      <c r="V583">
        <v>1107.75</v>
      </c>
      <c r="W583">
        <v>6</v>
      </c>
      <c r="X583" t="str">
        <f>TEXT(cleaneddata[[#This Row],[Order Date]],"mmm")</f>
        <v>Oct</v>
      </c>
      <c r="Y583">
        <f>cleaneddata[[#This Row],[Unit Price]]*cleaneddata[[#This Row],[Quantity]]*(1-cleaneddata[[#This Row],[Discount %]]/100)</f>
        <v>2042.4150000000004</v>
      </c>
      <c r="Z583">
        <f>cleaneddata[[#This Row],[sales]]-cleaneddata[[#This Row],[Cost]]</f>
        <v>934.66500000000042</v>
      </c>
    </row>
    <row r="584" spans="1:26" x14ac:dyDescent="0.3">
      <c r="A584" t="s">
        <v>1650</v>
      </c>
      <c r="B584" s="1">
        <v>46162</v>
      </c>
      <c r="C584" t="s">
        <v>1651</v>
      </c>
      <c r="D584" t="s">
        <v>3183</v>
      </c>
      <c r="E584" s="1">
        <v>46163</v>
      </c>
      <c r="F584" t="s">
        <v>140</v>
      </c>
      <c r="G584" t="s">
        <v>38</v>
      </c>
      <c r="H584" t="s">
        <v>139</v>
      </c>
      <c r="I584" t="s">
        <v>2668</v>
      </c>
      <c r="J584" t="s">
        <v>2669</v>
      </c>
      <c r="K584" t="s">
        <v>52</v>
      </c>
      <c r="L584">
        <v>43</v>
      </c>
      <c r="M584">
        <v>2</v>
      </c>
      <c r="N584">
        <v>25</v>
      </c>
      <c r="O584" t="s">
        <v>969</v>
      </c>
      <c r="P584" t="s">
        <v>33</v>
      </c>
      <c r="Q584" t="s">
        <v>70</v>
      </c>
      <c r="R584" t="s">
        <v>62</v>
      </c>
      <c r="S584" t="s">
        <v>141</v>
      </c>
      <c r="T584">
        <v>3</v>
      </c>
      <c r="U584">
        <v>448.24</v>
      </c>
      <c r="V584">
        <v>446.96</v>
      </c>
      <c r="W584">
        <v>1</v>
      </c>
      <c r="X584" t="str">
        <f>TEXT(cleaneddata[[#This Row],[Order Date]],"mmm")</f>
        <v>May</v>
      </c>
      <c r="Y584">
        <f>cleaneddata[[#This Row],[Unit Price]]*cleaneddata[[#This Row],[Quantity]]*(1-cleaneddata[[#This Row],[Discount %]]/100)</f>
        <v>672.36</v>
      </c>
      <c r="Z584">
        <f>cleaneddata[[#This Row],[sales]]-cleaneddata[[#This Row],[Cost]]</f>
        <v>225.40000000000003</v>
      </c>
    </row>
    <row r="585" spans="1:26" x14ac:dyDescent="0.3">
      <c r="A585" t="s">
        <v>1652</v>
      </c>
      <c r="B585" s="1">
        <v>46026</v>
      </c>
      <c r="C585" t="s">
        <v>1653</v>
      </c>
      <c r="D585" t="s">
        <v>3182</v>
      </c>
      <c r="E585" s="1">
        <v>46030</v>
      </c>
      <c r="F585" t="s">
        <v>29</v>
      </c>
      <c r="G585" t="s">
        <v>27</v>
      </c>
      <c r="H585" t="s">
        <v>28</v>
      </c>
      <c r="I585" t="s">
        <v>2635</v>
      </c>
      <c r="J585" t="s">
        <v>2643</v>
      </c>
      <c r="K585" t="s">
        <v>52</v>
      </c>
      <c r="L585">
        <v>24</v>
      </c>
      <c r="M585">
        <v>2</v>
      </c>
      <c r="N585">
        <v>15</v>
      </c>
      <c r="O585" t="s">
        <v>1654</v>
      </c>
      <c r="P585" t="s">
        <v>44</v>
      </c>
      <c r="Q585" t="s">
        <v>42</v>
      </c>
      <c r="R585" t="s">
        <v>32</v>
      </c>
      <c r="S585" t="s">
        <v>30</v>
      </c>
      <c r="T585">
        <v>1</v>
      </c>
      <c r="U585">
        <v>833.32</v>
      </c>
      <c r="V585">
        <v>954.68</v>
      </c>
      <c r="W585">
        <v>4</v>
      </c>
      <c r="X585" t="str">
        <f>TEXT(cleaneddata[[#This Row],[Order Date]],"mmm")</f>
        <v>Jan</v>
      </c>
      <c r="Y585">
        <f>cleaneddata[[#This Row],[Unit Price]]*cleaneddata[[#This Row],[Quantity]]*(1-cleaneddata[[#This Row],[Discount %]]/100)</f>
        <v>1416.644</v>
      </c>
      <c r="Z585">
        <f>cleaneddata[[#This Row],[sales]]-cleaneddata[[#This Row],[Cost]]</f>
        <v>461.96400000000006</v>
      </c>
    </row>
    <row r="586" spans="1:26" x14ac:dyDescent="0.3">
      <c r="A586" t="s">
        <v>1655</v>
      </c>
      <c r="B586" s="1">
        <v>46189</v>
      </c>
      <c r="C586" t="s">
        <v>1656</v>
      </c>
      <c r="D586" t="s">
        <v>3181</v>
      </c>
      <c r="E586" s="1">
        <v>46190</v>
      </c>
      <c r="F586" t="s">
        <v>56</v>
      </c>
      <c r="G586" t="s">
        <v>54</v>
      </c>
      <c r="H586" t="s">
        <v>55</v>
      </c>
      <c r="I586" t="s">
        <v>2663</v>
      </c>
      <c r="J586" t="s">
        <v>2670</v>
      </c>
      <c r="K586" t="s">
        <v>25</v>
      </c>
      <c r="L586">
        <v>45</v>
      </c>
      <c r="M586">
        <v>3</v>
      </c>
      <c r="N586">
        <v>20</v>
      </c>
      <c r="O586" t="s">
        <v>264</v>
      </c>
      <c r="P586" t="s">
        <v>33</v>
      </c>
      <c r="Q586" t="s">
        <v>42</v>
      </c>
      <c r="R586" t="s">
        <v>32</v>
      </c>
      <c r="S586" t="s">
        <v>57</v>
      </c>
      <c r="T586">
        <v>3</v>
      </c>
      <c r="U586">
        <v>293.18</v>
      </c>
      <c r="V586">
        <v>490.96</v>
      </c>
      <c r="W586">
        <v>1</v>
      </c>
      <c r="X586" t="str">
        <f>TEXT(cleaneddata[[#This Row],[Order Date]],"mmm")</f>
        <v>Jun</v>
      </c>
      <c r="Y586">
        <f>cleaneddata[[#This Row],[Unit Price]]*cleaneddata[[#This Row],[Quantity]]*(1-cleaneddata[[#This Row],[Discount %]]/100)</f>
        <v>703.63200000000006</v>
      </c>
      <c r="Z586">
        <f>cleaneddata[[#This Row],[sales]]-cleaneddata[[#This Row],[Cost]]</f>
        <v>212.67200000000008</v>
      </c>
    </row>
    <row r="587" spans="1:26" x14ac:dyDescent="0.3">
      <c r="A587" t="s">
        <v>1657</v>
      </c>
      <c r="B587" s="1">
        <v>45480</v>
      </c>
      <c r="C587" t="s">
        <v>1658</v>
      </c>
      <c r="D587" t="s">
        <v>3180</v>
      </c>
      <c r="E587" s="1">
        <v>45483</v>
      </c>
      <c r="F587" t="s">
        <v>122</v>
      </c>
      <c r="G587" t="s">
        <v>120</v>
      </c>
      <c r="H587" t="s">
        <v>121</v>
      </c>
      <c r="I587" t="s">
        <v>2668</v>
      </c>
      <c r="J587" t="s">
        <v>2669</v>
      </c>
      <c r="K587" t="s">
        <v>25</v>
      </c>
      <c r="L587">
        <v>56</v>
      </c>
      <c r="M587">
        <v>3</v>
      </c>
      <c r="N587">
        <v>25</v>
      </c>
      <c r="O587" t="s">
        <v>1380</v>
      </c>
      <c r="P587" t="s">
        <v>44</v>
      </c>
      <c r="Q587" t="s">
        <v>42</v>
      </c>
      <c r="R587" t="s">
        <v>32</v>
      </c>
      <c r="S587" t="s">
        <v>123</v>
      </c>
      <c r="T587">
        <v>3</v>
      </c>
      <c r="U587">
        <v>630.54999999999995</v>
      </c>
      <c r="V587">
        <v>732.86</v>
      </c>
      <c r="W587">
        <v>3</v>
      </c>
      <c r="X587" t="str">
        <f>TEXT(cleaneddata[[#This Row],[Order Date]],"mmm")</f>
        <v>Jul</v>
      </c>
      <c r="Y587">
        <f>cleaneddata[[#This Row],[Unit Price]]*cleaneddata[[#This Row],[Quantity]]*(1-cleaneddata[[#This Row],[Discount %]]/100)</f>
        <v>1418.7375</v>
      </c>
      <c r="Z587">
        <f>cleaneddata[[#This Row],[sales]]-cleaneddata[[#This Row],[Cost]]</f>
        <v>685.87749999999994</v>
      </c>
    </row>
    <row r="588" spans="1:26" x14ac:dyDescent="0.3">
      <c r="A588" t="s">
        <v>1659</v>
      </c>
      <c r="B588" s="1">
        <v>45966</v>
      </c>
      <c r="C588" t="s">
        <v>1660</v>
      </c>
      <c r="D588" t="s">
        <v>3179</v>
      </c>
      <c r="E588" s="1">
        <v>45970</v>
      </c>
      <c r="F588" t="s">
        <v>128</v>
      </c>
      <c r="G588" t="s">
        <v>98</v>
      </c>
      <c r="H588" t="s">
        <v>127</v>
      </c>
      <c r="I588" t="s">
        <v>2623</v>
      </c>
      <c r="J588" t="s">
        <v>2696</v>
      </c>
      <c r="K588" t="s">
        <v>25</v>
      </c>
      <c r="L588">
        <v>49</v>
      </c>
      <c r="M588">
        <v>2</v>
      </c>
      <c r="N588">
        <v>5</v>
      </c>
      <c r="O588" t="s">
        <v>1661</v>
      </c>
      <c r="P588" t="s">
        <v>33</v>
      </c>
      <c r="Q588" t="s">
        <v>31</v>
      </c>
      <c r="R588" t="s">
        <v>32</v>
      </c>
      <c r="S588" t="s">
        <v>129</v>
      </c>
      <c r="T588">
        <v>2</v>
      </c>
      <c r="U588">
        <v>780.91</v>
      </c>
      <c r="V588">
        <v>816.54</v>
      </c>
      <c r="W588">
        <v>4</v>
      </c>
      <c r="X588" t="str">
        <f>TEXT(cleaneddata[[#This Row],[Order Date]],"mmm")</f>
        <v>Nov</v>
      </c>
      <c r="Y588">
        <f>cleaneddata[[#This Row],[Unit Price]]*cleaneddata[[#This Row],[Quantity]]*(1-cleaneddata[[#This Row],[Discount %]]/100)</f>
        <v>1483.7289999999998</v>
      </c>
      <c r="Z588">
        <f>cleaneddata[[#This Row],[sales]]-cleaneddata[[#This Row],[Cost]]</f>
        <v>667.18899999999985</v>
      </c>
    </row>
    <row r="589" spans="1:26" x14ac:dyDescent="0.3">
      <c r="A589" t="s">
        <v>1662</v>
      </c>
      <c r="B589" s="1">
        <v>45643</v>
      </c>
      <c r="C589" t="s">
        <v>373</v>
      </c>
      <c r="D589" t="s">
        <v>3178</v>
      </c>
      <c r="E589" s="1">
        <v>45646</v>
      </c>
      <c r="F589" t="s">
        <v>100</v>
      </c>
      <c r="G589" t="s">
        <v>98</v>
      </c>
      <c r="H589" t="s">
        <v>99</v>
      </c>
      <c r="I589" t="s">
        <v>2631</v>
      </c>
      <c r="J589" t="s">
        <v>2674</v>
      </c>
      <c r="K589" t="s">
        <v>52</v>
      </c>
      <c r="L589">
        <v>24</v>
      </c>
      <c r="M589">
        <v>2</v>
      </c>
      <c r="N589">
        <v>15</v>
      </c>
      <c r="O589" t="s">
        <v>1663</v>
      </c>
      <c r="P589" t="s">
        <v>75</v>
      </c>
      <c r="Q589" t="s">
        <v>70</v>
      </c>
      <c r="R589" t="s">
        <v>71</v>
      </c>
      <c r="S589" t="s">
        <v>101</v>
      </c>
      <c r="T589">
        <v>3</v>
      </c>
      <c r="U589">
        <v>841.7</v>
      </c>
      <c r="V589">
        <v>1002.74</v>
      </c>
      <c r="W589">
        <v>3</v>
      </c>
      <c r="X589" t="str">
        <f>TEXT(cleaneddata[[#This Row],[Order Date]],"mmm")</f>
        <v>Dec</v>
      </c>
      <c r="Y589">
        <f>cleaneddata[[#This Row],[Unit Price]]*cleaneddata[[#This Row],[Quantity]]*(1-cleaneddata[[#This Row],[Discount %]]/100)</f>
        <v>1430.89</v>
      </c>
      <c r="Z589">
        <f>cleaneddata[[#This Row],[sales]]-cleaneddata[[#This Row],[Cost]]</f>
        <v>428.15000000000009</v>
      </c>
    </row>
    <row r="590" spans="1:26" x14ac:dyDescent="0.3">
      <c r="A590" t="s">
        <v>1664</v>
      </c>
      <c r="B590" s="1">
        <v>45918</v>
      </c>
      <c r="C590" t="s">
        <v>1665</v>
      </c>
      <c r="D590" t="s">
        <v>3177</v>
      </c>
      <c r="E590" s="1">
        <v>45924</v>
      </c>
      <c r="F590" t="s">
        <v>29</v>
      </c>
      <c r="G590" t="s">
        <v>27</v>
      </c>
      <c r="H590" t="s">
        <v>28</v>
      </c>
      <c r="I590" t="s">
        <v>2629</v>
      </c>
      <c r="J590" t="s">
        <v>2697</v>
      </c>
      <c r="K590" t="s">
        <v>52</v>
      </c>
      <c r="L590">
        <v>41</v>
      </c>
      <c r="M590">
        <v>3</v>
      </c>
      <c r="N590">
        <v>0</v>
      </c>
      <c r="O590" t="s">
        <v>1666</v>
      </c>
      <c r="P590" t="s">
        <v>44</v>
      </c>
      <c r="Q590" t="s">
        <v>58</v>
      </c>
      <c r="R590" t="s">
        <v>71</v>
      </c>
      <c r="S590" t="s">
        <v>30</v>
      </c>
      <c r="T590">
        <v>1</v>
      </c>
      <c r="U590">
        <v>552.12</v>
      </c>
      <c r="V590">
        <v>1129.24</v>
      </c>
      <c r="W590">
        <v>6</v>
      </c>
      <c r="X590" t="str">
        <f>TEXT(cleaneddata[[#This Row],[Order Date]],"mmm")</f>
        <v>Sep</v>
      </c>
      <c r="Y590">
        <f>cleaneddata[[#This Row],[Unit Price]]*cleaneddata[[#This Row],[Quantity]]*(1-cleaneddata[[#This Row],[Discount %]]/100)</f>
        <v>1656.3600000000001</v>
      </c>
      <c r="Z590">
        <f>cleaneddata[[#This Row],[sales]]-cleaneddata[[#This Row],[Cost]]</f>
        <v>527.12000000000012</v>
      </c>
    </row>
    <row r="591" spans="1:26" x14ac:dyDescent="0.3">
      <c r="A591" t="s">
        <v>1667</v>
      </c>
      <c r="B591" s="1">
        <v>45476</v>
      </c>
      <c r="C591" t="s">
        <v>1668</v>
      </c>
      <c r="D591" t="s">
        <v>3176</v>
      </c>
      <c r="E591" s="1">
        <v>45483</v>
      </c>
      <c r="F591" t="s">
        <v>29</v>
      </c>
      <c r="G591" t="s">
        <v>27</v>
      </c>
      <c r="H591" t="s">
        <v>28</v>
      </c>
      <c r="I591" t="s">
        <v>2635</v>
      </c>
      <c r="J591" t="s">
        <v>2643</v>
      </c>
      <c r="K591" t="s">
        <v>52</v>
      </c>
      <c r="L591">
        <v>50</v>
      </c>
      <c r="M591">
        <v>5</v>
      </c>
      <c r="N591">
        <v>15</v>
      </c>
      <c r="O591" t="s">
        <v>1669</v>
      </c>
      <c r="P591" t="s">
        <v>33</v>
      </c>
      <c r="Q591" t="s">
        <v>42</v>
      </c>
      <c r="R591" t="s">
        <v>71</v>
      </c>
      <c r="S591" t="s">
        <v>30</v>
      </c>
      <c r="T591">
        <v>2</v>
      </c>
      <c r="U591">
        <v>43.12</v>
      </c>
      <c r="V591">
        <v>112.26</v>
      </c>
      <c r="W591">
        <v>7</v>
      </c>
      <c r="X591" t="str">
        <f>TEXT(cleaneddata[[#This Row],[Order Date]],"mmm")</f>
        <v>Jul</v>
      </c>
      <c r="Y591">
        <f>cleaneddata[[#This Row],[Unit Price]]*cleaneddata[[#This Row],[Quantity]]*(1-cleaneddata[[#This Row],[Discount %]]/100)</f>
        <v>183.26</v>
      </c>
      <c r="Z591">
        <f>cleaneddata[[#This Row],[sales]]-cleaneddata[[#This Row],[Cost]]</f>
        <v>70.999999999999986</v>
      </c>
    </row>
    <row r="592" spans="1:26" x14ac:dyDescent="0.3">
      <c r="A592" t="s">
        <v>1670</v>
      </c>
      <c r="B592" s="1">
        <v>45811</v>
      </c>
      <c r="C592" t="s">
        <v>1671</v>
      </c>
      <c r="D592" t="s">
        <v>3175</v>
      </c>
      <c r="E592" s="1">
        <v>45812</v>
      </c>
      <c r="F592" t="s">
        <v>68</v>
      </c>
      <c r="G592" t="s">
        <v>66</v>
      </c>
      <c r="H592" t="s">
        <v>67</v>
      </c>
      <c r="I592" t="s">
        <v>2672</v>
      </c>
      <c r="J592" t="s">
        <v>2690</v>
      </c>
      <c r="K592" t="s">
        <v>25</v>
      </c>
      <c r="L592">
        <v>59</v>
      </c>
      <c r="M592">
        <v>2</v>
      </c>
      <c r="N592">
        <v>30</v>
      </c>
      <c r="O592" t="s">
        <v>1672</v>
      </c>
      <c r="P592" t="s">
        <v>33</v>
      </c>
      <c r="Q592" t="s">
        <v>42</v>
      </c>
      <c r="R592" t="s">
        <v>32</v>
      </c>
      <c r="S592" t="s">
        <v>69</v>
      </c>
      <c r="T592">
        <v>5</v>
      </c>
      <c r="U592">
        <v>905.54</v>
      </c>
      <c r="V592">
        <v>1046.71</v>
      </c>
      <c r="W592">
        <v>1</v>
      </c>
      <c r="X592" t="str">
        <f>TEXT(cleaneddata[[#This Row],[Order Date]],"mmm")</f>
        <v>Jun</v>
      </c>
      <c r="Y592">
        <f>cleaneddata[[#This Row],[Unit Price]]*cleaneddata[[#This Row],[Quantity]]*(1-cleaneddata[[#This Row],[Discount %]]/100)</f>
        <v>1267.7559999999999</v>
      </c>
      <c r="Z592">
        <f>cleaneddata[[#This Row],[sales]]-cleaneddata[[#This Row],[Cost]]</f>
        <v>221.04599999999982</v>
      </c>
    </row>
    <row r="593" spans="1:26" x14ac:dyDescent="0.3">
      <c r="A593" t="s">
        <v>1673</v>
      </c>
      <c r="B593" s="1">
        <v>45515</v>
      </c>
      <c r="C593" t="s">
        <v>1674</v>
      </c>
      <c r="D593" t="s">
        <v>3174</v>
      </c>
      <c r="E593" s="1">
        <v>45519</v>
      </c>
      <c r="F593" t="s">
        <v>29</v>
      </c>
      <c r="G593" t="s">
        <v>27</v>
      </c>
      <c r="H593" t="s">
        <v>28</v>
      </c>
      <c r="I593" t="s">
        <v>2629</v>
      </c>
      <c r="J593" t="s">
        <v>2697</v>
      </c>
      <c r="K593" t="s">
        <v>25</v>
      </c>
      <c r="L593">
        <v>61</v>
      </c>
      <c r="M593">
        <v>3</v>
      </c>
      <c r="N593">
        <v>10</v>
      </c>
      <c r="O593" t="s">
        <v>1675</v>
      </c>
      <c r="P593" t="s">
        <v>33</v>
      </c>
      <c r="Q593" t="s">
        <v>70</v>
      </c>
      <c r="R593" t="s">
        <v>71</v>
      </c>
      <c r="S593" t="s">
        <v>30</v>
      </c>
      <c r="T593">
        <v>4</v>
      </c>
      <c r="U593">
        <v>117.31</v>
      </c>
      <c r="V593">
        <v>167.8</v>
      </c>
      <c r="W593">
        <v>4</v>
      </c>
      <c r="X593" t="str">
        <f>TEXT(cleaneddata[[#This Row],[Order Date]],"mmm")</f>
        <v>Aug</v>
      </c>
      <c r="Y593">
        <f>cleaneddata[[#This Row],[Unit Price]]*cleaneddata[[#This Row],[Quantity]]*(1-cleaneddata[[#This Row],[Discount %]]/100)</f>
        <v>316.73700000000002</v>
      </c>
      <c r="Z593">
        <f>cleaneddata[[#This Row],[sales]]-cleaneddata[[#This Row],[Cost]]</f>
        <v>148.93700000000001</v>
      </c>
    </row>
    <row r="594" spans="1:26" x14ac:dyDescent="0.3">
      <c r="A594" t="s">
        <v>1676</v>
      </c>
      <c r="B594" s="1">
        <v>45546</v>
      </c>
      <c r="C594" t="s">
        <v>1677</v>
      </c>
      <c r="D594" t="s">
        <v>3173</v>
      </c>
      <c r="E594" s="1">
        <v>45553</v>
      </c>
      <c r="F594" t="s">
        <v>115</v>
      </c>
      <c r="G594" t="s">
        <v>66</v>
      </c>
      <c r="H594" t="s">
        <v>114</v>
      </c>
      <c r="I594" t="s">
        <v>2625</v>
      </c>
      <c r="J594" t="s">
        <v>2703</v>
      </c>
      <c r="K594" t="s">
        <v>52</v>
      </c>
      <c r="L594">
        <v>20</v>
      </c>
      <c r="M594">
        <v>4</v>
      </c>
      <c r="N594">
        <v>25</v>
      </c>
      <c r="O594" t="s">
        <v>1029</v>
      </c>
      <c r="P594" t="s">
        <v>33</v>
      </c>
      <c r="Q594" t="s">
        <v>58</v>
      </c>
      <c r="R594" t="s">
        <v>62</v>
      </c>
      <c r="S594" t="s">
        <v>116</v>
      </c>
      <c r="T594">
        <v>3</v>
      </c>
      <c r="U594">
        <v>282.45999999999998</v>
      </c>
      <c r="V594">
        <v>504.34</v>
      </c>
      <c r="W594">
        <v>7</v>
      </c>
      <c r="X594" t="str">
        <f>TEXT(cleaneddata[[#This Row],[Order Date]],"mmm")</f>
        <v>Sep</v>
      </c>
      <c r="Y594">
        <f>cleaneddata[[#This Row],[Unit Price]]*cleaneddata[[#This Row],[Quantity]]*(1-cleaneddata[[#This Row],[Discount %]]/100)</f>
        <v>847.37999999999988</v>
      </c>
      <c r="Z594">
        <f>cleaneddata[[#This Row],[sales]]-cleaneddata[[#This Row],[Cost]]</f>
        <v>343.03999999999991</v>
      </c>
    </row>
    <row r="595" spans="1:26" x14ac:dyDescent="0.3">
      <c r="A595" t="s">
        <v>1678</v>
      </c>
      <c r="B595" s="1">
        <v>45689</v>
      </c>
      <c r="C595" t="s">
        <v>1679</v>
      </c>
      <c r="D595" t="s">
        <v>3172</v>
      </c>
      <c r="E595" s="1">
        <v>45692</v>
      </c>
      <c r="F595" t="s">
        <v>40</v>
      </c>
      <c r="G595" t="s">
        <v>38</v>
      </c>
      <c r="H595" t="s">
        <v>39</v>
      </c>
      <c r="I595" t="s">
        <v>2659</v>
      </c>
      <c r="J595" t="s">
        <v>2681</v>
      </c>
      <c r="K595" t="s">
        <v>25</v>
      </c>
      <c r="L595">
        <v>54</v>
      </c>
      <c r="M595">
        <v>4</v>
      </c>
      <c r="N595">
        <v>5</v>
      </c>
      <c r="O595" t="s">
        <v>1149</v>
      </c>
      <c r="P595" t="s">
        <v>75</v>
      </c>
      <c r="Q595" t="s">
        <v>70</v>
      </c>
      <c r="R595" t="s">
        <v>32</v>
      </c>
      <c r="S595" t="s">
        <v>41</v>
      </c>
      <c r="T595">
        <v>5</v>
      </c>
      <c r="U595">
        <v>482.27</v>
      </c>
      <c r="V595">
        <v>1139.19</v>
      </c>
      <c r="W595">
        <v>3</v>
      </c>
      <c r="X595" t="str">
        <f>TEXT(cleaneddata[[#This Row],[Order Date]],"mmm")</f>
        <v>Feb</v>
      </c>
      <c r="Y595">
        <f>cleaneddata[[#This Row],[Unit Price]]*cleaneddata[[#This Row],[Quantity]]*(1-cleaneddata[[#This Row],[Discount %]]/100)</f>
        <v>1832.6259999999997</v>
      </c>
      <c r="Z595">
        <f>cleaneddata[[#This Row],[sales]]-cleaneddata[[#This Row],[Cost]]</f>
        <v>693.43599999999969</v>
      </c>
    </row>
    <row r="596" spans="1:26" x14ac:dyDescent="0.3">
      <c r="A596" t="s">
        <v>1680</v>
      </c>
      <c r="B596" s="1">
        <v>46081</v>
      </c>
      <c r="C596" t="s">
        <v>1241</v>
      </c>
      <c r="D596" t="s">
        <v>2753</v>
      </c>
      <c r="E596" s="1">
        <v>46088</v>
      </c>
      <c r="F596" t="s">
        <v>122</v>
      </c>
      <c r="G596" t="s">
        <v>120</v>
      </c>
      <c r="H596" t="s">
        <v>121</v>
      </c>
      <c r="I596" t="s">
        <v>2652</v>
      </c>
      <c r="J596" t="s">
        <v>2653</v>
      </c>
      <c r="K596" t="s">
        <v>25</v>
      </c>
      <c r="L596">
        <v>41</v>
      </c>
      <c r="M596">
        <v>5</v>
      </c>
      <c r="N596">
        <v>10</v>
      </c>
      <c r="O596" t="s">
        <v>1681</v>
      </c>
      <c r="P596" t="s">
        <v>44</v>
      </c>
      <c r="Q596" t="s">
        <v>31</v>
      </c>
      <c r="R596" t="s">
        <v>32</v>
      </c>
      <c r="S596" t="s">
        <v>123</v>
      </c>
      <c r="T596">
        <v>5</v>
      </c>
      <c r="U596">
        <v>465.3</v>
      </c>
      <c r="V596">
        <v>1189.6600000000001</v>
      </c>
      <c r="W596">
        <v>7</v>
      </c>
      <c r="X596" t="str">
        <f>TEXT(cleaneddata[[#This Row],[Order Date]],"mmm")</f>
        <v>Feb</v>
      </c>
      <c r="Y596">
        <f>cleaneddata[[#This Row],[Unit Price]]*cleaneddata[[#This Row],[Quantity]]*(1-cleaneddata[[#This Row],[Discount %]]/100)</f>
        <v>2093.85</v>
      </c>
      <c r="Z596">
        <f>cleaneddata[[#This Row],[sales]]-cleaneddata[[#This Row],[Cost]]</f>
        <v>904.18999999999983</v>
      </c>
    </row>
    <row r="597" spans="1:26" x14ac:dyDescent="0.3">
      <c r="A597" t="s">
        <v>1682</v>
      </c>
      <c r="B597" s="1">
        <v>45983</v>
      </c>
      <c r="C597" t="s">
        <v>1683</v>
      </c>
      <c r="D597" t="s">
        <v>3171</v>
      </c>
      <c r="E597" s="1">
        <v>45985</v>
      </c>
      <c r="F597" t="s">
        <v>56</v>
      </c>
      <c r="G597" t="s">
        <v>54</v>
      </c>
      <c r="H597" t="s">
        <v>55</v>
      </c>
      <c r="I597" t="s">
        <v>2631</v>
      </c>
      <c r="J597" t="s">
        <v>2711</v>
      </c>
      <c r="K597" t="s">
        <v>52</v>
      </c>
      <c r="L597">
        <v>25</v>
      </c>
      <c r="M597">
        <v>5</v>
      </c>
      <c r="N597">
        <v>0</v>
      </c>
      <c r="O597" t="s">
        <v>1684</v>
      </c>
      <c r="P597" t="s">
        <v>75</v>
      </c>
      <c r="Q597" t="s">
        <v>70</v>
      </c>
      <c r="R597" t="s">
        <v>62</v>
      </c>
      <c r="S597" t="s">
        <v>57</v>
      </c>
      <c r="T597">
        <v>4</v>
      </c>
      <c r="U597">
        <v>136.41999999999999</v>
      </c>
      <c r="V597">
        <v>355.19</v>
      </c>
      <c r="W597">
        <v>2</v>
      </c>
      <c r="X597" t="str">
        <f>TEXT(cleaneddata[[#This Row],[Order Date]],"mmm")</f>
        <v>Nov</v>
      </c>
      <c r="Y597">
        <f>cleaneddata[[#This Row],[Unit Price]]*cleaneddata[[#This Row],[Quantity]]*(1-cleaneddata[[#This Row],[Discount %]]/100)</f>
        <v>682.09999999999991</v>
      </c>
      <c r="Z597">
        <f>cleaneddata[[#This Row],[sales]]-cleaneddata[[#This Row],[Cost]]</f>
        <v>326.90999999999991</v>
      </c>
    </row>
    <row r="598" spans="1:26" x14ac:dyDescent="0.3">
      <c r="A598" t="s">
        <v>1685</v>
      </c>
      <c r="B598" s="1">
        <v>46167</v>
      </c>
      <c r="C598" t="s">
        <v>1686</v>
      </c>
      <c r="D598" t="s">
        <v>3170</v>
      </c>
      <c r="E598" s="1">
        <v>46169</v>
      </c>
      <c r="F598" t="s">
        <v>122</v>
      </c>
      <c r="G598" t="s">
        <v>120</v>
      </c>
      <c r="H598" t="s">
        <v>121</v>
      </c>
      <c r="I598" t="s">
        <v>2654</v>
      </c>
      <c r="J598" t="s">
        <v>2684</v>
      </c>
      <c r="K598" t="s">
        <v>52</v>
      </c>
      <c r="L598">
        <v>30</v>
      </c>
      <c r="M598">
        <v>5</v>
      </c>
      <c r="N598">
        <v>0</v>
      </c>
      <c r="O598" t="s">
        <v>264</v>
      </c>
      <c r="P598" t="s">
        <v>75</v>
      </c>
      <c r="Q598" t="s">
        <v>42</v>
      </c>
      <c r="R598" t="s">
        <v>62</v>
      </c>
      <c r="S598" t="s">
        <v>123</v>
      </c>
      <c r="T598">
        <v>1</v>
      </c>
      <c r="U598">
        <v>553.69000000000005</v>
      </c>
      <c r="V598">
        <v>1531.13</v>
      </c>
      <c r="W598">
        <v>2</v>
      </c>
      <c r="X598" t="str">
        <f>TEXT(cleaneddata[[#This Row],[Order Date]],"mmm")</f>
        <v>May</v>
      </c>
      <c r="Y598">
        <f>cleaneddata[[#This Row],[Unit Price]]*cleaneddata[[#This Row],[Quantity]]*(1-cleaneddata[[#This Row],[Discount %]]/100)</f>
        <v>2768.4500000000003</v>
      </c>
      <c r="Z598">
        <f>cleaneddata[[#This Row],[sales]]-cleaneddata[[#This Row],[Cost]]</f>
        <v>1237.3200000000002</v>
      </c>
    </row>
    <row r="599" spans="1:26" x14ac:dyDescent="0.3">
      <c r="A599" t="s">
        <v>1687</v>
      </c>
      <c r="B599" s="1">
        <v>45981</v>
      </c>
      <c r="C599" t="s">
        <v>1688</v>
      </c>
      <c r="D599" t="s">
        <v>2752</v>
      </c>
      <c r="E599" s="1">
        <v>45982</v>
      </c>
      <c r="F599" t="s">
        <v>128</v>
      </c>
      <c r="G599" t="s">
        <v>98</v>
      </c>
      <c r="H599" t="s">
        <v>127</v>
      </c>
      <c r="I599" t="s">
        <v>2622</v>
      </c>
      <c r="J599" t="s">
        <v>2686</v>
      </c>
      <c r="K599" t="s">
        <v>25</v>
      </c>
      <c r="L599">
        <v>52</v>
      </c>
      <c r="M599">
        <v>3</v>
      </c>
      <c r="N599">
        <v>30</v>
      </c>
      <c r="O599" t="s">
        <v>1689</v>
      </c>
      <c r="P599" t="s">
        <v>75</v>
      </c>
      <c r="Q599" t="s">
        <v>117</v>
      </c>
      <c r="R599" t="s">
        <v>62</v>
      </c>
      <c r="S599" t="s">
        <v>129</v>
      </c>
      <c r="T599">
        <v>4</v>
      </c>
      <c r="U599">
        <v>751.63</v>
      </c>
      <c r="V599">
        <v>1143.01</v>
      </c>
      <c r="W599">
        <v>1</v>
      </c>
      <c r="X599" t="str">
        <f>TEXT(cleaneddata[[#This Row],[Order Date]],"mmm")</f>
        <v>Nov</v>
      </c>
      <c r="Y599">
        <f>cleaneddata[[#This Row],[Unit Price]]*cleaneddata[[#This Row],[Quantity]]*(1-cleaneddata[[#This Row],[Discount %]]/100)</f>
        <v>1578.4229999999998</v>
      </c>
      <c r="Z599">
        <f>cleaneddata[[#This Row],[sales]]-cleaneddata[[#This Row],[Cost]]</f>
        <v>435.41299999999978</v>
      </c>
    </row>
    <row r="600" spans="1:26" x14ac:dyDescent="0.3">
      <c r="A600" t="s">
        <v>1690</v>
      </c>
      <c r="B600" s="1">
        <v>45532</v>
      </c>
      <c r="C600" t="s">
        <v>1691</v>
      </c>
      <c r="D600" t="s">
        <v>2750</v>
      </c>
      <c r="E600" s="1">
        <v>45536</v>
      </c>
      <c r="F600" t="s">
        <v>128</v>
      </c>
      <c r="G600" t="s">
        <v>98</v>
      </c>
      <c r="H600" t="s">
        <v>127</v>
      </c>
      <c r="I600" t="s">
        <v>2652</v>
      </c>
      <c r="J600" t="s">
        <v>2653</v>
      </c>
      <c r="K600" t="s">
        <v>52</v>
      </c>
      <c r="L600">
        <v>32</v>
      </c>
      <c r="M600">
        <v>5</v>
      </c>
      <c r="N600">
        <v>5</v>
      </c>
      <c r="O600" t="s">
        <v>1692</v>
      </c>
      <c r="P600" t="s">
        <v>44</v>
      </c>
      <c r="Q600" t="s">
        <v>31</v>
      </c>
      <c r="R600" t="s">
        <v>43</v>
      </c>
      <c r="S600" t="s">
        <v>129</v>
      </c>
      <c r="T600">
        <v>2</v>
      </c>
      <c r="U600">
        <v>967.42</v>
      </c>
      <c r="V600">
        <v>3597.23</v>
      </c>
      <c r="W600">
        <v>4</v>
      </c>
      <c r="X600" t="str">
        <f>TEXT(cleaneddata[[#This Row],[Order Date]],"mmm")</f>
        <v>Aug</v>
      </c>
      <c r="Y600">
        <f>cleaneddata[[#This Row],[Unit Price]]*cleaneddata[[#This Row],[Quantity]]*(1-cleaneddata[[#This Row],[Discount %]]/100)</f>
        <v>4595.244999999999</v>
      </c>
      <c r="Z600">
        <f>cleaneddata[[#This Row],[sales]]-cleaneddata[[#This Row],[Cost]]</f>
        <v>998.01499999999896</v>
      </c>
    </row>
    <row r="601" spans="1:26" x14ac:dyDescent="0.3">
      <c r="A601" t="s">
        <v>1693</v>
      </c>
      <c r="B601" s="1">
        <v>45527</v>
      </c>
      <c r="C601" t="s">
        <v>1694</v>
      </c>
      <c r="D601" t="s">
        <v>3169</v>
      </c>
      <c r="E601" s="1">
        <v>45531</v>
      </c>
      <c r="F601" t="s">
        <v>115</v>
      </c>
      <c r="G601" t="s">
        <v>66</v>
      </c>
      <c r="H601" t="s">
        <v>114</v>
      </c>
      <c r="I601" t="s">
        <v>2629</v>
      </c>
      <c r="J601" t="s">
        <v>2689</v>
      </c>
      <c r="K601" t="s">
        <v>52</v>
      </c>
      <c r="L601">
        <v>47</v>
      </c>
      <c r="M601">
        <v>3</v>
      </c>
      <c r="N601">
        <v>20</v>
      </c>
      <c r="O601" t="s">
        <v>1695</v>
      </c>
      <c r="P601" t="s">
        <v>33</v>
      </c>
      <c r="Q601" t="s">
        <v>117</v>
      </c>
      <c r="R601" t="s">
        <v>62</v>
      </c>
      <c r="S601" t="s">
        <v>116</v>
      </c>
      <c r="T601">
        <v>2</v>
      </c>
      <c r="U601">
        <v>104.43</v>
      </c>
      <c r="V601">
        <v>132.74</v>
      </c>
      <c r="W601">
        <v>4</v>
      </c>
      <c r="X601" t="str">
        <f>TEXT(cleaneddata[[#This Row],[Order Date]],"mmm")</f>
        <v>Aug</v>
      </c>
      <c r="Y601">
        <f>cleaneddata[[#This Row],[Unit Price]]*cleaneddata[[#This Row],[Quantity]]*(1-cleaneddata[[#This Row],[Discount %]]/100)</f>
        <v>250.63200000000003</v>
      </c>
      <c r="Z601">
        <f>cleaneddata[[#This Row],[sales]]-cleaneddata[[#This Row],[Cost]]</f>
        <v>117.89200000000002</v>
      </c>
    </row>
    <row r="602" spans="1:26" x14ac:dyDescent="0.3">
      <c r="A602" t="s">
        <v>1696</v>
      </c>
      <c r="B602" s="1">
        <v>45720</v>
      </c>
      <c r="C602" t="s">
        <v>1697</v>
      </c>
      <c r="D602" t="s">
        <v>2751</v>
      </c>
      <c r="E602" s="1">
        <v>45725</v>
      </c>
      <c r="F602" t="s">
        <v>40</v>
      </c>
      <c r="G602" t="s">
        <v>38</v>
      </c>
      <c r="H602" t="s">
        <v>39</v>
      </c>
      <c r="I602" t="s">
        <v>2654</v>
      </c>
      <c r="J602" t="s">
        <v>2655</v>
      </c>
      <c r="K602" t="s">
        <v>25</v>
      </c>
      <c r="L602">
        <v>33</v>
      </c>
      <c r="M602">
        <v>3</v>
      </c>
      <c r="N602">
        <v>10</v>
      </c>
      <c r="O602" t="s">
        <v>637</v>
      </c>
      <c r="P602" t="s">
        <v>75</v>
      </c>
      <c r="Q602" t="s">
        <v>70</v>
      </c>
      <c r="R602" t="s">
        <v>62</v>
      </c>
      <c r="S602" t="s">
        <v>41</v>
      </c>
      <c r="T602">
        <v>1</v>
      </c>
      <c r="U602">
        <v>423.84</v>
      </c>
      <c r="V602">
        <v>573.54</v>
      </c>
      <c r="W602">
        <v>5</v>
      </c>
      <c r="X602" t="str">
        <f>TEXT(cleaneddata[[#This Row],[Order Date]],"mmm")</f>
        <v>Mar</v>
      </c>
      <c r="Y602">
        <f>cleaneddata[[#This Row],[Unit Price]]*cleaneddata[[#This Row],[Quantity]]*(1-cleaneddata[[#This Row],[Discount %]]/100)</f>
        <v>1144.3679999999999</v>
      </c>
      <c r="Z602">
        <f>cleaneddata[[#This Row],[sales]]-cleaneddata[[#This Row],[Cost]]</f>
        <v>570.82799999999997</v>
      </c>
    </row>
    <row r="603" spans="1:26" x14ac:dyDescent="0.3">
      <c r="A603" t="s">
        <v>1698</v>
      </c>
      <c r="B603" s="1">
        <v>45866</v>
      </c>
      <c r="C603" t="s">
        <v>1699</v>
      </c>
      <c r="D603" t="s">
        <v>3168</v>
      </c>
      <c r="E603" s="1">
        <v>45869</v>
      </c>
      <c r="F603" t="s">
        <v>29</v>
      </c>
      <c r="G603" t="s">
        <v>27</v>
      </c>
      <c r="H603" t="s">
        <v>28</v>
      </c>
      <c r="I603" t="s">
        <v>2654</v>
      </c>
      <c r="J603" t="s">
        <v>2702</v>
      </c>
      <c r="K603" t="s">
        <v>52</v>
      </c>
      <c r="L603">
        <v>61</v>
      </c>
      <c r="M603">
        <v>3</v>
      </c>
      <c r="N603">
        <v>25</v>
      </c>
      <c r="O603" t="s">
        <v>1700</v>
      </c>
      <c r="P603" t="s">
        <v>33</v>
      </c>
      <c r="Q603" t="s">
        <v>42</v>
      </c>
      <c r="R603" t="s">
        <v>71</v>
      </c>
      <c r="S603" t="s">
        <v>30</v>
      </c>
      <c r="T603">
        <v>1</v>
      </c>
      <c r="U603">
        <v>243.71</v>
      </c>
      <c r="V603">
        <v>317.32</v>
      </c>
      <c r="W603">
        <v>3</v>
      </c>
      <c r="X603" t="str">
        <f>TEXT(cleaneddata[[#This Row],[Order Date]],"mmm")</f>
        <v>Jul</v>
      </c>
      <c r="Y603">
        <f>cleaneddata[[#This Row],[Unit Price]]*cleaneddata[[#This Row],[Quantity]]*(1-cleaneddata[[#This Row],[Discount %]]/100)</f>
        <v>548.34749999999997</v>
      </c>
      <c r="Z603">
        <f>cleaneddata[[#This Row],[sales]]-cleaneddata[[#This Row],[Cost]]</f>
        <v>231.02749999999997</v>
      </c>
    </row>
    <row r="604" spans="1:26" x14ac:dyDescent="0.3">
      <c r="A604" t="s">
        <v>1701</v>
      </c>
      <c r="B604" s="1">
        <v>45539</v>
      </c>
      <c r="C604" t="s">
        <v>1702</v>
      </c>
      <c r="D604" t="s">
        <v>3167</v>
      </c>
      <c r="E604" s="1">
        <v>45546</v>
      </c>
      <c r="F604" t="s">
        <v>68</v>
      </c>
      <c r="G604" t="s">
        <v>66</v>
      </c>
      <c r="H604" t="s">
        <v>67</v>
      </c>
      <c r="I604" t="s">
        <v>2629</v>
      </c>
      <c r="J604" t="s">
        <v>2630</v>
      </c>
      <c r="K604" t="s">
        <v>52</v>
      </c>
      <c r="L604">
        <v>56</v>
      </c>
      <c r="M604">
        <v>1</v>
      </c>
      <c r="N604">
        <v>20</v>
      </c>
      <c r="O604" t="s">
        <v>1703</v>
      </c>
      <c r="P604" t="s">
        <v>44</v>
      </c>
      <c r="Q604" t="s">
        <v>70</v>
      </c>
      <c r="R604" t="s">
        <v>62</v>
      </c>
      <c r="S604" t="s">
        <v>69</v>
      </c>
      <c r="T604">
        <v>2</v>
      </c>
      <c r="U604">
        <v>689.69</v>
      </c>
      <c r="V604">
        <v>377.13</v>
      </c>
      <c r="W604">
        <v>7</v>
      </c>
      <c r="X604" t="str">
        <f>TEXT(cleaneddata[[#This Row],[Order Date]],"mmm")</f>
        <v>Sep</v>
      </c>
      <c r="Y604">
        <f>cleaneddata[[#This Row],[Unit Price]]*cleaneddata[[#This Row],[Quantity]]*(1-cleaneddata[[#This Row],[Discount %]]/100)</f>
        <v>551.75200000000007</v>
      </c>
      <c r="Z604">
        <f>cleaneddata[[#This Row],[sales]]-cleaneddata[[#This Row],[Cost]]</f>
        <v>174.62200000000007</v>
      </c>
    </row>
    <row r="605" spans="1:26" x14ac:dyDescent="0.3">
      <c r="A605" t="s">
        <v>1704</v>
      </c>
      <c r="B605" s="1">
        <v>46112</v>
      </c>
      <c r="C605" t="s">
        <v>1705</v>
      </c>
      <c r="D605" t="s">
        <v>3166</v>
      </c>
      <c r="E605" s="1">
        <v>46114</v>
      </c>
      <c r="F605" t="s">
        <v>68</v>
      </c>
      <c r="G605" t="s">
        <v>66</v>
      </c>
      <c r="H605" t="s">
        <v>67</v>
      </c>
      <c r="I605" t="s">
        <v>2634</v>
      </c>
      <c r="J605" t="s">
        <v>2644</v>
      </c>
      <c r="K605" t="s">
        <v>52</v>
      </c>
      <c r="L605">
        <v>51</v>
      </c>
      <c r="M605">
        <v>2</v>
      </c>
      <c r="N605">
        <v>15</v>
      </c>
      <c r="O605" t="s">
        <v>276</v>
      </c>
      <c r="P605" t="s">
        <v>75</v>
      </c>
      <c r="Q605" t="s">
        <v>31</v>
      </c>
      <c r="R605" t="s">
        <v>71</v>
      </c>
      <c r="S605" t="s">
        <v>69</v>
      </c>
      <c r="T605">
        <v>2</v>
      </c>
      <c r="U605">
        <v>69.290000000000006</v>
      </c>
      <c r="V605">
        <v>60.16</v>
      </c>
      <c r="W605">
        <v>2</v>
      </c>
      <c r="X605" t="str">
        <f>TEXT(cleaneddata[[#This Row],[Order Date]],"mmm")</f>
        <v>Mar</v>
      </c>
      <c r="Y605">
        <f>cleaneddata[[#This Row],[Unit Price]]*cleaneddata[[#This Row],[Quantity]]*(1-cleaneddata[[#This Row],[Discount %]]/100)</f>
        <v>117.79300000000001</v>
      </c>
      <c r="Z605">
        <f>cleaneddata[[#This Row],[sales]]-cleaneddata[[#This Row],[Cost]]</f>
        <v>57.63300000000001</v>
      </c>
    </row>
    <row r="606" spans="1:26" x14ac:dyDescent="0.3">
      <c r="A606" t="s">
        <v>1706</v>
      </c>
      <c r="B606" s="1">
        <v>45772</v>
      </c>
      <c r="C606" t="s">
        <v>1707</v>
      </c>
      <c r="D606" t="s">
        <v>3165</v>
      </c>
      <c r="E606" s="1">
        <v>45773</v>
      </c>
      <c r="F606" t="s">
        <v>68</v>
      </c>
      <c r="G606" t="s">
        <v>66</v>
      </c>
      <c r="H606" t="s">
        <v>67</v>
      </c>
      <c r="I606" t="s">
        <v>2635</v>
      </c>
      <c r="J606" t="s">
        <v>2720</v>
      </c>
      <c r="K606" t="s">
        <v>25</v>
      </c>
      <c r="L606">
        <v>62</v>
      </c>
      <c r="M606">
        <v>1</v>
      </c>
      <c r="N606">
        <v>15</v>
      </c>
      <c r="O606" t="s">
        <v>350</v>
      </c>
      <c r="P606" t="s">
        <v>33</v>
      </c>
      <c r="Q606" t="s">
        <v>70</v>
      </c>
      <c r="R606" t="s">
        <v>62</v>
      </c>
      <c r="S606" t="s">
        <v>69</v>
      </c>
      <c r="T606">
        <v>5</v>
      </c>
      <c r="U606">
        <v>596.9</v>
      </c>
      <c r="V606">
        <v>411.16</v>
      </c>
      <c r="W606">
        <v>1</v>
      </c>
      <c r="X606" t="str">
        <f>TEXT(cleaneddata[[#This Row],[Order Date]],"mmm")</f>
        <v>Apr</v>
      </c>
      <c r="Y606">
        <f>cleaneddata[[#This Row],[Unit Price]]*cleaneddata[[#This Row],[Quantity]]*(1-cleaneddata[[#This Row],[Discount %]]/100)</f>
        <v>507.36499999999995</v>
      </c>
      <c r="Z606">
        <f>cleaneddata[[#This Row],[sales]]-cleaneddata[[#This Row],[Cost]]</f>
        <v>96.204999999999927</v>
      </c>
    </row>
    <row r="607" spans="1:26" x14ac:dyDescent="0.3">
      <c r="A607" t="s">
        <v>1708</v>
      </c>
      <c r="B607" s="1">
        <v>46109</v>
      </c>
      <c r="C607" t="s">
        <v>1709</v>
      </c>
      <c r="D607" t="s">
        <v>3164</v>
      </c>
      <c r="E607" s="1">
        <v>46115</v>
      </c>
      <c r="F607" t="s">
        <v>68</v>
      </c>
      <c r="G607" t="s">
        <v>66</v>
      </c>
      <c r="H607" t="s">
        <v>67</v>
      </c>
      <c r="I607" t="s">
        <v>2654</v>
      </c>
      <c r="J607" t="s">
        <v>2655</v>
      </c>
      <c r="K607" t="s">
        <v>25</v>
      </c>
      <c r="L607">
        <v>26</v>
      </c>
      <c r="M607">
        <v>1</v>
      </c>
      <c r="N607">
        <v>10</v>
      </c>
      <c r="O607" t="s">
        <v>1600</v>
      </c>
      <c r="P607" t="s">
        <v>33</v>
      </c>
      <c r="Q607" t="s">
        <v>117</v>
      </c>
      <c r="R607" t="s">
        <v>71</v>
      </c>
      <c r="S607" t="s">
        <v>69</v>
      </c>
      <c r="T607">
        <v>2</v>
      </c>
      <c r="U607">
        <v>150.33000000000001</v>
      </c>
      <c r="V607">
        <v>88.06</v>
      </c>
      <c r="W607">
        <v>6</v>
      </c>
      <c r="X607" t="str">
        <f>TEXT(cleaneddata[[#This Row],[Order Date]],"mmm")</f>
        <v>Mar</v>
      </c>
      <c r="Y607">
        <f>cleaneddata[[#This Row],[Unit Price]]*cleaneddata[[#This Row],[Quantity]]*(1-cleaneddata[[#This Row],[Discount %]]/100)</f>
        <v>135.29700000000003</v>
      </c>
      <c r="Z607">
        <f>cleaneddata[[#This Row],[sales]]-cleaneddata[[#This Row],[Cost]]</f>
        <v>47.237000000000023</v>
      </c>
    </row>
    <row r="608" spans="1:26" x14ac:dyDescent="0.3">
      <c r="A608" t="s">
        <v>1710</v>
      </c>
      <c r="B608" s="1">
        <v>46000</v>
      </c>
      <c r="C608" t="s">
        <v>1711</v>
      </c>
      <c r="D608" t="s">
        <v>3163</v>
      </c>
      <c r="E608" s="1">
        <v>46003</v>
      </c>
      <c r="F608" t="s">
        <v>140</v>
      </c>
      <c r="G608" t="s">
        <v>38</v>
      </c>
      <c r="H608" t="s">
        <v>139</v>
      </c>
      <c r="I608" t="s">
        <v>2634</v>
      </c>
      <c r="J608" t="s">
        <v>2650</v>
      </c>
      <c r="K608" t="s">
        <v>25</v>
      </c>
      <c r="L608">
        <v>39</v>
      </c>
      <c r="M608">
        <v>4</v>
      </c>
      <c r="N608">
        <v>15</v>
      </c>
      <c r="O608" t="s">
        <v>1712</v>
      </c>
      <c r="P608" t="s">
        <v>75</v>
      </c>
      <c r="Q608" t="s">
        <v>117</v>
      </c>
      <c r="R608" t="s">
        <v>43</v>
      </c>
      <c r="S608" t="s">
        <v>141</v>
      </c>
      <c r="T608">
        <v>2</v>
      </c>
      <c r="U608">
        <v>300.99</v>
      </c>
      <c r="V608">
        <v>741.26</v>
      </c>
      <c r="W608">
        <v>3</v>
      </c>
      <c r="X608" t="str">
        <f>TEXT(cleaneddata[[#This Row],[Order Date]],"mmm")</f>
        <v>Dec</v>
      </c>
      <c r="Y608">
        <f>cleaneddata[[#This Row],[Unit Price]]*cleaneddata[[#This Row],[Quantity]]*(1-cleaneddata[[#This Row],[Discount %]]/100)</f>
        <v>1023.366</v>
      </c>
      <c r="Z608">
        <f>cleaneddata[[#This Row],[sales]]-cleaneddata[[#This Row],[Cost]]</f>
        <v>282.10599999999999</v>
      </c>
    </row>
    <row r="609" spans="1:26" x14ac:dyDescent="0.3">
      <c r="A609" t="s">
        <v>1713</v>
      </c>
      <c r="B609" s="1">
        <v>45397</v>
      </c>
      <c r="C609" t="s">
        <v>1714</v>
      </c>
      <c r="D609" t="s">
        <v>3162</v>
      </c>
      <c r="E609" s="1">
        <v>45400</v>
      </c>
      <c r="F609" t="s">
        <v>56</v>
      </c>
      <c r="G609" t="s">
        <v>54</v>
      </c>
      <c r="H609" t="s">
        <v>55</v>
      </c>
      <c r="I609" t="s">
        <v>2625</v>
      </c>
      <c r="J609" t="s">
        <v>2651</v>
      </c>
      <c r="K609" t="s">
        <v>52</v>
      </c>
      <c r="L609">
        <v>32</v>
      </c>
      <c r="M609">
        <v>4</v>
      </c>
      <c r="N609">
        <v>5</v>
      </c>
      <c r="O609" t="s">
        <v>1715</v>
      </c>
      <c r="P609" t="s">
        <v>33</v>
      </c>
      <c r="Q609" t="s">
        <v>42</v>
      </c>
      <c r="R609" t="s">
        <v>71</v>
      </c>
      <c r="S609" t="s">
        <v>57</v>
      </c>
      <c r="T609">
        <v>3</v>
      </c>
      <c r="U609">
        <v>568.14</v>
      </c>
      <c r="V609">
        <v>1136.75</v>
      </c>
      <c r="W609">
        <v>3</v>
      </c>
      <c r="X609" t="str">
        <f>TEXT(cleaneddata[[#This Row],[Order Date]],"mmm")</f>
        <v>Apr</v>
      </c>
      <c r="Y609">
        <f>cleaneddata[[#This Row],[Unit Price]]*cleaneddata[[#This Row],[Quantity]]*(1-cleaneddata[[#This Row],[Discount %]]/100)</f>
        <v>2158.9319999999998</v>
      </c>
      <c r="Z609">
        <f>cleaneddata[[#This Row],[sales]]-cleaneddata[[#This Row],[Cost]]</f>
        <v>1022.1819999999998</v>
      </c>
    </row>
    <row r="610" spans="1:26" x14ac:dyDescent="0.3">
      <c r="A610" t="s">
        <v>1716</v>
      </c>
      <c r="B610" s="1">
        <v>45850</v>
      </c>
      <c r="C610" t="s">
        <v>1717</v>
      </c>
      <c r="D610" t="s">
        <v>3161</v>
      </c>
      <c r="E610" s="1">
        <v>45854</v>
      </c>
      <c r="F610" t="s">
        <v>40</v>
      </c>
      <c r="G610" t="s">
        <v>38</v>
      </c>
      <c r="H610" t="s">
        <v>39</v>
      </c>
      <c r="I610" t="s">
        <v>2633</v>
      </c>
      <c r="J610" t="s">
        <v>2636</v>
      </c>
      <c r="K610" t="s">
        <v>25</v>
      </c>
      <c r="L610">
        <v>33</v>
      </c>
      <c r="M610">
        <v>2</v>
      </c>
      <c r="N610">
        <v>5</v>
      </c>
      <c r="O610" t="s">
        <v>204</v>
      </c>
      <c r="P610" t="s">
        <v>75</v>
      </c>
      <c r="Q610" t="s">
        <v>58</v>
      </c>
      <c r="R610" t="s">
        <v>43</v>
      </c>
      <c r="S610" t="s">
        <v>41</v>
      </c>
      <c r="T610">
        <v>3</v>
      </c>
      <c r="U610">
        <v>682.29</v>
      </c>
      <c r="V610">
        <v>980.23</v>
      </c>
      <c r="W610">
        <v>4</v>
      </c>
      <c r="X610" t="str">
        <f>TEXT(cleaneddata[[#This Row],[Order Date]],"mmm")</f>
        <v>Jul</v>
      </c>
      <c r="Y610">
        <f>cleaneddata[[#This Row],[Unit Price]]*cleaneddata[[#This Row],[Quantity]]*(1-cleaneddata[[#This Row],[Discount %]]/100)</f>
        <v>1296.3509999999999</v>
      </c>
      <c r="Z610">
        <f>cleaneddata[[#This Row],[sales]]-cleaneddata[[#This Row],[Cost]]</f>
        <v>316.12099999999987</v>
      </c>
    </row>
    <row r="611" spans="1:26" x14ac:dyDescent="0.3">
      <c r="A611" t="s">
        <v>1718</v>
      </c>
      <c r="B611" s="1">
        <v>45332</v>
      </c>
      <c r="C611" t="s">
        <v>1719</v>
      </c>
      <c r="D611" t="s">
        <v>3160</v>
      </c>
      <c r="E611" s="1">
        <v>45336</v>
      </c>
      <c r="F611" t="s">
        <v>128</v>
      </c>
      <c r="G611" t="s">
        <v>98</v>
      </c>
      <c r="H611" t="s">
        <v>127</v>
      </c>
      <c r="I611" t="s">
        <v>2622</v>
      </c>
      <c r="J611" t="s">
        <v>2686</v>
      </c>
      <c r="K611" t="s">
        <v>52</v>
      </c>
      <c r="L611">
        <v>23</v>
      </c>
      <c r="M611">
        <v>3</v>
      </c>
      <c r="N611">
        <v>20</v>
      </c>
      <c r="O611" t="s">
        <v>1720</v>
      </c>
      <c r="P611" t="s">
        <v>44</v>
      </c>
      <c r="Q611" t="s">
        <v>31</v>
      </c>
      <c r="R611" t="s">
        <v>71</v>
      </c>
      <c r="S611" t="s">
        <v>129</v>
      </c>
      <c r="T611">
        <v>4</v>
      </c>
      <c r="U611">
        <v>43.71</v>
      </c>
      <c r="V611">
        <v>58.27</v>
      </c>
      <c r="W611">
        <v>4</v>
      </c>
      <c r="X611" t="str">
        <f>TEXT(cleaneddata[[#This Row],[Order Date]],"mmm")</f>
        <v>Feb</v>
      </c>
      <c r="Y611">
        <f>cleaneddata[[#This Row],[Unit Price]]*cleaneddata[[#This Row],[Quantity]]*(1-cleaneddata[[#This Row],[Discount %]]/100)</f>
        <v>104.904</v>
      </c>
      <c r="Z611">
        <f>cleaneddata[[#This Row],[sales]]-cleaneddata[[#This Row],[Cost]]</f>
        <v>46.633999999999993</v>
      </c>
    </row>
    <row r="612" spans="1:26" x14ac:dyDescent="0.3">
      <c r="A612" t="s">
        <v>1721</v>
      </c>
      <c r="B612" s="1">
        <v>45778</v>
      </c>
      <c r="C612" t="s">
        <v>1722</v>
      </c>
      <c r="D612" t="s">
        <v>3159</v>
      </c>
      <c r="E612" s="1">
        <v>45781</v>
      </c>
      <c r="F612" t="s">
        <v>29</v>
      </c>
      <c r="G612" t="s">
        <v>27</v>
      </c>
      <c r="H612" t="s">
        <v>28</v>
      </c>
      <c r="I612" t="s">
        <v>2668</v>
      </c>
      <c r="J612" t="s">
        <v>2682</v>
      </c>
      <c r="K612" t="s">
        <v>25</v>
      </c>
      <c r="L612">
        <v>23</v>
      </c>
      <c r="M612">
        <v>4</v>
      </c>
      <c r="N612">
        <v>30</v>
      </c>
      <c r="O612" t="s">
        <v>1723</v>
      </c>
      <c r="P612" t="s">
        <v>75</v>
      </c>
      <c r="Q612" t="s">
        <v>42</v>
      </c>
      <c r="R612" t="s">
        <v>71</v>
      </c>
      <c r="S612" t="s">
        <v>30</v>
      </c>
      <c r="T612">
        <v>1</v>
      </c>
      <c r="U612">
        <v>314.61</v>
      </c>
      <c r="V612">
        <v>693.34</v>
      </c>
      <c r="W612">
        <v>3</v>
      </c>
      <c r="X612" t="str">
        <f>TEXT(cleaneddata[[#This Row],[Order Date]],"mmm")</f>
        <v>May</v>
      </c>
      <c r="Y612">
        <f>cleaneddata[[#This Row],[Unit Price]]*cleaneddata[[#This Row],[Quantity]]*(1-cleaneddata[[#This Row],[Discount %]]/100)</f>
        <v>880.90800000000002</v>
      </c>
      <c r="Z612">
        <f>cleaneddata[[#This Row],[sales]]-cleaneddata[[#This Row],[Cost]]</f>
        <v>187.56799999999998</v>
      </c>
    </row>
    <row r="613" spans="1:26" x14ac:dyDescent="0.3">
      <c r="A613" t="s">
        <v>1724</v>
      </c>
      <c r="B613" s="1">
        <v>45870</v>
      </c>
      <c r="C613" t="s">
        <v>1725</v>
      </c>
      <c r="D613" t="s">
        <v>3158</v>
      </c>
      <c r="E613" s="1">
        <v>45872</v>
      </c>
      <c r="F613" t="s">
        <v>56</v>
      </c>
      <c r="G613" t="s">
        <v>54</v>
      </c>
      <c r="H613" t="s">
        <v>55</v>
      </c>
      <c r="I613" t="s">
        <v>2632</v>
      </c>
      <c r="J613" t="s">
        <v>2646</v>
      </c>
      <c r="K613" t="s">
        <v>52</v>
      </c>
      <c r="L613">
        <v>25</v>
      </c>
      <c r="M613">
        <v>3</v>
      </c>
      <c r="N613">
        <v>15</v>
      </c>
      <c r="O613" t="s">
        <v>204</v>
      </c>
      <c r="P613" t="s">
        <v>75</v>
      </c>
      <c r="Q613" t="s">
        <v>70</v>
      </c>
      <c r="R613" t="s">
        <v>62</v>
      </c>
      <c r="S613" t="s">
        <v>57</v>
      </c>
      <c r="T613">
        <v>2</v>
      </c>
      <c r="U613">
        <v>709.29</v>
      </c>
      <c r="V613">
        <v>1055.6500000000001</v>
      </c>
      <c r="W613">
        <v>2</v>
      </c>
      <c r="X613" t="str">
        <f>TEXT(cleaneddata[[#This Row],[Order Date]],"mmm")</f>
        <v>Aug</v>
      </c>
      <c r="Y613">
        <f>cleaneddata[[#This Row],[Unit Price]]*cleaneddata[[#This Row],[Quantity]]*(1-cleaneddata[[#This Row],[Discount %]]/100)</f>
        <v>1808.6895</v>
      </c>
      <c r="Z613">
        <f>cleaneddata[[#This Row],[sales]]-cleaneddata[[#This Row],[Cost]]</f>
        <v>753.03949999999986</v>
      </c>
    </row>
    <row r="614" spans="1:26" x14ac:dyDescent="0.3">
      <c r="A614" t="s">
        <v>1726</v>
      </c>
      <c r="B614" s="1">
        <v>45706</v>
      </c>
      <c r="C614" t="s">
        <v>1727</v>
      </c>
      <c r="D614" t="s">
        <v>3157</v>
      </c>
      <c r="E614" s="1">
        <v>45708</v>
      </c>
      <c r="F614" t="s">
        <v>29</v>
      </c>
      <c r="G614" t="s">
        <v>27</v>
      </c>
      <c r="H614" t="s">
        <v>28</v>
      </c>
      <c r="I614" t="s">
        <v>2625</v>
      </c>
      <c r="J614" t="s">
        <v>2651</v>
      </c>
      <c r="K614" t="s">
        <v>25</v>
      </c>
      <c r="L614">
        <v>44</v>
      </c>
      <c r="M614">
        <v>1</v>
      </c>
      <c r="N614">
        <v>25</v>
      </c>
      <c r="O614" t="s">
        <v>1728</v>
      </c>
      <c r="P614" t="s">
        <v>75</v>
      </c>
      <c r="Q614" t="s">
        <v>117</v>
      </c>
      <c r="R614" t="s">
        <v>71</v>
      </c>
      <c r="S614" t="s">
        <v>30</v>
      </c>
      <c r="T614">
        <v>1</v>
      </c>
      <c r="U614">
        <v>822.6</v>
      </c>
      <c r="V614">
        <v>405.25</v>
      </c>
      <c r="W614">
        <v>2</v>
      </c>
      <c r="X614" t="str">
        <f>TEXT(cleaneddata[[#This Row],[Order Date]],"mmm")</f>
        <v>Feb</v>
      </c>
      <c r="Y614">
        <f>cleaneddata[[#This Row],[Unit Price]]*cleaneddata[[#This Row],[Quantity]]*(1-cleaneddata[[#This Row],[Discount %]]/100)</f>
        <v>616.95000000000005</v>
      </c>
      <c r="Z614">
        <f>cleaneddata[[#This Row],[sales]]-cleaneddata[[#This Row],[Cost]]</f>
        <v>211.70000000000005</v>
      </c>
    </row>
    <row r="615" spans="1:26" x14ac:dyDescent="0.3">
      <c r="A615" t="s">
        <v>1729</v>
      </c>
      <c r="B615" s="1">
        <v>45388</v>
      </c>
      <c r="C615" t="s">
        <v>1730</v>
      </c>
      <c r="D615" t="s">
        <v>3156</v>
      </c>
      <c r="E615" s="1">
        <v>45390</v>
      </c>
      <c r="F615" t="s">
        <v>56</v>
      </c>
      <c r="G615" t="s">
        <v>54</v>
      </c>
      <c r="H615" t="s">
        <v>55</v>
      </c>
      <c r="I615" t="s">
        <v>2625</v>
      </c>
      <c r="J615" t="s">
        <v>2651</v>
      </c>
      <c r="K615" t="s">
        <v>52</v>
      </c>
      <c r="L615">
        <v>50</v>
      </c>
      <c r="M615">
        <v>3</v>
      </c>
      <c r="N615">
        <v>20</v>
      </c>
      <c r="O615" t="s">
        <v>1731</v>
      </c>
      <c r="P615" t="s">
        <v>33</v>
      </c>
      <c r="Q615" t="s">
        <v>42</v>
      </c>
      <c r="R615" t="s">
        <v>62</v>
      </c>
      <c r="S615" t="s">
        <v>57</v>
      </c>
      <c r="T615">
        <v>4</v>
      </c>
      <c r="U615">
        <v>486.54</v>
      </c>
      <c r="V615">
        <v>926.55</v>
      </c>
      <c r="W615">
        <v>2</v>
      </c>
      <c r="X615" t="str">
        <f>TEXT(cleaneddata[[#This Row],[Order Date]],"mmm")</f>
        <v>Apr</v>
      </c>
      <c r="Y615">
        <f>cleaneddata[[#This Row],[Unit Price]]*cleaneddata[[#This Row],[Quantity]]*(1-cleaneddata[[#This Row],[Discount %]]/100)</f>
        <v>1167.6960000000001</v>
      </c>
      <c r="Z615">
        <f>cleaneddata[[#This Row],[sales]]-cleaneddata[[#This Row],[Cost]]</f>
        <v>241.14600000000019</v>
      </c>
    </row>
    <row r="616" spans="1:26" x14ac:dyDescent="0.3">
      <c r="A616" t="s">
        <v>1732</v>
      </c>
      <c r="B616" s="1">
        <v>45914</v>
      </c>
      <c r="C616" t="s">
        <v>1733</v>
      </c>
      <c r="D616" t="s">
        <v>3155</v>
      </c>
      <c r="E616" s="1">
        <v>45918</v>
      </c>
      <c r="F616" t="s">
        <v>115</v>
      </c>
      <c r="G616" t="s">
        <v>66</v>
      </c>
      <c r="H616" t="s">
        <v>114</v>
      </c>
      <c r="I616" t="s">
        <v>2668</v>
      </c>
      <c r="J616" t="s">
        <v>2682</v>
      </c>
      <c r="K616" t="s">
        <v>25</v>
      </c>
      <c r="L616">
        <v>45</v>
      </c>
      <c r="M616">
        <v>4</v>
      </c>
      <c r="N616">
        <v>0</v>
      </c>
      <c r="O616" t="s">
        <v>1084</v>
      </c>
      <c r="P616" t="s">
        <v>33</v>
      </c>
      <c r="Q616" t="s">
        <v>70</v>
      </c>
      <c r="R616" t="s">
        <v>71</v>
      </c>
      <c r="S616" t="s">
        <v>116</v>
      </c>
      <c r="T616">
        <v>5</v>
      </c>
      <c r="U616">
        <v>489.09</v>
      </c>
      <c r="V616">
        <v>1241.3</v>
      </c>
      <c r="W616">
        <v>4</v>
      </c>
      <c r="X616" t="str">
        <f>TEXT(cleaneddata[[#This Row],[Order Date]],"mmm")</f>
        <v>Sep</v>
      </c>
      <c r="Y616">
        <f>cleaneddata[[#This Row],[Unit Price]]*cleaneddata[[#This Row],[Quantity]]*(1-cleaneddata[[#This Row],[Discount %]]/100)</f>
        <v>1956.36</v>
      </c>
      <c r="Z616">
        <f>cleaneddata[[#This Row],[sales]]-cleaneddata[[#This Row],[Cost]]</f>
        <v>715.06</v>
      </c>
    </row>
    <row r="617" spans="1:26" x14ac:dyDescent="0.3">
      <c r="A617" t="s">
        <v>1734</v>
      </c>
      <c r="B617" s="1">
        <v>45850</v>
      </c>
      <c r="C617" t="s">
        <v>1735</v>
      </c>
      <c r="D617" t="s">
        <v>3154</v>
      </c>
      <c r="E617" s="1">
        <v>45855</v>
      </c>
      <c r="F617" t="s">
        <v>29</v>
      </c>
      <c r="G617" t="s">
        <v>27</v>
      </c>
      <c r="H617" t="s">
        <v>28</v>
      </c>
      <c r="I617" t="s">
        <v>2661</v>
      </c>
      <c r="J617" t="s">
        <v>2662</v>
      </c>
      <c r="K617" t="s">
        <v>25</v>
      </c>
      <c r="L617">
        <v>51</v>
      </c>
      <c r="M617">
        <v>3</v>
      </c>
      <c r="N617">
        <v>20</v>
      </c>
      <c r="O617" t="s">
        <v>1736</v>
      </c>
      <c r="P617" t="s">
        <v>33</v>
      </c>
      <c r="Q617" t="s">
        <v>31</v>
      </c>
      <c r="R617" t="s">
        <v>71</v>
      </c>
      <c r="S617" t="s">
        <v>30</v>
      </c>
      <c r="T617">
        <v>4</v>
      </c>
      <c r="U617">
        <v>544.99</v>
      </c>
      <c r="V617">
        <v>692.35</v>
      </c>
      <c r="W617">
        <v>5</v>
      </c>
      <c r="X617" t="str">
        <f>TEXT(cleaneddata[[#This Row],[Order Date]],"mmm")</f>
        <v>Jul</v>
      </c>
      <c r="Y617">
        <f>cleaneddata[[#This Row],[Unit Price]]*cleaneddata[[#This Row],[Quantity]]*(1-cleaneddata[[#This Row],[Discount %]]/100)</f>
        <v>1307.9760000000001</v>
      </c>
      <c r="Z617">
        <f>cleaneddata[[#This Row],[sales]]-cleaneddata[[#This Row],[Cost]]</f>
        <v>615.62600000000009</v>
      </c>
    </row>
    <row r="618" spans="1:26" x14ac:dyDescent="0.3">
      <c r="A618" t="s">
        <v>1737</v>
      </c>
      <c r="B618" s="1">
        <v>45832</v>
      </c>
      <c r="C618" t="s">
        <v>1738</v>
      </c>
      <c r="D618" t="s">
        <v>3153</v>
      </c>
      <c r="E618" s="1">
        <v>45839</v>
      </c>
      <c r="F618" t="s">
        <v>29</v>
      </c>
      <c r="G618" t="s">
        <v>27</v>
      </c>
      <c r="H618" t="s">
        <v>28</v>
      </c>
      <c r="I618" t="s">
        <v>2672</v>
      </c>
      <c r="J618" t="s">
        <v>2716</v>
      </c>
      <c r="K618" t="s">
        <v>25</v>
      </c>
      <c r="L618">
        <v>31</v>
      </c>
      <c r="M618">
        <v>3</v>
      </c>
      <c r="N618">
        <v>0</v>
      </c>
      <c r="O618" t="s">
        <v>1739</v>
      </c>
      <c r="P618" t="s">
        <v>75</v>
      </c>
      <c r="Q618" t="s">
        <v>117</v>
      </c>
      <c r="R618" t="s">
        <v>62</v>
      </c>
      <c r="S618" t="s">
        <v>30</v>
      </c>
      <c r="T618">
        <v>1</v>
      </c>
      <c r="U618">
        <v>661.78</v>
      </c>
      <c r="V618">
        <v>1259.3599999999999</v>
      </c>
      <c r="W618">
        <v>7</v>
      </c>
      <c r="X618" t="str">
        <f>TEXT(cleaneddata[[#This Row],[Order Date]],"mmm")</f>
        <v>Jun</v>
      </c>
      <c r="Y618">
        <f>cleaneddata[[#This Row],[Unit Price]]*cleaneddata[[#This Row],[Quantity]]*(1-cleaneddata[[#This Row],[Discount %]]/100)</f>
        <v>1985.34</v>
      </c>
      <c r="Z618">
        <f>cleaneddata[[#This Row],[sales]]-cleaneddata[[#This Row],[Cost]]</f>
        <v>725.98</v>
      </c>
    </row>
    <row r="619" spans="1:26" x14ac:dyDescent="0.3">
      <c r="A619" t="s">
        <v>1740</v>
      </c>
      <c r="B619" s="1">
        <v>45895</v>
      </c>
      <c r="C619" t="s">
        <v>1741</v>
      </c>
      <c r="D619" t="s">
        <v>3152</v>
      </c>
      <c r="E619" s="1">
        <v>45898</v>
      </c>
      <c r="F619" t="s">
        <v>29</v>
      </c>
      <c r="G619" t="s">
        <v>27</v>
      </c>
      <c r="H619" t="s">
        <v>28</v>
      </c>
      <c r="I619" t="s">
        <v>2634</v>
      </c>
      <c r="J619" t="s">
        <v>2650</v>
      </c>
      <c r="K619" t="s">
        <v>25</v>
      </c>
      <c r="L619">
        <v>63</v>
      </c>
      <c r="M619">
        <v>2</v>
      </c>
      <c r="N619">
        <v>30</v>
      </c>
      <c r="O619" t="s">
        <v>1531</v>
      </c>
      <c r="P619" t="s">
        <v>44</v>
      </c>
      <c r="Q619" t="s">
        <v>70</v>
      </c>
      <c r="R619" t="s">
        <v>71</v>
      </c>
      <c r="S619" t="s">
        <v>30</v>
      </c>
      <c r="T619">
        <v>1</v>
      </c>
      <c r="U619">
        <v>693.02</v>
      </c>
      <c r="V619">
        <v>544.11</v>
      </c>
      <c r="W619">
        <v>3</v>
      </c>
      <c r="X619" t="str">
        <f>TEXT(cleaneddata[[#This Row],[Order Date]],"mmm")</f>
        <v>Aug</v>
      </c>
      <c r="Y619">
        <f>cleaneddata[[#This Row],[Unit Price]]*cleaneddata[[#This Row],[Quantity]]*(1-cleaneddata[[#This Row],[Discount %]]/100)</f>
        <v>970.22799999999995</v>
      </c>
      <c r="Z619">
        <f>cleaneddata[[#This Row],[sales]]-cleaneddata[[#This Row],[Cost]]</f>
        <v>426.11799999999994</v>
      </c>
    </row>
    <row r="620" spans="1:26" x14ac:dyDescent="0.3">
      <c r="A620" t="s">
        <v>1742</v>
      </c>
      <c r="B620" s="1">
        <v>45890</v>
      </c>
      <c r="C620" t="s">
        <v>1743</v>
      </c>
      <c r="D620" t="s">
        <v>3151</v>
      </c>
      <c r="E620" s="1">
        <v>45893</v>
      </c>
      <c r="F620" t="s">
        <v>140</v>
      </c>
      <c r="G620" t="s">
        <v>38</v>
      </c>
      <c r="H620" t="s">
        <v>139</v>
      </c>
      <c r="I620" t="s">
        <v>2639</v>
      </c>
      <c r="J620" t="s">
        <v>2704</v>
      </c>
      <c r="K620" t="s">
        <v>25</v>
      </c>
      <c r="L620">
        <v>50</v>
      </c>
      <c r="M620">
        <v>3</v>
      </c>
      <c r="N620">
        <v>5</v>
      </c>
      <c r="O620" t="s">
        <v>1744</v>
      </c>
      <c r="P620" t="s">
        <v>33</v>
      </c>
      <c r="Q620" t="s">
        <v>70</v>
      </c>
      <c r="R620" t="s">
        <v>32</v>
      </c>
      <c r="S620" t="s">
        <v>141</v>
      </c>
      <c r="T620">
        <v>4</v>
      </c>
      <c r="U620">
        <v>868.75</v>
      </c>
      <c r="V620">
        <v>1459.81</v>
      </c>
      <c r="W620">
        <v>3</v>
      </c>
      <c r="X620" t="str">
        <f>TEXT(cleaneddata[[#This Row],[Order Date]],"mmm")</f>
        <v>Aug</v>
      </c>
      <c r="Y620">
        <f>cleaneddata[[#This Row],[Unit Price]]*cleaneddata[[#This Row],[Quantity]]*(1-cleaneddata[[#This Row],[Discount %]]/100)</f>
        <v>2475.9375</v>
      </c>
      <c r="Z620">
        <f>cleaneddata[[#This Row],[sales]]-cleaneddata[[#This Row],[Cost]]</f>
        <v>1016.1275000000001</v>
      </c>
    </row>
    <row r="621" spans="1:26" x14ac:dyDescent="0.3">
      <c r="A621" t="s">
        <v>1745</v>
      </c>
      <c r="B621" s="1">
        <v>45309</v>
      </c>
      <c r="C621" t="s">
        <v>1746</v>
      </c>
      <c r="D621" t="s">
        <v>3150</v>
      </c>
      <c r="E621" s="1">
        <v>45315</v>
      </c>
      <c r="F621" t="s">
        <v>122</v>
      </c>
      <c r="G621" t="s">
        <v>120</v>
      </c>
      <c r="H621" t="s">
        <v>121</v>
      </c>
      <c r="I621" t="s">
        <v>2625</v>
      </c>
      <c r="J621" t="s">
        <v>2703</v>
      </c>
      <c r="K621" t="s">
        <v>52</v>
      </c>
      <c r="L621">
        <v>63</v>
      </c>
      <c r="M621">
        <v>1</v>
      </c>
      <c r="N621">
        <v>30</v>
      </c>
      <c r="O621" t="s">
        <v>440</v>
      </c>
      <c r="P621" t="s">
        <v>33</v>
      </c>
      <c r="Q621" t="s">
        <v>70</v>
      </c>
      <c r="R621" t="s">
        <v>62</v>
      </c>
      <c r="S621" t="s">
        <v>123</v>
      </c>
      <c r="T621">
        <v>3</v>
      </c>
      <c r="U621">
        <v>974.08</v>
      </c>
      <c r="V621">
        <v>501.45</v>
      </c>
      <c r="W621">
        <v>6</v>
      </c>
      <c r="X621" t="str">
        <f>TEXT(cleaneddata[[#This Row],[Order Date]],"mmm")</f>
        <v>Jan</v>
      </c>
      <c r="Y621">
        <f>cleaneddata[[#This Row],[Unit Price]]*cleaneddata[[#This Row],[Quantity]]*(1-cleaneddata[[#This Row],[Discount %]]/100)</f>
        <v>681.85599999999999</v>
      </c>
      <c r="Z621">
        <f>cleaneddata[[#This Row],[sales]]-cleaneddata[[#This Row],[Cost]]</f>
        <v>180.40600000000001</v>
      </c>
    </row>
    <row r="622" spans="1:26" x14ac:dyDescent="0.3">
      <c r="A622" t="s">
        <v>1747</v>
      </c>
      <c r="B622" s="1">
        <v>45583</v>
      </c>
      <c r="C622" t="s">
        <v>1748</v>
      </c>
      <c r="D622" t="s">
        <v>3149</v>
      </c>
      <c r="E622" s="1">
        <v>45587</v>
      </c>
      <c r="F622" t="s">
        <v>115</v>
      </c>
      <c r="G622" t="s">
        <v>66</v>
      </c>
      <c r="H622" t="s">
        <v>114</v>
      </c>
      <c r="I622" t="s">
        <v>2639</v>
      </c>
      <c r="J622" t="s">
        <v>2687</v>
      </c>
      <c r="K622" t="s">
        <v>52</v>
      </c>
      <c r="L622">
        <v>40</v>
      </c>
      <c r="M622">
        <v>3</v>
      </c>
      <c r="N622">
        <v>15</v>
      </c>
      <c r="O622" t="s">
        <v>490</v>
      </c>
      <c r="P622" t="s">
        <v>75</v>
      </c>
      <c r="Q622" t="s">
        <v>58</v>
      </c>
      <c r="R622" t="s">
        <v>43</v>
      </c>
      <c r="S622" t="s">
        <v>116</v>
      </c>
      <c r="T622">
        <v>3</v>
      </c>
      <c r="U622">
        <v>404.02</v>
      </c>
      <c r="V622">
        <v>683.24</v>
      </c>
      <c r="W622">
        <v>4</v>
      </c>
      <c r="X622" t="str">
        <f>TEXT(cleaneddata[[#This Row],[Order Date]],"mmm")</f>
        <v>Oct</v>
      </c>
      <c r="Y622">
        <f>cleaneddata[[#This Row],[Unit Price]]*cleaneddata[[#This Row],[Quantity]]*(1-cleaneddata[[#This Row],[Discount %]]/100)</f>
        <v>1030.251</v>
      </c>
      <c r="Z622">
        <f>cleaneddata[[#This Row],[sales]]-cleaneddata[[#This Row],[Cost]]</f>
        <v>347.01099999999997</v>
      </c>
    </row>
    <row r="623" spans="1:26" x14ac:dyDescent="0.3">
      <c r="A623" t="s">
        <v>1749</v>
      </c>
      <c r="B623" s="1">
        <v>46045</v>
      </c>
      <c r="C623" t="s">
        <v>1179</v>
      </c>
      <c r="D623" t="s">
        <v>3148</v>
      </c>
      <c r="E623" s="1">
        <v>46050</v>
      </c>
      <c r="F623" t="s">
        <v>29</v>
      </c>
      <c r="G623" t="s">
        <v>27</v>
      </c>
      <c r="H623" t="s">
        <v>28</v>
      </c>
      <c r="I623" t="s">
        <v>2631</v>
      </c>
      <c r="J623" t="s">
        <v>2694</v>
      </c>
      <c r="K623" t="s">
        <v>25</v>
      </c>
      <c r="L623">
        <v>24</v>
      </c>
      <c r="M623">
        <v>3</v>
      </c>
      <c r="N623">
        <v>5</v>
      </c>
      <c r="O623" t="s">
        <v>484</v>
      </c>
      <c r="P623" t="s">
        <v>44</v>
      </c>
      <c r="Q623" t="s">
        <v>70</v>
      </c>
      <c r="R623" t="s">
        <v>62</v>
      </c>
      <c r="S623" t="s">
        <v>30</v>
      </c>
      <c r="T623">
        <v>1</v>
      </c>
      <c r="U623">
        <v>282.52999999999997</v>
      </c>
      <c r="V623">
        <v>648.46</v>
      </c>
      <c r="W623">
        <v>5</v>
      </c>
      <c r="X623" t="str">
        <f>TEXT(cleaneddata[[#This Row],[Order Date]],"mmm")</f>
        <v>Jan</v>
      </c>
      <c r="Y623">
        <f>cleaneddata[[#This Row],[Unit Price]]*cleaneddata[[#This Row],[Quantity]]*(1-cleaneddata[[#This Row],[Discount %]]/100)</f>
        <v>805.21049999999991</v>
      </c>
      <c r="Z623">
        <f>cleaneddata[[#This Row],[sales]]-cleaneddata[[#This Row],[Cost]]</f>
        <v>156.75049999999987</v>
      </c>
    </row>
    <row r="624" spans="1:26" x14ac:dyDescent="0.3">
      <c r="A624" t="s">
        <v>1750</v>
      </c>
      <c r="B624" s="1">
        <v>45856</v>
      </c>
      <c r="C624" t="s">
        <v>1262</v>
      </c>
      <c r="D624" t="s">
        <v>3147</v>
      </c>
      <c r="E624" s="1">
        <v>45860</v>
      </c>
      <c r="F624" t="s">
        <v>56</v>
      </c>
      <c r="G624" t="s">
        <v>54</v>
      </c>
      <c r="H624" t="s">
        <v>55</v>
      </c>
      <c r="I624" t="s">
        <v>2639</v>
      </c>
      <c r="J624" t="s">
        <v>2704</v>
      </c>
      <c r="K624" t="s">
        <v>52</v>
      </c>
      <c r="L624">
        <v>32</v>
      </c>
      <c r="M624">
        <v>3</v>
      </c>
      <c r="N624">
        <v>0</v>
      </c>
      <c r="O624" t="s">
        <v>1751</v>
      </c>
      <c r="P624" t="s">
        <v>44</v>
      </c>
      <c r="Q624" t="s">
        <v>117</v>
      </c>
      <c r="R624" t="s">
        <v>62</v>
      </c>
      <c r="S624" t="s">
        <v>57</v>
      </c>
      <c r="T624">
        <v>2</v>
      </c>
      <c r="U624">
        <v>140.19</v>
      </c>
      <c r="V624">
        <v>246.74</v>
      </c>
      <c r="W624">
        <v>4</v>
      </c>
      <c r="X624" t="str">
        <f>TEXT(cleaneddata[[#This Row],[Order Date]],"mmm")</f>
        <v>Jul</v>
      </c>
      <c r="Y624">
        <f>cleaneddata[[#This Row],[Unit Price]]*cleaneddata[[#This Row],[Quantity]]*(1-cleaneddata[[#This Row],[Discount %]]/100)</f>
        <v>420.57</v>
      </c>
      <c r="Z624">
        <f>cleaneddata[[#This Row],[sales]]-cleaneddata[[#This Row],[Cost]]</f>
        <v>173.82999999999998</v>
      </c>
    </row>
    <row r="625" spans="1:26" x14ac:dyDescent="0.3">
      <c r="A625" t="s">
        <v>1752</v>
      </c>
      <c r="B625" s="1">
        <v>45892</v>
      </c>
      <c r="C625" t="s">
        <v>1753</v>
      </c>
      <c r="D625" t="s">
        <v>3146</v>
      </c>
      <c r="E625" s="1">
        <v>45898</v>
      </c>
      <c r="F625" t="s">
        <v>122</v>
      </c>
      <c r="G625" t="s">
        <v>120</v>
      </c>
      <c r="H625" t="s">
        <v>121</v>
      </c>
      <c r="I625" t="s">
        <v>2633</v>
      </c>
      <c r="J625" t="s">
        <v>2636</v>
      </c>
      <c r="K625" t="s">
        <v>25</v>
      </c>
      <c r="L625">
        <v>29</v>
      </c>
      <c r="M625">
        <v>2</v>
      </c>
      <c r="N625">
        <v>5</v>
      </c>
      <c r="O625" t="s">
        <v>1754</v>
      </c>
      <c r="P625" t="s">
        <v>33</v>
      </c>
      <c r="Q625" t="s">
        <v>117</v>
      </c>
      <c r="R625" t="s">
        <v>62</v>
      </c>
      <c r="S625" t="s">
        <v>123</v>
      </c>
      <c r="T625">
        <v>4</v>
      </c>
      <c r="U625">
        <v>185.6</v>
      </c>
      <c r="V625">
        <v>186.48</v>
      </c>
      <c r="W625">
        <v>6</v>
      </c>
      <c r="X625" t="str">
        <f>TEXT(cleaneddata[[#This Row],[Order Date]],"mmm")</f>
        <v>Aug</v>
      </c>
      <c r="Y625">
        <f>cleaneddata[[#This Row],[Unit Price]]*cleaneddata[[#This Row],[Quantity]]*(1-cleaneddata[[#This Row],[Discount %]]/100)</f>
        <v>352.64</v>
      </c>
      <c r="Z625">
        <f>cleaneddata[[#This Row],[sales]]-cleaneddata[[#This Row],[Cost]]</f>
        <v>166.16</v>
      </c>
    </row>
    <row r="626" spans="1:26" x14ac:dyDescent="0.3">
      <c r="A626" t="s">
        <v>1755</v>
      </c>
      <c r="B626" s="1">
        <v>45468</v>
      </c>
      <c r="C626" t="s">
        <v>1756</v>
      </c>
      <c r="D626" t="s">
        <v>3145</v>
      </c>
      <c r="E626" s="1">
        <v>45475</v>
      </c>
      <c r="F626" t="s">
        <v>29</v>
      </c>
      <c r="G626" t="s">
        <v>27</v>
      </c>
      <c r="H626" t="s">
        <v>28</v>
      </c>
      <c r="I626" t="s">
        <v>2659</v>
      </c>
      <c r="J626" t="s">
        <v>2660</v>
      </c>
      <c r="K626" t="s">
        <v>25</v>
      </c>
      <c r="L626">
        <v>25</v>
      </c>
      <c r="M626">
        <v>4</v>
      </c>
      <c r="N626">
        <v>30</v>
      </c>
      <c r="O626" t="s">
        <v>1757</v>
      </c>
      <c r="P626" t="s">
        <v>75</v>
      </c>
      <c r="Q626" t="s">
        <v>58</v>
      </c>
      <c r="R626" t="s">
        <v>62</v>
      </c>
      <c r="S626" t="s">
        <v>30</v>
      </c>
      <c r="T626">
        <v>5</v>
      </c>
      <c r="U626">
        <v>679.85</v>
      </c>
      <c r="V626">
        <v>1594.19</v>
      </c>
      <c r="W626">
        <v>7</v>
      </c>
      <c r="X626" t="str">
        <f>TEXT(cleaneddata[[#This Row],[Order Date]],"mmm")</f>
        <v>Jun</v>
      </c>
      <c r="Y626">
        <f>cleaneddata[[#This Row],[Unit Price]]*cleaneddata[[#This Row],[Quantity]]*(1-cleaneddata[[#This Row],[Discount %]]/100)</f>
        <v>1903.58</v>
      </c>
      <c r="Z626">
        <f>cleaneddata[[#This Row],[sales]]-cleaneddata[[#This Row],[Cost]]</f>
        <v>309.38999999999987</v>
      </c>
    </row>
    <row r="627" spans="1:26" x14ac:dyDescent="0.3">
      <c r="A627" t="s">
        <v>1758</v>
      </c>
      <c r="B627" s="1">
        <v>45349</v>
      </c>
      <c r="C627" t="s">
        <v>1759</v>
      </c>
      <c r="D627" t="s">
        <v>3144</v>
      </c>
      <c r="E627" s="1">
        <v>45356</v>
      </c>
      <c r="F627" t="s">
        <v>122</v>
      </c>
      <c r="G627" t="s">
        <v>120</v>
      </c>
      <c r="H627" t="s">
        <v>121</v>
      </c>
      <c r="I627" t="s">
        <v>2668</v>
      </c>
      <c r="J627" t="s">
        <v>2669</v>
      </c>
      <c r="K627" t="s">
        <v>52</v>
      </c>
      <c r="L627">
        <v>34</v>
      </c>
      <c r="M627">
        <v>4</v>
      </c>
      <c r="N627">
        <v>5</v>
      </c>
      <c r="O627" t="s">
        <v>1222</v>
      </c>
      <c r="P627" t="s">
        <v>75</v>
      </c>
      <c r="Q627" t="s">
        <v>70</v>
      </c>
      <c r="R627" t="s">
        <v>62</v>
      </c>
      <c r="S627" t="s">
        <v>123</v>
      </c>
      <c r="T627">
        <v>1</v>
      </c>
      <c r="U627">
        <v>945.39</v>
      </c>
      <c r="V627">
        <v>2268.56</v>
      </c>
      <c r="W627">
        <v>7</v>
      </c>
      <c r="X627" t="str">
        <f>TEXT(cleaneddata[[#This Row],[Order Date]],"mmm")</f>
        <v>Feb</v>
      </c>
      <c r="Y627">
        <f>cleaneddata[[#This Row],[Unit Price]]*cleaneddata[[#This Row],[Quantity]]*(1-cleaneddata[[#This Row],[Discount %]]/100)</f>
        <v>3592.482</v>
      </c>
      <c r="Z627">
        <f>cleaneddata[[#This Row],[sales]]-cleaneddata[[#This Row],[Cost]]</f>
        <v>1323.922</v>
      </c>
    </row>
    <row r="628" spans="1:26" x14ac:dyDescent="0.3">
      <c r="A628" t="s">
        <v>1760</v>
      </c>
      <c r="B628" s="1">
        <v>45787</v>
      </c>
      <c r="C628" t="s">
        <v>1761</v>
      </c>
      <c r="D628" t="s">
        <v>3143</v>
      </c>
      <c r="E628" s="1">
        <v>45791</v>
      </c>
      <c r="F628" t="s">
        <v>122</v>
      </c>
      <c r="G628" t="s">
        <v>120</v>
      </c>
      <c r="H628" t="s">
        <v>121</v>
      </c>
      <c r="I628" t="s">
        <v>2668</v>
      </c>
      <c r="J628" t="s">
        <v>2682</v>
      </c>
      <c r="K628" t="s">
        <v>25</v>
      </c>
      <c r="L628">
        <v>53</v>
      </c>
      <c r="M628">
        <v>3</v>
      </c>
      <c r="N628">
        <v>25</v>
      </c>
      <c r="O628" t="s">
        <v>883</v>
      </c>
      <c r="P628" t="s">
        <v>75</v>
      </c>
      <c r="Q628" t="s">
        <v>117</v>
      </c>
      <c r="R628" t="s">
        <v>43</v>
      </c>
      <c r="S628" t="s">
        <v>123</v>
      </c>
      <c r="T628">
        <v>1</v>
      </c>
      <c r="U628">
        <v>950.69</v>
      </c>
      <c r="V628">
        <v>1652.06</v>
      </c>
      <c r="W628">
        <v>4</v>
      </c>
      <c r="X628" t="str">
        <f>TEXT(cleaneddata[[#This Row],[Order Date]],"mmm")</f>
        <v>May</v>
      </c>
      <c r="Y628">
        <f>cleaneddata[[#This Row],[Unit Price]]*cleaneddata[[#This Row],[Quantity]]*(1-cleaneddata[[#This Row],[Discount %]]/100)</f>
        <v>2139.0525000000002</v>
      </c>
      <c r="Z628">
        <f>cleaneddata[[#This Row],[sales]]-cleaneddata[[#This Row],[Cost]]</f>
        <v>486.99250000000029</v>
      </c>
    </row>
    <row r="629" spans="1:26" x14ac:dyDescent="0.3">
      <c r="A629" t="s">
        <v>1762</v>
      </c>
      <c r="B629" s="1">
        <v>45717</v>
      </c>
      <c r="C629" t="s">
        <v>1763</v>
      </c>
      <c r="D629" t="s">
        <v>3142</v>
      </c>
      <c r="E629" s="1">
        <v>45722</v>
      </c>
      <c r="F629" t="s">
        <v>128</v>
      </c>
      <c r="G629" t="s">
        <v>98</v>
      </c>
      <c r="H629" t="s">
        <v>127</v>
      </c>
      <c r="I629" t="s">
        <v>2623</v>
      </c>
      <c r="J629" t="s">
        <v>2696</v>
      </c>
      <c r="K629" t="s">
        <v>25</v>
      </c>
      <c r="L629">
        <v>45</v>
      </c>
      <c r="M629">
        <v>5</v>
      </c>
      <c r="N629">
        <v>20</v>
      </c>
      <c r="O629" t="s">
        <v>771</v>
      </c>
      <c r="P629" t="s">
        <v>33</v>
      </c>
      <c r="Q629" t="s">
        <v>117</v>
      </c>
      <c r="R629" t="s">
        <v>71</v>
      </c>
      <c r="S629" t="s">
        <v>129</v>
      </c>
      <c r="T629">
        <v>1</v>
      </c>
      <c r="U629">
        <v>218.67</v>
      </c>
      <c r="V629">
        <v>457.92</v>
      </c>
      <c r="W629">
        <v>5</v>
      </c>
      <c r="X629" t="str">
        <f>TEXT(cleaneddata[[#This Row],[Order Date]],"mmm")</f>
        <v>Mar</v>
      </c>
      <c r="Y629">
        <f>cleaneddata[[#This Row],[Unit Price]]*cleaneddata[[#This Row],[Quantity]]*(1-cleaneddata[[#This Row],[Discount %]]/100)</f>
        <v>874.68</v>
      </c>
      <c r="Z629">
        <f>cleaneddata[[#This Row],[sales]]-cleaneddata[[#This Row],[Cost]]</f>
        <v>416.75999999999993</v>
      </c>
    </row>
    <row r="630" spans="1:26" x14ac:dyDescent="0.3">
      <c r="A630" t="s">
        <v>1764</v>
      </c>
      <c r="B630" s="1">
        <v>45427</v>
      </c>
      <c r="C630" t="s">
        <v>1765</v>
      </c>
      <c r="D630" t="s">
        <v>3141</v>
      </c>
      <c r="E630" s="1">
        <v>45432</v>
      </c>
      <c r="F630" t="s">
        <v>68</v>
      </c>
      <c r="G630" t="s">
        <v>66</v>
      </c>
      <c r="H630" t="s">
        <v>67</v>
      </c>
      <c r="I630" t="s">
        <v>2679</v>
      </c>
      <c r="J630" t="s">
        <v>2707</v>
      </c>
      <c r="K630" t="s">
        <v>52</v>
      </c>
      <c r="L630">
        <v>39</v>
      </c>
      <c r="M630">
        <v>1</v>
      </c>
      <c r="N630">
        <v>30</v>
      </c>
      <c r="O630" t="s">
        <v>1161</v>
      </c>
      <c r="P630" t="s">
        <v>75</v>
      </c>
      <c r="Q630" t="s">
        <v>117</v>
      </c>
      <c r="R630" t="s">
        <v>32</v>
      </c>
      <c r="S630" t="s">
        <v>69</v>
      </c>
      <c r="T630">
        <v>1</v>
      </c>
      <c r="U630">
        <v>505.2</v>
      </c>
      <c r="V630">
        <v>264.01</v>
      </c>
      <c r="W630">
        <v>5</v>
      </c>
      <c r="X630" t="str">
        <f>TEXT(cleaneddata[[#This Row],[Order Date]],"mmm")</f>
        <v>May</v>
      </c>
      <c r="Y630">
        <f>cleaneddata[[#This Row],[Unit Price]]*cleaneddata[[#This Row],[Quantity]]*(1-cleaneddata[[#This Row],[Discount %]]/100)</f>
        <v>353.64</v>
      </c>
      <c r="Z630">
        <f>cleaneddata[[#This Row],[sales]]-cleaneddata[[#This Row],[Cost]]</f>
        <v>89.63</v>
      </c>
    </row>
    <row r="631" spans="1:26" x14ac:dyDescent="0.3">
      <c r="A631" t="s">
        <v>1766</v>
      </c>
      <c r="B631" s="1">
        <v>45511</v>
      </c>
      <c r="C631" t="s">
        <v>1767</v>
      </c>
      <c r="D631" t="s">
        <v>3140</v>
      </c>
      <c r="E631" s="1">
        <v>45518</v>
      </c>
      <c r="F631" t="s">
        <v>68</v>
      </c>
      <c r="G631" t="s">
        <v>66</v>
      </c>
      <c r="H631" t="s">
        <v>67</v>
      </c>
      <c r="I631" t="s">
        <v>2641</v>
      </c>
      <c r="J631" t="s">
        <v>2713</v>
      </c>
      <c r="K631" t="s">
        <v>52</v>
      </c>
      <c r="L631">
        <v>65</v>
      </c>
      <c r="M631">
        <v>3</v>
      </c>
      <c r="N631">
        <v>25</v>
      </c>
      <c r="O631" t="s">
        <v>1327</v>
      </c>
      <c r="P631" t="s">
        <v>44</v>
      </c>
      <c r="Q631" t="s">
        <v>58</v>
      </c>
      <c r="R631" t="s">
        <v>62</v>
      </c>
      <c r="S631" t="s">
        <v>69</v>
      </c>
      <c r="T631">
        <v>5</v>
      </c>
      <c r="U631">
        <v>430.05</v>
      </c>
      <c r="V631">
        <v>710.73</v>
      </c>
      <c r="W631">
        <v>7</v>
      </c>
      <c r="X631" t="str">
        <f>TEXT(cleaneddata[[#This Row],[Order Date]],"mmm")</f>
        <v>Aug</v>
      </c>
      <c r="Y631">
        <f>cleaneddata[[#This Row],[Unit Price]]*cleaneddata[[#This Row],[Quantity]]*(1-cleaneddata[[#This Row],[Discount %]]/100)</f>
        <v>967.61250000000007</v>
      </c>
      <c r="Z631">
        <f>cleaneddata[[#This Row],[sales]]-cleaneddata[[#This Row],[Cost]]</f>
        <v>256.88250000000005</v>
      </c>
    </row>
    <row r="632" spans="1:26" x14ac:dyDescent="0.3">
      <c r="A632" t="s">
        <v>1768</v>
      </c>
      <c r="B632" s="1">
        <v>45428</v>
      </c>
      <c r="C632" t="s">
        <v>1769</v>
      </c>
      <c r="D632" t="s">
        <v>3139</v>
      </c>
      <c r="E632" s="1">
        <v>45434</v>
      </c>
      <c r="F632" t="s">
        <v>29</v>
      </c>
      <c r="G632" t="s">
        <v>27</v>
      </c>
      <c r="H632" t="s">
        <v>28</v>
      </c>
      <c r="I632" t="s">
        <v>2633</v>
      </c>
      <c r="J632" t="s">
        <v>2695</v>
      </c>
      <c r="K632" t="s">
        <v>52</v>
      </c>
      <c r="L632">
        <v>40</v>
      </c>
      <c r="M632">
        <v>5</v>
      </c>
      <c r="N632">
        <v>15</v>
      </c>
      <c r="O632" t="s">
        <v>78</v>
      </c>
      <c r="P632" t="s">
        <v>33</v>
      </c>
      <c r="Q632" t="s">
        <v>70</v>
      </c>
      <c r="R632" t="s">
        <v>32</v>
      </c>
      <c r="S632" t="s">
        <v>30</v>
      </c>
      <c r="T632">
        <v>1</v>
      </c>
      <c r="U632">
        <v>758.16</v>
      </c>
      <c r="V632">
        <v>2367.4499999999998</v>
      </c>
      <c r="W632">
        <v>6</v>
      </c>
      <c r="X632" t="str">
        <f>TEXT(cleaneddata[[#This Row],[Order Date]],"mmm")</f>
        <v>May</v>
      </c>
      <c r="Y632">
        <f>cleaneddata[[#This Row],[Unit Price]]*cleaneddata[[#This Row],[Quantity]]*(1-cleaneddata[[#This Row],[Discount %]]/100)</f>
        <v>3222.18</v>
      </c>
      <c r="Z632">
        <f>cleaneddata[[#This Row],[sales]]-cleaneddata[[#This Row],[Cost]]</f>
        <v>854.73</v>
      </c>
    </row>
    <row r="633" spans="1:26" x14ac:dyDescent="0.3">
      <c r="A633" t="s">
        <v>1770</v>
      </c>
      <c r="B633" s="1">
        <v>45860</v>
      </c>
      <c r="C633" t="s">
        <v>1771</v>
      </c>
      <c r="D633" t="s">
        <v>3138</v>
      </c>
      <c r="E633" s="1">
        <v>45865</v>
      </c>
      <c r="F633" t="s">
        <v>122</v>
      </c>
      <c r="G633" t="s">
        <v>120</v>
      </c>
      <c r="H633" t="s">
        <v>121</v>
      </c>
      <c r="I633" t="s">
        <v>2629</v>
      </c>
      <c r="J633" t="s">
        <v>2689</v>
      </c>
      <c r="K633" t="s">
        <v>25</v>
      </c>
      <c r="L633">
        <v>28</v>
      </c>
      <c r="M633">
        <v>2</v>
      </c>
      <c r="N633">
        <v>10</v>
      </c>
      <c r="O633" t="s">
        <v>1772</v>
      </c>
      <c r="P633" t="s">
        <v>75</v>
      </c>
      <c r="Q633" t="s">
        <v>42</v>
      </c>
      <c r="R633" t="s">
        <v>62</v>
      </c>
      <c r="S633" t="s">
        <v>123</v>
      </c>
      <c r="T633">
        <v>4</v>
      </c>
      <c r="U633">
        <v>197.3</v>
      </c>
      <c r="V633">
        <v>232.18</v>
      </c>
      <c r="W633">
        <v>5</v>
      </c>
      <c r="X633" t="str">
        <f>TEXT(cleaneddata[[#This Row],[Order Date]],"mmm")</f>
        <v>Jul</v>
      </c>
      <c r="Y633">
        <f>cleaneddata[[#This Row],[Unit Price]]*cleaneddata[[#This Row],[Quantity]]*(1-cleaneddata[[#This Row],[Discount %]]/100)</f>
        <v>355.14000000000004</v>
      </c>
      <c r="Z633">
        <f>cleaneddata[[#This Row],[sales]]-cleaneddata[[#This Row],[Cost]]</f>
        <v>122.96000000000004</v>
      </c>
    </row>
    <row r="634" spans="1:26" x14ac:dyDescent="0.3">
      <c r="A634" t="s">
        <v>1773</v>
      </c>
      <c r="B634" s="1">
        <v>45576</v>
      </c>
      <c r="C634" t="s">
        <v>1774</v>
      </c>
      <c r="D634" t="s">
        <v>3137</v>
      </c>
      <c r="E634" s="1">
        <v>45580</v>
      </c>
      <c r="F634" t="s">
        <v>128</v>
      </c>
      <c r="G634" t="s">
        <v>98</v>
      </c>
      <c r="H634" t="s">
        <v>127</v>
      </c>
      <c r="I634" t="s">
        <v>2629</v>
      </c>
      <c r="J634" t="s">
        <v>2697</v>
      </c>
      <c r="K634" t="s">
        <v>25</v>
      </c>
      <c r="L634">
        <v>26</v>
      </c>
      <c r="M634">
        <v>4</v>
      </c>
      <c r="N634">
        <v>10</v>
      </c>
      <c r="O634" t="s">
        <v>1435</v>
      </c>
      <c r="P634" t="s">
        <v>44</v>
      </c>
      <c r="Q634" t="s">
        <v>42</v>
      </c>
      <c r="R634" t="s">
        <v>43</v>
      </c>
      <c r="S634" t="s">
        <v>129</v>
      </c>
      <c r="T634">
        <v>4</v>
      </c>
      <c r="U634">
        <v>231.12</v>
      </c>
      <c r="V634">
        <v>511.65</v>
      </c>
      <c r="W634">
        <v>4</v>
      </c>
      <c r="X634" t="str">
        <f>TEXT(cleaneddata[[#This Row],[Order Date]],"mmm")</f>
        <v>Oct</v>
      </c>
      <c r="Y634">
        <f>cleaneddata[[#This Row],[Unit Price]]*cleaneddata[[#This Row],[Quantity]]*(1-cleaneddata[[#This Row],[Discount %]]/100)</f>
        <v>832.03200000000004</v>
      </c>
      <c r="Z634">
        <f>cleaneddata[[#This Row],[sales]]-cleaneddata[[#This Row],[Cost]]</f>
        <v>320.38200000000006</v>
      </c>
    </row>
    <row r="635" spans="1:26" x14ac:dyDescent="0.3">
      <c r="A635" t="s">
        <v>1775</v>
      </c>
      <c r="B635" s="1">
        <v>45889</v>
      </c>
      <c r="C635" t="s">
        <v>1776</v>
      </c>
      <c r="D635" t="s">
        <v>3136</v>
      </c>
      <c r="E635" s="1">
        <v>45892</v>
      </c>
      <c r="F635" t="s">
        <v>100</v>
      </c>
      <c r="G635" t="s">
        <v>98</v>
      </c>
      <c r="H635" t="s">
        <v>99</v>
      </c>
      <c r="I635" t="s">
        <v>2663</v>
      </c>
      <c r="J635" t="s">
        <v>2664</v>
      </c>
      <c r="K635" t="s">
        <v>25</v>
      </c>
      <c r="L635">
        <v>36</v>
      </c>
      <c r="M635">
        <v>2</v>
      </c>
      <c r="N635">
        <v>20</v>
      </c>
      <c r="O635" t="s">
        <v>1777</v>
      </c>
      <c r="P635" t="s">
        <v>33</v>
      </c>
      <c r="Q635" t="s">
        <v>58</v>
      </c>
      <c r="R635" t="s">
        <v>32</v>
      </c>
      <c r="S635" t="s">
        <v>101</v>
      </c>
      <c r="T635">
        <v>5</v>
      </c>
      <c r="U635">
        <v>829.98</v>
      </c>
      <c r="V635">
        <v>962.67</v>
      </c>
      <c r="W635">
        <v>3</v>
      </c>
      <c r="X635" t="str">
        <f>TEXT(cleaneddata[[#This Row],[Order Date]],"mmm")</f>
        <v>Aug</v>
      </c>
      <c r="Y635">
        <f>cleaneddata[[#This Row],[Unit Price]]*cleaneddata[[#This Row],[Quantity]]*(1-cleaneddata[[#This Row],[Discount %]]/100)</f>
        <v>1327.9680000000001</v>
      </c>
      <c r="Z635">
        <f>cleaneddata[[#This Row],[sales]]-cleaneddata[[#This Row],[Cost]]</f>
        <v>365.29800000000012</v>
      </c>
    </row>
    <row r="636" spans="1:26" x14ac:dyDescent="0.3">
      <c r="A636" t="s">
        <v>1778</v>
      </c>
      <c r="B636" s="1">
        <v>45597</v>
      </c>
      <c r="C636" t="s">
        <v>1779</v>
      </c>
      <c r="D636" t="s">
        <v>3135</v>
      </c>
      <c r="E636" s="1">
        <v>45604</v>
      </c>
      <c r="F636" t="s">
        <v>29</v>
      </c>
      <c r="G636" t="s">
        <v>27</v>
      </c>
      <c r="H636" t="s">
        <v>28</v>
      </c>
      <c r="I636" t="s">
        <v>2637</v>
      </c>
      <c r="J636" t="s">
        <v>2649</v>
      </c>
      <c r="K636" t="s">
        <v>52</v>
      </c>
      <c r="L636">
        <v>57</v>
      </c>
      <c r="M636">
        <v>5</v>
      </c>
      <c r="N636">
        <v>25</v>
      </c>
      <c r="O636" t="s">
        <v>1780</v>
      </c>
      <c r="P636" t="s">
        <v>44</v>
      </c>
      <c r="Q636" t="s">
        <v>70</v>
      </c>
      <c r="R636" t="s">
        <v>43</v>
      </c>
      <c r="S636" t="s">
        <v>30</v>
      </c>
      <c r="T636">
        <v>2</v>
      </c>
      <c r="U636">
        <v>943.06</v>
      </c>
      <c r="V636">
        <v>1835.78</v>
      </c>
      <c r="W636">
        <v>7</v>
      </c>
      <c r="X636" t="str">
        <f>TEXT(cleaneddata[[#This Row],[Order Date]],"mmm")</f>
        <v>Nov</v>
      </c>
      <c r="Y636">
        <f>cleaneddata[[#This Row],[Unit Price]]*cleaneddata[[#This Row],[Quantity]]*(1-cleaneddata[[#This Row],[Discount %]]/100)</f>
        <v>3536.4749999999995</v>
      </c>
      <c r="Z636">
        <f>cleaneddata[[#This Row],[sales]]-cleaneddata[[#This Row],[Cost]]</f>
        <v>1700.6949999999995</v>
      </c>
    </row>
    <row r="637" spans="1:26" x14ac:dyDescent="0.3">
      <c r="A637" t="s">
        <v>1781</v>
      </c>
      <c r="B637" s="1">
        <v>46112</v>
      </c>
      <c r="C637" t="s">
        <v>1782</v>
      </c>
      <c r="D637" t="s">
        <v>3134</v>
      </c>
      <c r="E637" s="1">
        <v>46118</v>
      </c>
      <c r="F637" t="s">
        <v>56</v>
      </c>
      <c r="G637" t="s">
        <v>54</v>
      </c>
      <c r="H637" t="s">
        <v>55</v>
      </c>
      <c r="I637" t="s">
        <v>2647</v>
      </c>
      <c r="J637" t="s">
        <v>2658</v>
      </c>
      <c r="K637" t="s">
        <v>25</v>
      </c>
      <c r="L637">
        <v>48</v>
      </c>
      <c r="M637">
        <v>5</v>
      </c>
      <c r="N637">
        <v>20</v>
      </c>
      <c r="O637" t="s">
        <v>1783</v>
      </c>
      <c r="P637" t="s">
        <v>44</v>
      </c>
      <c r="Q637" t="s">
        <v>42</v>
      </c>
      <c r="R637" t="s">
        <v>62</v>
      </c>
      <c r="S637" t="s">
        <v>57</v>
      </c>
      <c r="T637">
        <v>4</v>
      </c>
      <c r="U637">
        <v>489.83</v>
      </c>
      <c r="V637">
        <v>1533.46</v>
      </c>
      <c r="W637">
        <v>6</v>
      </c>
      <c r="X637" t="str">
        <f>TEXT(cleaneddata[[#This Row],[Order Date]],"mmm")</f>
        <v>Mar</v>
      </c>
      <c r="Y637">
        <f>cleaneddata[[#This Row],[Unit Price]]*cleaneddata[[#This Row],[Quantity]]*(1-cleaneddata[[#This Row],[Discount %]]/100)</f>
        <v>1959.3200000000002</v>
      </c>
      <c r="Z637">
        <f>cleaneddata[[#This Row],[sales]]-cleaneddata[[#This Row],[Cost]]</f>
        <v>425.86000000000013</v>
      </c>
    </row>
    <row r="638" spans="1:26" x14ac:dyDescent="0.3">
      <c r="A638" t="s">
        <v>1784</v>
      </c>
      <c r="B638" s="1">
        <v>46125</v>
      </c>
      <c r="C638" t="s">
        <v>1785</v>
      </c>
      <c r="D638" t="s">
        <v>3133</v>
      </c>
      <c r="E638" s="1">
        <v>46129</v>
      </c>
      <c r="F638" t="s">
        <v>122</v>
      </c>
      <c r="G638" t="s">
        <v>120</v>
      </c>
      <c r="H638" t="s">
        <v>121</v>
      </c>
      <c r="I638" t="s">
        <v>2634</v>
      </c>
      <c r="J638" t="s">
        <v>2714</v>
      </c>
      <c r="K638" t="s">
        <v>52</v>
      </c>
      <c r="L638">
        <v>30</v>
      </c>
      <c r="M638">
        <v>4</v>
      </c>
      <c r="N638">
        <v>15</v>
      </c>
      <c r="O638" t="s">
        <v>543</v>
      </c>
      <c r="P638" t="s">
        <v>44</v>
      </c>
      <c r="Q638" t="s">
        <v>31</v>
      </c>
      <c r="R638" t="s">
        <v>43</v>
      </c>
      <c r="S638" t="s">
        <v>123</v>
      </c>
      <c r="T638">
        <v>5</v>
      </c>
      <c r="U638">
        <v>846.78</v>
      </c>
      <c r="V638">
        <v>1799.77</v>
      </c>
      <c r="W638">
        <v>4</v>
      </c>
      <c r="X638" t="str">
        <f>TEXT(cleaneddata[[#This Row],[Order Date]],"mmm")</f>
        <v>Apr</v>
      </c>
      <c r="Y638">
        <f>cleaneddata[[#This Row],[Unit Price]]*cleaneddata[[#This Row],[Quantity]]*(1-cleaneddata[[#This Row],[Discount %]]/100)</f>
        <v>2879.0519999999997</v>
      </c>
      <c r="Z638">
        <f>cleaneddata[[#This Row],[sales]]-cleaneddata[[#This Row],[Cost]]</f>
        <v>1079.2819999999997</v>
      </c>
    </row>
    <row r="639" spans="1:26" x14ac:dyDescent="0.3">
      <c r="A639" t="s">
        <v>1786</v>
      </c>
      <c r="B639" s="1">
        <v>45782</v>
      </c>
      <c r="C639" t="s">
        <v>1787</v>
      </c>
      <c r="D639" t="s">
        <v>3132</v>
      </c>
      <c r="E639" s="1">
        <v>45787</v>
      </c>
      <c r="F639" t="s">
        <v>68</v>
      </c>
      <c r="G639" t="s">
        <v>66</v>
      </c>
      <c r="H639" t="s">
        <v>67</v>
      </c>
      <c r="I639" t="s">
        <v>2623</v>
      </c>
      <c r="J639" t="s">
        <v>2696</v>
      </c>
      <c r="K639" t="s">
        <v>52</v>
      </c>
      <c r="L639">
        <v>40</v>
      </c>
      <c r="M639">
        <v>4</v>
      </c>
      <c r="N639">
        <v>15</v>
      </c>
      <c r="O639" t="s">
        <v>1788</v>
      </c>
      <c r="P639" t="s">
        <v>33</v>
      </c>
      <c r="Q639" t="s">
        <v>42</v>
      </c>
      <c r="R639" t="s">
        <v>62</v>
      </c>
      <c r="S639" t="s">
        <v>69</v>
      </c>
      <c r="T639">
        <v>1</v>
      </c>
      <c r="U639">
        <v>732.29</v>
      </c>
      <c r="V639">
        <v>1871.67</v>
      </c>
      <c r="W639">
        <v>5</v>
      </c>
      <c r="X639" t="str">
        <f>TEXT(cleaneddata[[#This Row],[Order Date]],"mmm")</f>
        <v>May</v>
      </c>
      <c r="Y639">
        <f>cleaneddata[[#This Row],[Unit Price]]*cleaneddata[[#This Row],[Quantity]]*(1-cleaneddata[[#This Row],[Discount %]]/100)</f>
        <v>2489.7859999999996</v>
      </c>
      <c r="Z639">
        <f>cleaneddata[[#This Row],[sales]]-cleaneddata[[#This Row],[Cost]]</f>
        <v>618.11599999999953</v>
      </c>
    </row>
    <row r="640" spans="1:26" x14ac:dyDescent="0.3">
      <c r="A640" t="s">
        <v>1789</v>
      </c>
      <c r="B640" s="1">
        <v>45547</v>
      </c>
      <c r="C640" t="s">
        <v>1790</v>
      </c>
      <c r="D640" t="s">
        <v>3131</v>
      </c>
      <c r="E640" s="1">
        <v>45549</v>
      </c>
      <c r="F640" t="s">
        <v>100</v>
      </c>
      <c r="G640" t="s">
        <v>98</v>
      </c>
      <c r="H640" t="s">
        <v>99</v>
      </c>
      <c r="I640" t="s">
        <v>2679</v>
      </c>
      <c r="J640" t="s">
        <v>2685</v>
      </c>
      <c r="K640" t="s">
        <v>52</v>
      </c>
      <c r="L640">
        <v>30</v>
      </c>
      <c r="M640">
        <v>4</v>
      </c>
      <c r="N640">
        <v>20</v>
      </c>
      <c r="O640" t="s">
        <v>1791</v>
      </c>
      <c r="P640" t="s">
        <v>33</v>
      </c>
      <c r="Q640" t="s">
        <v>70</v>
      </c>
      <c r="R640" t="s">
        <v>32</v>
      </c>
      <c r="S640" t="s">
        <v>101</v>
      </c>
      <c r="T640">
        <v>3</v>
      </c>
      <c r="U640">
        <v>910</v>
      </c>
      <c r="V640">
        <v>2217.9</v>
      </c>
      <c r="W640">
        <v>2</v>
      </c>
      <c r="X640" t="str">
        <f>TEXT(cleaneddata[[#This Row],[Order Date]],"mmm")</f>
        <v>Sep</v>
      </c>
      <c r="Y640">
        <f>cleaneddata[[#This Row],[Unit Price]]*cleaneddata[[#This Row],[Quantity]]*(1-cleaneddata[[#This Row],[Discount %]]/100)</f>
        <v>2912</v>
      </c>
      <c r="Z640">
        <f>cleaneddata[[#This Row],[sales]]-cleaneddata[[#This Row],[Cost]]</f>
        <v>694.09999999999991</v>
      </c>
    </row>
    <row r="641" spans="1:26" x14ac:dyDescent="0.3">
      <c r="A641" t="s">
        <v>1792</v>
      </c>
      <c r="B641" s="1">
        <v>45846</v>
      </c>
      <c r="C641" t="s">
        <v>1793</v>
      </c>
      <c r="D641" t="s">
        <v>3130</v>
      </c>
      <c r="E641" s="1">
        <v>45849</v>
      </c>
      <c r="F641" t="s">
        <v>29</v>
      </c>
      <c r="G641" t="s">
        <v>27</v>
      </c>
      <c r="H641" t="s">
        <v>28</v>
      </c>
      <c r="I641" t="s">
        <v>2668</v>
      </c>
      <c r="J641" t="s">
        <v>2708</v>
      </c>
      <c r="K641" t="s">
        <v>52</v>
      </c>
      <c r="L641">
        <v>64</v>
      </c>
      <c r="M641">
        <v>4</v>
      </c>
      <c r="N641">
        <v>20</v>
      </c>
      <c r="O641" t="s">
        <v>889</v>
      </c>
      <c r="P641" t="s">
        <v>75</v>
      </c>
      <c r="Q641" t="s">
        <v>117</v>
      </c>
      <c r="R641" t="s">
        <v>43</v>
      </c>
      <c r="S641" t="s">
        <v>30</v>
      </c>
      <c r="T641">
        <v>5</v>
      </c>
      <c r="U641">
        <v>311.19</v>
      </c>
      <c r="V641">
        <v>656.73</v>
      </c>
      <c r="W641">
        <v>3</v>
      </c>
      <c r="X641" t="str">
        <f>TEXT(cleaneddata[[#This Row],[Order Date]],"mmm")</f>
        <v>Jul</v>
      </c>
      <c r="Y641">
        <f>cleaneddata[[#This Row],[Unit Price]]*cleaneddata[[#This Row],[Quantity]]*(1-cleaneddata[[#This Row],[Discount %]]/100)</f>
        <v>995.80799999999999</v>
      </c>
      <c r="Z641">
        <f>cleaneddata[[#This Row],[sales]]-cleaneddata[[#This Row],[Cost]]</f>
        <v>339.07799999999997</v>
      </c>
    </row>
    <row r="642" spans="1:26" x14ac:dyDescent="0.3">
      <c r="A642" t="s">
        <v>1794</v>
      </c>
      <c r="B642" s="1">
        <v>45667</v>
      </c>
      <c r="C642" t="s">
        <v>1795</v>
      </c>
      <c r="D642" t="s">
        <v>3129</v>
      </c>
      <c r="E642" s="1">
        <v>45668</v>
      </c>
      <c r="F642" t="s">
        <v>56</v>
      </c>
      <c r="G642" t="s">
        <v>54</v>
      </c>
      <c r="H642" t="s">
        <v>55</v>
      </c>
      <c r="I642" t="s">
        <v>2654</v>
      </c>
      <c r="J642" t="s">
        <v>2702</v>
      </c>
      <c r="K642" t="s">
        <v>52</v>
      </c>
      <c r="L642">
        <v>23</v>
      </c>
      <c r="M642">
        <v>5</v>
      </c>
      <c r="N642">
        <v>15</v>
      </c>
      <c r="O642" t="s">
        <v>1109</v>
      </c>
      <c r="P642" t="s">
        <v>44</v>
      </c>
      <c r="Q642" t="s">
        <v>58</v>
      </c>
      <c r="R642" t="s">
        <v>43</v>
      </c>
      <c r="S642" t="s">
        <v>57</v>
      </c>
      <c r="T642">
        <v>5</v>
      </c>
      <c r="U642">
        <v>394.96</v>
      </c>
      <c r="V642">
        <v>1286.0999999999999</v>
      </c>
      <c r="W642">
        <v>1</v>
      </c>
      <c r="X642" t="str">
        <f>TEXT(cleaneddata[[#This Row],[Order Date]],"mmm")</f>
        <v>Jan</v>
      </c>
      <c r="Y642">
        <f>cleaneddata[[#This Row],[Unit Price]]*cleaneddata[[#This Row],[Quantity]]*(1-cleaneddata[[#This Row],[Discount %]]/100)</f>
        <v>1678.58</v>
      </c>
      <c r="Z642">
        <f>cleaneddata[[#This Row],[sales]]-cleaneddata[[#This Row],[Cost]]</f>
        <v>392.48</v>
      </c>
    </row>
    <row r="643" spans="1:26" x14ac:dyDescent="0.3">
      <c r="A643" t="s">
        <v>1796</v>
      </c>
      <c r="B643" s="1">
        <v>46121</v>
      </c>
      <c r="C643" t="s">
        <v>1797</v>
      </c>
      <c r="D643" t="s">
        <v>3128</v>
      </c>
      <c r="E643" s="1">
        <v>46125</v>
      </c>
      <c r="F643" t="s">
        <v>122</v>
      </c>
      <c r="G643" t="s">
        <v>120</v>
      </c>
      <c r="H643" t="s">
        <v>121</v>
      </c>
      <c r="I643" t="s">
        <v>2668</v>
      </c>
      <c r="J643" t="s">
        <v>2682</v>
      </c>
      <c r="K643" t="s">
        <v>52</v>
      </c>
      <c r="L643">
        <v>55</v>
      </c>
      <c r="M643">
        <v>5</v>
      </c>
      <c r="N643">
        <v>10</v>
      </c>
      <c r="O643" t="s">
        <v>1059</v>
      </c>
      <c r="P643" t="s">
        <v>75</v>
      </c>
      <c r="Q643" t="s">
        <v>58</v>
      </c>
      <c r="R643" t="s">
        <v>32</v>
      </c>
      <c r="S643" t="s">
        <v>123</v>
      </c>
      <c r="T643">
        <v>3</v>
      </c>
      <c r="U643">
        <v>232.45</v>
      </c>
      <c r="V643">
        <v>547.89</v>
      </c>
      <c r="W643">
        <v>4</v>
      </c>
      <c r="X643" t="str">
        <f>TEXT(cleaneddata[[#This Row],[Order Date]],"mmm")</f>
        <v>Apr</v>
      </c>
      <c r="Y643">
        <f>cleaneddata[[#This Row],[Unit Price]]*cleaneddata[[#This Row],[Quantity]]*(1-cleaneddata[[#This Row],[Discount %]]/100)</f>
        <v>1046.0250000000001</v>
      </c>
      <c r="Z643">
        <f>cleaneddata[[#This Row],[sales]]-cleaneddata[[#This Row],[Cost]]</f>
        <v>498.1350000000001</v>
      </c>
    </row>
    <row r="644" spans="1:26" x14ac:dyDescent="0.3">
      <c r="A644" t="s">
        <v>1798</v>
      </c>
      <c r="B644" s="1">
        <v>45414</v>
      </c>
      <c r="C644" t="s">
        <v>1799</v>
      </c>
      <c r="D644" t="s">
        <v>3127</v>
      </c>
      <c r="E644" s="1">
        <v>45415</v>
      </c>
      <c r="F644" t="s">
        <v>122</v>
      </c>
      <c r="G644" t="s">
        <v>120</v>
      </c>
      <c r="H644" t="s">
        <v>121</v>
      </c>
      <c r="I644" t="s">
        <v>2661</v>
      </c>
      <c r="J644" t="s">
        <v>2671</v>
      </c>
      <c r="K644" t="s">
        <v>52</v>
      </c>
      <c r="L644">
        <v>45</v>
      </c>
      <c r="M644">
        <v>3</v>
      </c>
      <c r="N644">
        <v>0</v>
      </c>
      <c r="O644" t="s">
        <v>1669</v>
      </c>
      <c r="P644" t="s">
        <v>75</v>
      </c>
      <c r="Q644" t="s">
        <v>31</v>
      </c>
      <c r="R644" t="s">
        <v>62</v>
      </c>
      <c r="S644" t="s">
        <v>123</v>
      </c>
      <c r="T644">
        <v>2</v>
      </c>
      <c r="U644">
        <v>172.18</v>
      </c>
      <c r="V644">
        <v>348.2</v>
      </c>
      <c r="W644">
        <v>1</v>
      </c>
      <c r="X644" t="str">
        <f>TEXT(cleaneddata[[#This Row],[Order Date]],"mmm")</f>
        <v>May</v>
      </c>
      <c r="Y644">
        <f>cleaneddata[[#This Row],[Unit Price]]*cleaneddata[[#This Row],[Quantity]]*(1-cleaneddata[[#This Row],[Discount %]]/100)</f>
        <v>516.54</v>
      </c>
      <c r="Z644">
        <f>cleaneddata[[#This Row],[sales]]-cleaneddata[[#This Row],[Cost]]</f>
        <v>168.33999999999997</v>
      </c>
    </row>
    <row r="645" spans="1:26" x14ac:dyDescent="0.3">
      <c r="A645" t="s">
        <v>1800</v>
      </c>
      <c r="B645" s="1">
        <v>45536</v>
      </c>
      <c r="C645" t="s">
        <v>1801</v>
      </c>
      <c r="D645" t="s">
        <v>2749</v>
      </c>
      <c r="E645" s="1">
        <v>45541</v>
      </c>
      <c r="F645" t="s">
        <v>100</v>
      </c>
      <c r="G645" t="s">
        <v>98</v>
      </c>
      <c r="H645" t="s">
        <v>99</v>
      </c>
      <c r="I645" t="s">
        <v>2625</v>
      </c>
      <c r="J645" t="s">
        <v>2667</v>
      </c>
      <c r="K645" t="s">
        <v>25</v>
      </c>
      <c r="L645">
        <v>20</v>
      </c>
      <c r="M645">
        <v>4</v>
      </c>
      <c r="N645">
        <v>10</v>
      </c>
      <c r="O645" t="s">
        <v>1802</v>
      </c>
      <c r="P645" t="s">
        <v>75</v>
      </c>
      <c r="Q645" t="s">
        <v>58</v>
      </c>
      <c r="R645" t="s">
        <v>43</v>
      </c>
      <c r="S645" t="s">
        <v>101</v>
      </c>
      <c r="T645">
        <v>5</v>
      </c>
      <c r="U645">
        <v>272.16000000000003</v>
      </c>
      <c r="V645">
        <v>774.21</v>
      </c>
      <c r="W645">
        <v>5</v>
      </c>
      <c r="X645" t="str">
        <f>TEXT(cleaneddata[[#This Row],[Order Date]],"mmm")</f>
        <v>Sep</v>
      </c>
      <c r="Y645">
        <f>cleaneddata[[#This Row],[Unit Price]]*cleaneddata[[#This Row],[Quantity]]*(1-cleaneddata[[#This Row],[Discount %]]/100)</f>
        <v>979.77600000000007</v>
      </c>
      <c r="Z645">
        <f>cleaneddata[[#This Row],[sales]]-cleaneddata[[#This Row],[Cost]]</f>
        <v>205.56600000000003</v>
      </c>
    </row>
    <row r="646" spans="1:26" x14ac:dyDescent="0.3">
      <c r="A646" t="s">
        <v>1803</v>
      </c>
      <c r="B646" s="1">
        <v>45663</v>
      </c>
      <c r="C646" t="s">
        <v>1804</v>
      </c>
      <c r="D646" t="s">
        <v>3126</v>
      </c>
      <c r="E646" s="1">
        <v>45670</v>
      </c>
      <c r="F646" t="s">
        <v>56</v>
      </c>
      <c r="G646" t="s">
        <v>54</v>
      </c>
      <c r="H646" t="s">
        <v>55</v>
      </c>
      <c r="I646" t="s">
        <v>2632</v>
      </c>
      <c r="J646" t="s">
        <v>2645</v>
      </c>
      <c r="K646" t="s">
        <v>52</v>
      </c>
      <c r="L646">
        <v>41</v>
      </c>
      <c r="M646">
        <v>3</v>
      </c>
      <c r="N646">
        <v>30</v>
      </c>
      <c r="O646" t="s">
        <v>1805</v>
      </c>
      <c r="P646" t="s">
        <v>75</v>
      </c>
      <c r="Q646" t="s">
        <v>58</v>
      </c>
      <c r="R646" t="s">
        <v>32</v>
      </c>
      <c r="S646" t="s">
        <v>57</v>
      </c>
      <c r="T646">
        <v>3</v>
      </c>
      <c r="U646">
        <v>776.26</v>
      </c>
      <c r="V646">
        <v>1331.91</v>
      </c>
      <c r="W646">
        <v>7</v>
      </c>
      <c r="X646" t="str">
        <f>TEXT(cleaneddata[[#This Row],[Order Date]],"mmm")</f>
        <v>Jan</v>
      </c>
      <c r="Y646">
        <f>cleaneddata[[#This Row],[Unit Price]]*cleaneddata[[#This Row],[Quantity]]*(1-cleaneddata[[#This Row],[Discount %]]/100)</f>
        <v>1630.1459999999997</v>
      </c>
      <c r="Z646">
        <f>cleaneddata[[#This Row],[sales]]-cleaneddata[[#This Row],[Cost]]</f>
        <v>298.23599999999965</v>
      </c>
    </row>
    <row r="647" spans="1:26" x14ac:dyDescent="0.3">
      <c r="A647" t="s">
        <v>1806</v>
      </c>
      <c r="B647" s="1">
        <v>45749</v>
      </c>
      <c r="C647" t="s">
        <v>1807</v>
      </c>
      <c r="D647" t="s">
        <v>3125</v>
      </c>
      <c r="E647" s="1">
        <v>45753</v>
      </c>
      <c r="F647" t="s">
        <v>40</v>
      </c>
      <c r="G647" t="s">
        <v>38</v>
      </c>
      <c r="H647" t="s">
        <v>39</v>
      </c>
      <c r="I647" t="s">
        <v>2668</v>
      </c>
      <c r="J647" t="s">
        <v>2708</v>
      </c>
      <c r="K647" t="s">
        <v>52</v>
      </c>
      <c r="L647">
        <v>45</v>
      </c>
      <c r="M647">
        <v>5</v>
      </c>
      <c r="N647">
        <v>0</v>
      </c>
      <c r="O647" t="s">
        <v>1295</v>
      </c>
      <c r="P647" t="s">
        <v>44</v>
      </c>
      <c r="Q647" t="s">
        <v>70</v>
      </c>
      <c r="R647" t="s">
        <v>43</v>
      </c>
      <c r="S647" t="s">
        <v>41</v>
      </c>
      <c r="T647">
        <v>2</v>
      </c>
      <c r="U647">
        <v>770.87</v>
      </c>
      <c r="V647">
        <v>2195.36</v>
      </c>
      <c r="W647">
        <v>4</v>
      </c>
      <c r="X647" t="str">
        <f>TEXT(cleaneddata[[#This Row],[Order Date]],"mmm")</f>
        <v>Apr</v>
      </c>
      <c r="Y647">
        <f>cleaneddata[[#This Row],[Unit Price]]*cleaneddata[[#This Row],[Quantity]]*(1-cleaneddata[[#This Row],[Discount %]]/100)</f>
        <v>3854.35</v>
      </c>
      <c r="Z647">
        <f>cleaneddata[[#This Row],[sales]]-cleaneddata[[#This Row],[Cost]]</f>
        <v>1658.9899999999998</v>
      </c>
    </row>
    <row r="648" spans="1:26" x14ac:dyDescent="0.3">
      <c r="A648" t="s">
        <v>1808</v>
      </c>
      <c r="B648" s="1">
        <v>45659</v>
      </c>
      <c r="C648" t="s">
        <v>1809</v>
      </c>
      <c r="D648" t="s">
        <v>2748</v>
      </c>
      <c r="E648" s="1">
        <v>45666</v>
      </c>
      <c r="F648" t="s">
        <v>115</v>
      </c>
      <c r="G648" t="s">
        <v>66</v>
      </c>
      <c r="H648" t="s">
        <v>114</v>
      </c>
      <c r="I648" t="s">
        <v>2622</v>
      </c>
      <c r="J648" t="s">
        <v>2686</v>
      </c>
      <c r="K648" t="s">
        <v>52</v>
      </c>
      <c r="L648">
        <v>62</v>
      </c>
      <c r="M648">
        <v>4</v>
      </c>
      <c r="N648">
        <v>15</v>
      </c>
      <c r="O648" t="s">
        <v>687</v>
      </c>
      <c r="P648" t="s">
        <v>33</v>
      </c>
      <c r="Q648" t="s">
        <v>70</v>
      </c>
      <c r="R648" t="s">
        <v>43</v>
      </c>
      <c r="S648" t="s">
        <v>116</v>
      </c>
      <c r="T648">
        <v>2</v>
      </c>
      <c r="U648">
        <v>71.72</v>
      </c>
      <c r="V648">
        <v>191.49</v>
      </c>
      <c r="W648">
        <v>7</v>
      </c>
      <c r="X648" t="str">
        <f>TEXT(cleaneddata[[#This Row],[Order Date]],"mmm")</f>
        <v>Jan</v>
      </c>
      <c r="Y648">
        <f>cleaneddata[[#This Row],[Unit Price]]*cleaneddata[[#This Row],[Quantity]]*(1-cleaneddata[[#This Row],[Discount %]]/100)</f>
        <v>243.84799999999998</v>
      </c>
      <c r="Z648">
        <f>cleaneddata[[#This Row],[sales]]-cleaneddata[[#This Row],[Cost]]</f>
        <v>52.357999999999976</v>
      </c>
    </row>
    <row r="649" spans="1:26" x14ac:dyDescent="0.3">
      <c r="A649" t="s">
        <v>1810</v>
      </c>
      <c r="B649" s="1">
        <v>45461</v>
      </c>
      <c r="C649" t="s">
        <v>1811</v>
      </c>
      <c r="D649" t="s">
        <v>2746</v>
      </c>
      <c r="E649" s="1">
        <v>45466</v>
      </c>
      <c r="F649" t="s">
        <v>40</v>
      </c>
      <c r="G649" t="s">
        <v>38</v>
      </c>
      <c r="H649" t="s">
        <v>39</v>
      </c>
      <c r="I649" t="s">
        <v>2631</v>
      </c>
      <c r="J649" t="s">
        <v>2674</v>
      </c>
      <c r="K649" t="s">
        <v>52</v>
      </c>
      <c r="L649">
        <v>47</v>
      </c>
      <c r="M649">
        <v>5</v>
      </c>
      <c r="N649">
        <v>0</v>
      </c>
      <c r="O649" t="s">
        <v>347</v>
      </c>
      <c r="P649" t="s">
        <v>44</v>
      </c>
      <c r="Q649" t="s">
        <v>31</v>
      </c>
      <c r="R649" t="s">
        <v>62</v>
      </c>
      <c r="S649" t="s">
        <v>41</v>
      </c>
      <c r="T649">
        <v>1</v>
      </c>
      <c r="U649">
        <v>425.1</v>
      </c>
      <c r="V649">
        <v>1492.4</v>
      </c>
      <c r="W649">
        <v>5</v>
      </c>
      <c r="X649" t="str">
        <f>TEXT(cleaneddata[[#This Row],[Order Date]],"mmm")</f>
        <v>Jun</v>
      </c>
      <c r="Y649">
        <f>cleaneddata[[#This Row],[Unit Price]]*cleaneddata[[#This Row],[Quantity]]*(1-cleaneddata[[#This Row],[Discount %]]/100)</f>
        <v>2125.5</v>
      </c>
      <c r="Z649">
        <f>cleaneddata[[#This Row],[sales]]-cleaneddata[[#This Row],[Cost]]</f>
        <v>633.09999999999991</v>
      </c>
    </row>
    <row r="650" spans="1:26" x14ac:dyDescent="0.3">
      <c r="A650" t="s">
        <v>1812</v>
      </c>
      <c r="B650" s="1">
        <v>46163</v>
      </c>
      <c r="C650" t="s">
        <v>1813</v>
      </c>
      <c r="D650" t="s">
        <v>3124</v>
      </c>
      <c r="E650" s="1">
        <v>46164</v>
      </c>
      <c r="F650" t="s">
        <v>140</v>
      </c>
      <c r="G650" t="s">
        <v>38</v>
      </c>
      <c r="H650" t="s">
        <v>139</v>
      </c>
      <c r="I650" t="s">
        <v>2656</v>
      </c>
      <c r="J650" t="s">
        <v>2712</v>
      </c>
      <c r="K650" t="s">
        <v>52</v>
      </c>
      <c r="L650">
        <v>43</v>
      </c>
      <c r="M650">
        <v>4</v>
      </c>
      <c r="N650">
        <v>20</v>
      </c>
      <c r="O650" t="s">
        <v>1814</v>
      </c>
      <c r="P650" t="s">
        <v>33</v>
      </c>
      <c r="Q650" t="s">
        <v>31</v>
      </c>
      <c r="R650" t="s">
        <v>43</v>
      </c>
      <c r="S650" t="s">
        <v>141</v>
      </c>
      <c r="T650">
        <v>3</v>
      </c>
      <c r="U650">
        <v>499.31</v>
      </c>
      <c r="V650">
        <v>1144.54</v>
      </c>
      <c r="W650">
        <v>1</v>
      </c>
      <c r="X650" t="str">
        <f>TEXT(cleaneddata[[#This Row],[Order Date]],"mmm")</f>
        <v>May</v>
      </c>
      <c r="Y650">
        <f>cleaneddata[[#This Row],[Unit Price]]*cleaneddata[[#This Row],[Quantity]]*(1-cleaneddata[[#This Row],[Discount %]]/100)</f>
        <v>1597.7920000000001</v>
      </c>
      <c r="Z650">
        <f>cleaneddata[[#This Row],[sales]]-cleaneddata[[#This Row],[Cost]]</f>
        <v>453.25200000000018</v>
      </c>
    </row>
    <row r="651" spans="1:26" x14ac:dyDescent="0.3">
      <c r="A651" t="s">
        <v>1815</v>
      </c>
      <c r="B651" s="1">
        <v>45299</v>
      </c>
      <c r="C651" t="s">
        <v>1816</v>
      </c>
      <c r="D651" t="s">
        <v>2747</v>
      </c>
      <c r="E651" s="1">
        <v>45302</v>
      </c>
      <c r="F651" t="s">
        <v>122</v>
      </c>
      <c r="G651" t="s">
        <v>120</v>
      </c>
      <c r="H651" t="s">
        <v>121</v>
      </c>
      <c r="I651" t="s">
        <v>2679</v>
      </c>
      <c r="J651" t="s">
        <v>2685</v>
      </c>
      <c r="K651" t="s">
        <v>25</v>
      </c>
      <c r="L651">
        <v>24</v>
      </c>
      <c r="M651">
        <v>1</v>
      </c>
      <c r="N651">
        <v>15</v>
      </c>
      <c r="O651" t="s">
        <v>1059</v>
      </c>
      <c r="P651" t="s">
        <v>75</v>
      </c>
      <c r="Q651" t="s">
        <v>117</v>
      </c>
      <c r="R651" t="s">
        <v>43</v>
      </c>
      <c r="S651" t="s">
        <v>123</v>
      </c>
      <c r="T651">
        <v>1</v>
      </c>
      <c r="U651">
        <v>650.23</v>
      </c>
      <c r="V651">
        <v>338.6</v>
      </c>
      <c r="W651">
        <v>3</v>
      </c>
      <c r="X651" t="str">
        <f>TEXT(cleaneddata[[#This Row],[Order Date]],"mmm")</f>
        <v>Jan</v>
      </c>
      <c r="Y651">
        <f>cleaneddata[[#This Row],[Unit Price]]*cleaneddata[[#This Row],[Quantity]]*(1-cleaneddata[[#This Row],[Discount %]]/100)</f>
        <v>552.69550000000004</v>
      </c>
      <c r="Z651">
        <f>cleaneddata[[#This Row],[sales]]-cleaneddata[[#This Row],[Cost]]</f>
        <v>214.09550000000002</v>
      </c>
    </row>
    <row r="652" spans="1:26" x14ac:dyDescent="0.3">
      <c r="A652" t="s">
        <v>1817</v>
      </c>
      <c r="B652" s="1">
        <v>46052</v>
      </c>
      <c r="C652" t="s">
        <v>1818</v>
      </c>
      <c r="D652" t="s">
        <v>3123</v>
      </c>
      <c r="E652" s="1">
        <v>46055</v>
      </c>
      <c r="F652" t="s">
        <v>122</v>
      </c>
      <c r="G652" t="s">
        <v>120</v>
      </c>
      <c r="H652" t="s">
        <v>121</v>
      </c>
      <c r="I652" t="s">
        <v>2679</v>
      </c>
      <c r="J652" t="s">
        <v>2707</v>
      </c>
      <c r="K652" t="s">
        <v>52</v>
      </c>
      <c r="L652">
        <v>26</v>
      </c>
      <c r="M652">
        <v>2</v>
      </c>
      <c r="N652">
        <v>15</v>
      </c>
      <c r="O652" t="s">
        <v>899</v>
      </c>
      <c r="P652" t="s">
        <v>75</v>
      </c>
      <c r="Q652" t="s">
        <v>31</v>
      </c>
      <c r="R652" t="s">
        <v>62</v>
      </c>
      <c r="S652" t="s">
        <v>123</v>
      </c>
      <c r="T652">
        <v>2</v>
      </c>
      <c r="U652">
        <v>268.19</v>
      </c>
      <c r="V652">
        <v>345.97</v>
      </c>
      <c r="W652">
        <v>3</v>
      </c>
      <c r="X652" t="str">
        <f>TEXT(cleaneddata[[#This Row],[Order Date]],"mmm")</f>
        <v>Jan</v>
      </c>
      <c r="Y652">
        <f>cleaneddata[[#This Row],[Unit Price]]*cleaneddata[[#This Row],[Quantity]]*(1-cleaneddata[[#This Row],[Discount %]]/100)</f>
        <v>455.923</v>
      </c>
      <c r="Z652">
        <f>cleaneddata[[#This Row],[sales]]-cleaneddata[[#This Row],[Cost]]</f>
        <v>109.95299999999997</v>
      </c>
    </row>
    <row r="653" spans="1:26" x14ac:dyDescent="0.3">
      <c r="A653" t="s">
        <v>1819</v>
      </c>
      <c r="B653" s="1">
        <v>45802</v>
      </c>
      <c r="C653" t="s">
        <v>1820</v>
      </c>
      <c r="D653" t="s">
        <v>3122</v>
      </c>
      <c r="E653" s="1">
        <v>45807</v>
      </c>
      <c r="F653" t="s">
        <v>122</v>
      </c>
      <c r="G653" t="s">
        <v>120</v>
      </c>
      <c r="H653" t="s">
        <v>121</v>
      </c>
      <c r="I653" t="s">
        <v>2632</v>
      </c>
      <c r="J653" t="s">
        <v>2645</v>
      </c>
      <c r="K653" t="s">
        <v>52</v>
      </c>
      <c r="L653">
        <v>20</v>
      </c>
      <c r="M653">
        <v>4</v>
      </c>
      <c r="N653">
        <v>15</v>
      </c>
      <c r="O653" t="s">
        <v>1821</v>
      </c>
      <c r="P653" t="s">
        <v>75</v>
      </c>
      <c r="Q653" t="s">
        <v>42</v>
      </c>
      <c r="R653" t="s">
        <v>71</v>
      </c>
      <c r="S653" t="s">
        <v>123</v>
      </c>
      <c r="T653">
        <v>3</v>
      </c>
      <c r="U653">
        <v>796.92</v>
      </c>
      <c r="V653">
        <v>1946.25</v>
      </c>
      <c r="W653">
        <v>5</v>
      </c>
      <c r="X653" t="str">
        <f>TEXT(cleaneddata[[#This Row],[Order Date]],"mmm")</f>
        <v>May</v>
      </c>
      <c r="Y653">
        <f>cleaneddata[[#This Row],[Unit Price]]*cleaneddata[[#This Row],[Quantity]]*(1-cleaneddata[[#This Row],[Discount %]]/100)</f>
        <v>2709.5279999999998</v>
      </c>
      <c r="Z653">
        <f>cleaneddata[[#This Row],[sales]]-cleaneddata[[#This Row],[Cost]]</f>
        <v>763.27799999999979</v>
      </c>
    </row>
    <row r="654" spans="1:26" x14ac:dyDescent="0.3">
      <c r="A654" t="s">
        <v>1822</v>
      </c>
      <c r="B654" s="1">
        <v>45342</v>
      </c>
      <c r="C654" t="s">
        <v>1823</v>
      </c>
      <c r="D654" t="s">
        <v>3121</v>
      </c>
      <c r="E654" s="1">
        <v>45344</v>
      </c>
      <c r="F654" t="s">
        <v>29</v>
      </c>
      <c r="G654" t="s">
        <v>27</v>
      </c>
      <c r="H654" t="s">
        <v>28</v>
      </c>
      <c r="I654" t="s">
        <v>2632</v>
      </c>
      <c r="J654" t="s">
        <v>2645</v>
      </c>
      <c r="K654" t="s">
        <v>25</v>
      </c>
      <c r="L654">
        <v>35</v>
      </c>
      <c r="M654">
        <v>3</v>
      </c>
      <c r="N654">
        <v>20</v>
      </c>
      <c r="O654" t="s">
        <v>1180</v>
      </c>
      <c r="P654" t="s">
        <v>33</v>
      </c>
      <c r="Q654" t="s">
        <v>31</v>
      </c>
      <c r="R654" t="s">
        <v>62</v>
      </c>
      <c r="S654" t="s">
        <v>30</v>
      </c>
      <c r="T654">
        <v>4</v>
      </c>
      <c r="U654">
        <v>605.34</v>
      </c>
      <c r="V654">
        <v>1064.9000000000001</v>
      </c>
      <c r="W654">
        <v>2</v>
      </c>
      <c r="X654" t="str">
        <f>TEXT(cleaneddata[[#This Row],[Order Date]],"mmm")</f>
        <v>Feb</v>
      </c>
      <c r="Y654">
        <f>cleaneddata[[#This Row],[Unit Price]]*cleaneddata[[#This Row],[Quantity]]*(1-cleaneddata[[#This Row],[Discount %]]/100)</f>
        <v>1452.816</v>
      </c>
      <c r="Z654">
        <f>cleaneddata[[#This Row],[sales]]-cleaneddata[[#This Row],[Cost]]</f>
        <v>387.91599999999994</v>
      </c>
    </row>
    <row r="655" spans="1:26" x14ac:dyDescent="0.3">
      <c r="A655" t="s">
        <v>1824</v>
      </c>
      <c r="B655" s="1">
        <v>45968</v>
      </c>
      <c r="C655" t="s">
        <v>1825</v>
      </c>
      <c r="D655" t="s">
        <v>3120</v>
      </c>
      <c r="E655" s="1">
        <v>45975</v>
      </c>
      <c r="F655" t="s">
        <v>128</v>
      </c>
      <c r="G655" t="s">
        <v>98</v>
      </c>
      <c r="H655" t="s">
        <v>127</v>
      </c>
      <c r="I655" t="s">
        <v>2623</v>
      </c>
      <c r="J655" t="s">
        <v>2691</v>
      </c>
      <c r="K655" t="s">
        <v>52</v>
      </c>
      <c r="L655">
        <v>60</v>
      </c>
      <c r="M655">
        <v>4</v>
      </c>
      <c r="N655">
        <v>5</v>
      </c>
      <c r="O655" t="s">
        <v>291</v>
      </c>
      <c r="P655" t="s">
        <v>44</v>
      </c>
      <c r="Q655" t="s">
        <v>42</v>
      </c>
      <c r="R655" t="s">
        <v>71</v>
      </c>
      <c r="S655" t="s">
        <v>129</v>
      </c>
      <c r="T655">
        <v>3</v>
      </c>
      <c r="U655">
        <v>826.33</v>
      </c>
      <c r="V655">
        <v>2057.62</v>
      </c>
      <c r="W655">
        <v>7</v>
      </c>
      <c r="X655" t="str">
        <f>TEXT(cleaneddata[[#This Row],[Order Date]],"mmm")</f>
        <v>Nov</v>
      </c>
      <c r="Y655">
        <f>cleaneddata[[#This Row],[Unit Price]]*cleaneddata[[#This Row],[Quantity]]*(1-cleaneddata[[#This Row],[Discount %]]/100)</f>
        <v>3140.0540000000001</v>
      </c>
      <c r="Z655">
        <f>cleaneddata[[#This Row],[sales]]-cleaneddata[[#This Row],[Cost]]</f>
        <v>1082.4340000000002</v>
      </c>
    </row>
    <row r="656" spans="1:26" x14ac:dyDescent="0.3">
      <c r="A656" t="s">
        <v>1826</v>
      </c>
      <c r="B656" s="1">
        <v>45417</v>
      </c>
      <c r="C656" t="s">
        <v>1827</v>
      </c>
      <c r="D656" t="s">
        <v>3119</v>
      </c>
      <c r="E656" s="1">
        <v>45419</v>
      </c>
      <c r="F656" t="s">
        <v>122</v>
      </c>
      <c r="G656" t="s">
        <v>120</v>
      </c>
      <c r="H656" t="s">
        <v>121</v>
      </c>
      <c r="I656" t="s">
        <v>2635</v>
      </c>
      <c r="J656" t="s">
        <v>2643</v>
      </c>
      <c r="K656" t="s">
        <v>52</v>
      </c>
      <c r="L656">
        <v>21</v>
      </c>
      <c r="M656">
        <v>1</v>
      </c>
      <c r="N656">
        <v>30</v>
      </c>
      <c r="O656" t="s">
        <v>920</v>
      </c>
      <c r="P656" t="s">
        <v>44</v>
      </c>
      <c r="Q656" t="s">
        <v>70</v>
      </c>
      <c r="R656" t="s">
        <v>71</v>
      </c>
      <c r="S656" t="s">
        <v>123</v>
      </c>
      <c r="T656">
        <v>2</v>
      </c>
      <c r="U656">
        <v>355.64</v>
      </c>
      <c r="V656">
        <v>139.44</v>
      </c>
      <c r="W656">
        <v>2</v>
      </c>
      <c r="X656" t="str">
        <f>TEXT(cleaneddata[[#This Row],[Order Date]],"mmm")</f>
        <v>May</v>
      </c>
      <c r="Y656">
        <f>cleaneddata[[#This Row],[Unit Price]]*cleaneddata[[#This Row],[Quantity]]*(1-cleaneddata[[#This Row],[Discount %]]/100)</f>
        <v>248.94799999999998</v>
      </c>
      <c r="Z656">
        <f>cleaneddata[[#This Row],[sales]]-cleaneddata[[#This Row],[Cost]]</f>
        <v>109.50799999999998</v>
      </c>
    </row>
    <row r="657" spans="1:26" x14ac:dyDescent="0.3">
      <c r="A657" t="s">
        <v>1828</v>
      </c>
      <c r="B657" s="1">
        <v>45556</v>
      </c>
      <c r="C657" t="s">
        <v>1829</v>
      </c>
      <c r="D657" t="s">
        <v>3118</v>
      </c>
      <c r="E657" s="1">
        <v>45558</v>
      </c>
      <c r="F657" t="s">
        <v>29</v>
      </c>
      <c r="G657" t="s">
        <v>27</v>
      </c>
      <c r="H657" t="s">
        <v>28</v>
      </c>
      <c r="I657" t="s">
        <v>2633</v>
      </c>
      <c r="J657" t="s">
        <v>2636</v>
      </c>
      <c r="K657" t="s">
        <v>25</v>
      </c>
      <c r="L657">
        <v>33</v>
      </c>
      <c r="M657">
        <v>5</v>
      </c>
      <c r="N657">
        <v>10</v>
      </c>
      <c r="O657" t="s">
        <v>1830</v>
      </c>
      <c r="P657" t="s">
        <v>44</v>
      </c>
      <c r="Q657" t="s">
        <v>42</v>
      </c>
      <c r="R657" t="s">
        <v>62</v>
      </c>
      <c r="S657" t="s">
        <v>30</v>
      </c>
      <c r="T657">
        <v>2</v>
      </c>
      <c r="U657">
        <v>664.73</v>
      </c>
      <c r="V657">
        <v>1826.07</v>
      </c>
      <c r="W657">
        <v>2</v>
      </c>
      <c r="X657" t="str">
        <f>TEXT(cleaneddata[[#This Row],[Order Date]],"mmm")</f>
        <v>Sep</v>
      </c>
      <c r="Y657">
        <f>cleaneddata[[#This Row],[Unit Price]]*cleaneddata[[#This Row],[Quantity]]*(1-cleaneddata[[#This Row],[Discount %]]/100)</f>
        <v>2991.2850000000003</v>
      </c>
      <c r="Z657">
        <f>cleaneddata[[#This Row],[sales]]-cleaneddata[[#This Row],[Cost]]</f>
        <v>1165.2150000000004</v>
      </c>
    </row>
    <row r="658" spans="1:26" x14ac:dyDescent="0.3">
      <c r="A658" t="s">
        <v>1831</v>
      </c>
      <c r="B658" s="1">
        <v>45539</v>
      </c>
      <c r="C658" t="s">
        <v>1832</v>
      </c>
      <c r="D658" t="s">
        <v>3117</v>
      </c>
      <c r="E658" s="1">
        <v>45540</v>
      </c>
      <c r="F658" t="s">
        <v>140</v>
      </c>
      <c r="G658" t="s">
        <v>38</v>
      </c>
      <c r="H658" t="s">
        <v>139</v>
      </c>
      <c r="I658" t="s">
        <v>2631</v>
      </c>
      <c r="J658" t="s">
        <v>2694</v>
      </c>
      <c r="K658" t="s">
        <v>25</v>
      </c>
      <c r="L658">
        <v>64</v>
      </c>
      <c r="M658">
        <v>5</v>
      </c>
      <c r="N658">
        <v>5</v>
      </c>
      <c r="O658" t="s">
        <v>156</v>
      </c>
      <c r="P658" t="s">
        <v>44</v>
      </c>
      <c r="Q658" t="s">
        <v>58</v>
      </c>
      <c r="R658" t="s">
        <v>71</v>
      </c>
      <c r="S658" t="s">
        <v>141</v>
      </c>
      <c r="T658">
        <v>5</v>
      </c>
      <c r="U658">
        <v>303.98</v>
      </c>
      <c r="V658">
        <v>865.91</v>
      </c>
      <c r="W658">
        <v>1</v>
      </c>
      <c r="X658" t="str">
        <f>TEXT(cleaneddata[[#This Row],[Order Date]],"mmm")</f>
        <v>Sep</v>
      </c>
      <c r="Y658">
        <f>cleaneddata[[#This Row],[Unit Price]]*cleaneddata[[#This Row],[Quantity]]*(1-cleaneddata[[#This Row],[Discount %]]/100)</f>
        <v>1443.905</v>
      </c>
      <c r="Z658">
        <f>cleaneddata[[#This Row],[sales]]-cleaneddata[[#This Row],[Cost]]</f>
        <v>577.995</v>
      </c>
    </row>
    <row r="659" spans="1:26" x14ac:dyDescent="0.3">
      <c r="A659" t="s">
        <v>1833</v>
      </c>
      <c r="B659" s="1">
        <v>45454</v>
      </c>
      <c r="C659" t="s">
        <v>1834</v>
      </c>
      <c r="D659" t="s">
        <v>3116</v>
      </c>
      <c r="E659" s="1">
        <v>45455</v>
      </c>
      <c r="F659" t="s">
        <v>128</v>
      </c>
      <c r="G659" t="s">
        <v>98</v>
      </c>
      <c r="H659" t="s">
        <v>127</v>
      </c>
      <c r="I659" t="s">
        <v>2675</v>
      </c>
      <c r="J659" t="s">
        <v>2676</v>
      </c>
      <c r="K659" t="s">
        <v>25</v>
      </c>
      <c r="L659">
        <v>28</v>
      </c>
      <c r="M659">
        <v>2</v>
      </c>
      <c r="N659">
        <v>30</v>
      </c>
      <c r="O659" t="s">
        <v>791</v>
      </c>
      <c r="P659" t="s">
        <v>44</v>
      </c>
      <c r="Q659" t="s">
        <v>117</v>
      </c>
      <c r="R659" t="s">
        <v>62</v>
      </c>
      <c r="S659" t="s">
        <v>129</v>
      </c>
      <c r="T659">
        <v>3</v>
      </c>
      <c r="U659">
        <v>221.27</v>
      </c>
      <c r="V659">
        <v>230.44</v>
      </c>
      <c r="W659">
        <v>1</v>
      </c>
      <c r="X659" t="str">
        <f>TEXT(cleaneddata[[#This Row],[Order Date]],"mmm")</f>
        <v>Jun</v>
      </c>
      <c r="Y659">
        <f>cleaneddata[[#This Row],[Unit Price]]*cleaneddata[[#This Row],[Quantity]]*(1-cleaneddata[[#This Row],[Discount %]]/100)</f>
        <v>309.77800000000002</v>
      </c>
      <c r="Z659">
        <f>cleaneddata[[#This Row],[sales]]-cleaneddata[[#This Row],[Cost]]</f>
        <v>79.338000000000022</v>
      </c>
    </row>
    <row r="660" spans="1:26" x14ac:dyDescent="0.3">
      <c r="A660" t="s">
        <v>1835</v>
      </c>
      <c r="B660" s="1">
        <v>45908</v>
      </c>
      <c r="C660" t="s">
        <v>1836</v>
      </c>
      <c r="D660" t="s">
        <v>3115</v>
      </c>
      <c r="E660" s="1">
        <v>45909</v>
      </c>
      <c r="F660" t="s">
        <v>29</v>
      </c>
      <c r="G660" t="s">
        <v>27</v>
      </c>
      <c r="H660" t="s">
        <v>28</v>
      </c>
      <c r="I660" t="s">
        <v>2627</v>
      </c>
      <c r="J660" t="s">
        <v>2698</v>
      </c>
      <c r="K660" t="s">
        <v>52</v>
      </c>
      <c r="L660">
        <v>64</v>
      </c>
      <c r="M660">
        <v>5</v>
      </c>
      <c r="N660">
        <v>30</v>
      </c>
      <c r="O660" t="s">
        <v>1837</v>
      </c>
      <c r="P660" t="s">
        <v>75</v>
      </c>
      <c r="Q660" t="s">
        <v>42</v>
      </c>
      <c r="R660" t="s">
        <v>71</v>
      </c>
      <c r="S660" t="s">
        <v>30</v>
      </c>
      <c r="T660">
        <v>2</v>
      </c>
      <c r="U660">
        <v>245.94</v>
      </c>
      <c r="V660">
        <v>672.19</v>
      </c>
      <c r="W660">
        <v>1</v>
      </c>
      <c r="X660" t="str">
        <f>TEXT(cleaneddata[[#This Row],[Order Date]],"mmm")</f>
        <v>Sep</v>
      </c>
      <c r="Y660">
        <f>cleaneddata[[#This Row],[Unit Price]]*cleaneddata[[#This Row],[Quantity]]*(1-cleaneddata[[#This Row],[Discount %]]/100)</f>
        <v>860.79</v>
      </c>
      <c r="Z660">
        <f>cleaneddata[[#This Row],[sales]]-cleaneddata[[#This Row],[Cost]]</f>
        <v>188.59999999999991</v>
      </c>
    </row>
    <row r="661" spans="1:26" x14ac:dyDescent="0.3">
      <c r="A661" t="s">
        <v>1838</v>
      </c>
      <c r="B661" s="1">
        <v>45908</v>
      </c>
      <c r="C661" t="s">
        <v>1839</v>
      </c>
      <c r="D661" t="s">
        <v>3114</v>
      </c>
      <c r="E661" s="1">
        <v>45912</v>
      </c>
      <c r="F661" t="s">
        <v>40</v>
      </c>
      <c r="G661" t="s">
        <v>38</v>
      </c>
      <c r="H661" t="s">
        <v>39</v>
      </c>
      <c r="I661" t="s">
        <v>2631</v>
      </c>
      <c r="J661" t="s">
        <v>2674</v>
      </c>
      <c r="K661" t="s">
        <v>25</v>
      </c>
      <c r="L661">
        <v>63</v>
      </c>
      <c r="M661">
        <v>5</v>
      </c>
      <c r="N661">
        <v>30</v>
      </c>
      <c r="O661" t="s">
        <v>877</v>
      </c>
      <c r="P661" t="s">
        <v>33</v>
      </c>
      <c r="Q661" t="s">
        <v>70</v>
      </c>
      <c r="R661" t="s">
        <v>32</v>
      </c>
      <c r="S661" t="s">
        <v>41</v>
      </c>
      <c r="T661">
        <v>4</v>
      </c>
      <c r="U661">
        <v>174.85</v>
      </c>
      <c r="V661">
        <v>386.74</v>
      </c>
      <c r="W661">
        <v>4</v>
      </c>
      <c r="X661" t="str">
        <f>TEXT(cleaneddata[[#This Row],[Order Date]],"mmm")</f>
        <v>Sep</v>
      </c>
      <c r="Y661">
        <f>cleaneddata[[#This Row],[Unit Price]]*cleaneddata[[#This Row],[Quantity]]*(1-cleaneddata[[#This Row],[Discount %]]/100)</f>
        <v>611.97499999999991</v>
      </c>
      <c r="Z661">
        <f>cleaneddata[[#This Row],[sales]]-cleaneddata[[#This Row],[Cost]]</f>
        <v>225.2349999999999</v>
      </c>
    </row>
    <row r="662" spans="1:26" x14ac:dyDescent="0.3">
      <c r="A662" t="s">
        <v>1840</v>
      </c>
      <c r="B662" s="1">
        <v>46032</v>
      </c>
      <c r="C662" t="s">
        <v>1841</v>
      </c>
      <c r="D662" t="s">
        <v>3113</v>
      </c>
      <c r="E662" s="1">
        <v>46035</v>
      </c>
      <c r="F662" t="s">
        <v>115</v>
      </c>
      <c r="G662" t="s">
        <v>66</v>
      </c>
      <c r="H662" t="s">
        <v>114</v>
      </c>
      <c r="I662" t="s">
        <v>2668</v>
      </c>
      <c r="J662" t="s">
        <v>2708</v>
      </c>
      <c r="K662" t="s">
        <v>52</v>
      </c>
      <c r="L662">
        <v>19</v>
      </c>
      <c r="M662">
        <v>5</v>
      </c>
      <c r="N662">
        <v>5</v>
      </c>
      <c r="O662" t="s">
        <v>583</v>
      </c>
      <c r="P662" t="s">
        <v>44</v>
      </c>
      <c r="Q662" t="s">
        <v>42</v>
      </c>
      <c r="R662" t="s">
        <v>32</v>
      </c>
      <c r="S662" t="s">
        <v>116</v>
      </c>
      <c r="T662">
        <v>2</v>
      </c>
      <c r="U662">
        <v>608.64</v>
      </c>
      <c r="V662">
        <v>2056.52</v>
      </c>
      <c r="W662">
        <v>3</v>
      </c>
      <c r="X662" t="str">
        <f>TEXT(cleaneddata[[#This Row],[Order Date]],"mmm")</f>
        <v>Jan</v>
      </c>
      <c r="Y662">
        <f>cleaneddata[[#This Row],[Unit Price]]*cleaneddata[[#This Row],[Quantity]]*(1-cleaneddata[[#This Row],[Discount %]]/100)</f>
        <v>2891.0399999999995</v>
      </c>
      <c r="Z662">
        <f>cleaneddata[[#This Row],[sales]]-cleaneddata[[#This Row],[Cost]]</f>
        <v>834.51999999999953</v>
      </c>
    </row>
    <row r="663" spans="1:26" x14ac:dyDescent="0.3">
      <c r="A663" t="s">
        <v>1842</v>
      </c>
      <c r="B663" s="1">
        <v>45299</v>
      </c>
      <c r="C663" t="s">
        <v>1843</v>
      </c>
      <c r="D663" t="s">
        <v>3112</v>
      </c>
      <c r="E663" s="1">
        <v>45300</v>
      </c>
      <c r="F663" t="s">
        <v>140</v>
      </c>
      <c r="G663" t="s">
        <v>38</v>
      </c>
      <c r="H663" t="s">
        <v>139</v>
      </c>
      <c r="I663" t="s">
        <v>2622</v>
      </c>
      <c r="J663" t="s">
        <v>2622</v>
      </c>
      <c r="K663" t="s">
        <v>52</v>
      </c>
      <c r="L663">
        <v>62</v>
      </c>
      <c r="M663">
        <v>5</v>
      </c>
      <c r="N663">
        <v>10</v>
      </c>
      <c r="O663" t="s">
        <v>1155</v>
      </c>
      <c r="P663" t="s">
        <v>33</v>
      </c>
      <c r="Q663" t="s">
        <v>70</v>
      </c>
      <c r="R663" t="s">
        <v>71</v>
      </c>
      <c r="S663" t="s">
        <v>141</v>
      </c>
      <c r="T663">
        <v>3</v>
      </c>
      <c r="U663">
        <v>581.39</v>
      </c>
      <c r="V663">
        <v>1680.44</v>
      </c>
      <c r="W663">
        <v>1</v>
      </c>
      <c r="X663" t="str">
        <f>TEXT(cleaneddata[[#This Row],[Order Date]],"mmm")</f>
        <v>Jan</v>
      </c>
      <c r="Y663">
        <f>cleaneddata[[#This Row],[Unit Price]]*cleaneddata[[#This Row],[Quantity]]*(1-cleaneddata[[#This Row],[Discount %]]/100)</f>
        <v>2616.2550000000001</v>
      </c>
      <c r="Z663">
        <f>cleaneddata[[#This Row],[sales]]-cleaneddata[[#This Row],[Cost]]</f>
        <v>935.81500000000005</v>
      </c>
    </row>
    <row r="664" spans="1:26" x14ac:dyDescent="0.3">
      <c r="A664" t="s">
        <v>1844</v>
      </c>
      <c r="B664" s="1">
        <v>45497</v>
      </c>
      <c r="C664" t="s">
        <v>1845</v>
      </c>
      <c r="D664" t="s">
        <v>3111</v>
      </c>
      <c r="E664" s="1">
        <v>45502</v>
      </c>
      <c r="F664" t="s">
        <v>40</v>
      </c>
      <c r="G664" t="s">
        <v>38</v>
      </c>
      <c r="H664" t="s">
        <v>39</v>
      </c>
      <c r="I664" t="s">
        <v>2663</v>
      </c>
      <c r="J664" t="s">
        <v>2670</v>
      </c>
      <c r="K664" t="s">
        <v>52</v>
      </c>
      <c r="L664">
        <v>23</v>
      </c>
      <c r="M664">
        <v>1</v>
      </c>
      <c r="N664">
        <v>0</v>
      </c>
      <c r="O664" t="s">
        <v>1610</v>
      </c>
      <c r="P664" t="s">
        <v>75</v>
      </c>
      <c r="Q664" t="s">
        <v>117</v>
      </c>
      <c r="R664" t="s">
        <v>62</v>
      </c>
      <c r="S664" t="s">
        <v>41</v>
      </c>
      <c r="T664">
        <v>1</v>
      </c>
      <c r="U664">
        <v>927.18</v>
      </c>
      <c r="V664">
        <v>759.06</v>
      </c>
      <c r="W664">
        <v>5</v>
      </c>
      <c r="X664" t="str">
        <f>TEXT(cleaneddata[[#This Row],[Order Date]],"mmm")</f>
        <v>Jul</v>
      </c>
      <c r="Y664">
        <f>cleaneddata[[#This Row],[Unit Price]]*cleaneddata[[#This Row],[Quantity]]*(1-cleaneddata[[#This Row],[Discount %]]/100)</f>
        <v>927.18</v>
      </c>
      <c r="Z664">
        <f>cleaneddata[[#This Row],[sales]]-cleaneddata[[#This Row],[Cost]]</f>
        <v>168.12</v>
      </c>
    </row>
    <row r="665" spans="1:26" x14ac:dyDescent="0.3">
      <c r="A665" t="s">
        <v>1846</v>
      </c>
      <c r="B665" s="1">
        <v>45983</v>
      </c>
      <c r="C665" t="s">
        <v>1847</v>
      </c>
      <c r="D665" t="s">
        <v>3110</v>
      </c>
      <c r="E665" s="1">
        <v>45990</v>
      </c>
      <c r="F665" t="s">
        <v>100</v>
      </c>
      <c r="G665" t="s">
        <v>98</v>
      </c>
      <c r="H665" t="s">
        <v>99</v>
      </c>
      <c r="I665" t="s">
        <v>2631</v>
      </c>
      <c r="J665" t="s">
        <v>2711</v>
      </c>
      <c r="K665" t="s">
        <v>52</v>
      </c>
      <c r="L665">
        <v>56</v>
      </c>
      <c r="M665">
        <v>2</v>
      </c>
      <c r="N665">
        <v>10</v>
      </c>
      <c r="O665" t="s">
        <v>1848</v>
      </c>
      <c r="P665" t="s">
        <v>33</v>
      </c>
      <c r="Q665" t="s">
        <v>117</v>
      </c>
      <c r="R665" t="s">
        <v>71</v>
      </c>
      <c r="S665" t="s">
        <v>101</v>
      </c>
      <c r="T665">
        <v>2</v>
      </c>
      <c r="U665">
        <v>746.92</v>
      </c>
      <c r="V665">
        <v>968.73</v>
      </c>
      <c r="W665">
        <v>7</v>
      </c>
      <c r="X665" t="str">
        <f>TEXT(cleaneddata[[#This Row],[Order Date]],"mmm")</f>
        <v>Nov</v>
      </c>
      <c r="Y665">
        <f>cleaneddata[[#This Row],[Unit Price]]*cleaneddata[[#This Row],[Quantity]]*(1-cleaneddata[[#This Row],[Discount %]]/100)</f>
        <v>1344.4559999999999</v>
      </c>
      <c r="Z665">
        <f>cleaneddata[[#This Row],[sales]]-cleaneddata[[#This Row],[Cost]]</f>
        <v>375.72599999999989</v>
      </c>
    </row>
    <row r="666" spans="1:26" x14ac:dyDescent="0.3">
      <c r="A666" t="s">
        <v>1849</v>
      </c>
      <c r="B666" s="1">
        <v>45637</v>
      </c>
      <c r="C666" t="s">
        <v>1850</v>
      </c>
      <c r="D666" t="s">
        <v>3109</v>
      </c>
      <c r="E666" s="1">
        <v>45641</v>
      </c>
      <c r="F666" t="s">
        <v>56</v>
      </c>
      <c r="G666" t="s">
        <v>54</v>
      </c>
      <c r="H666" t="s">
        <v>55</v>
      </c>
      <c r="I666" t="s">
        <v>2632</v>
      </c>
      <c r="J666" t="s">
        <v>2646</v>
      </c>
      <c r="K666" t="s">
        <v>25</v>
      </c>
      <c r="L666">
        <v>57</v>
      </c>
      <c r="M666">
        <v>2</v>
      </c>
      <c r="N666">
        <v>10</v>
      </c>
      <c r="O666" t="s">
        <v>1689</v>
      </c>
      <c r="P666" t="s">
        <v>75</v>
      </c>
      <c r="Q666" t="s">
        <v>58</v>
      </c>
      <c r="R666" t="s">
        <v>32</v>
      </c>
      <c r="S666" t="s">
        <v>57</v>
      </c>
      <c r="T666">
        <v>1</v>
      </c>
      <c r="U666">
        <v>398.73</v>
      </c>
      <c r="V666">
        <v>601.52</v>
      </c>
      <c r="W666">
        <v>4</v>
      </c>
      <c r="X666" t="str">
        <f>TEXT(cleaneddata[[#This Row],[Order Date]],"mmm")</f>
        <v>Dec</v>
      </c>
      <c r="Y666">
        <f>cleaneddata[[#This Row],[Unit Price]]*cleaneddata[[#This Row],[Quantity]]*(1-cleaneddata[[#This Row],[Discount %]]/100)</f>
        <v>717.71400000000006</v>
      </c>
      <c r="Z666">
        <f>cleaneddata[[#This Row],[sales]]-cleaneddata[[#This Row],[Cost]]</f>
        <v>116.19400000000007</v>
      </c>
    </row>
    <row r="667" spans="1:26" x14ac:dyDescent="0.3">
      <c r="A667" t="s">
        <v>1851</v>
      </c>
      <c r="B667" s="1">
        <v>46133</v>
      </c>
      <c r="C667" t="s">
        <v>213</v>
      </c>
      <c r="D667" t="s">
        <v>3108</v>
      </c>
      <c r="E667" s="1">
        <v>46134</v>
      </c>
      <c r="F667" t="s">
        <v>56</v>
      </c>
      <c r="G667" t="s">
        <v>54</v>
      </c>
      <c r="H667" t="s">
        <v>55</v>
      </c>
      <c r="I667" t="s">
        <v>2635</v>
      </c>
      <c r="J667" t="s">
        <v>2677</v>
      </c>
      <c r="K667" t="s">
        <v>25</v>
      </c>
      <c r="L667">
        <v>32</v>
      </c>
      <c r="M667">
        <v>1</v>
      </c>
      <c r="N667">
        <v>5</v>
      </c>
      <c r="O667" t="s">
        <v>316</v>
      </c>
      <c r="P667" t="s">
        <v>75</v>
      </c>
      <c r="Q667" t="s">
        <v>42</v>
      </c>
      <c r="R667" t="s">
        <v>32</v>
      </c>
      <c r="S667" t="s">
        <v>57</v>
      </c>
      <c r="T667">
        <v>3</v>
      </c>
      <c r="U667">
        <v>434.86</v>
      </c>
      <c r="V667">
        <v>288.44</v>
      </c>
      <c r="W667">
        <v>1</v>
      </c>
      <c r="X667" t="str">
        <f>TEXT(cleaneddata[[#This Row],[Order Date]],"mmm")</f>
        <v>Apr</v>
      </c>
      <c r="Y667">
        <f>cleaneddata[[#This Row],[Unit Price]]*cleaneddata[[#This Row],[Quantity]]*(1-cleaneddata[[#This Row],[Discount %]]/100)</f>
        <v>413.11700000000002</v>
      </c>
      <c r="Z667">
        <f>cleaneddata[[#This Row],[sales]]-cleaneddata[[#This Row],[Cost]]</f>
        <v>124.67700000000002</v>
      </c>
    </row>
    <row r="668" spans="1:26" x14ac:dyDescent="0.3">
      <c r="A668" t="s">
        <v>1852</v>
      </c>
      <c r="B668" s="1">
        <v>46068</v>
      </c>
      <c r="C668" t="s">
        <v>1853</v>
      </c>
      <c r="D668" t="s">
        <v>3107</v>
      </c>
      <c r="E668" s="1">
        <v>46072</v>
      </c>
      <c r="F668" t="s">
        <v>29</v>
      </c>
      <c r="G668" t="s">
        <v>27</v>
      </c>
      <c r="H668" t="s">
        <v>28</v>
      </c>
      <c r="I668" t="s">
        <v>2634</v>
      </c>
      <c r="J668" t="s">
        <v>2714</v>
      </c>
      <c r="K668" t="s">
        <v>25</v>
      </c>
      <c r="L668">
        <v>26</v>
      </c>
      <c r="M668">
        <v>3</v>
      </c>
      <c r="N668">
        <v>25</v>
      </c>
      <c r="O668" t="s">
        <v>1854</v>
      </c>
      <c r="P668" t="s">
        <v>75</v>
      </c>
      <c r="Q668" t="s">
        <v>117</v>
      </c>
      <c r="R668" t="s">
        <v>43</v>
      </c>
      <c r="S668" t="s">
        <v>30</v>
      </c>
      <c r="T668">
        <v>4</v>
      </c>
      <c r="U668">
        <v>617.23</v>
      </c>
      <c r="V668">
        <v>956.1</v>
      </c>
      <c r="W668">
        <v>4</v>
      </c>
      <c r="X668" t="str">
        <f>TEXT(cleaneddata[[#This Row],[Order Date]],"mmm")</f>
        <v>Feb</v>
      </c>
      <c r="Y668">
        <f>cleaneddata[[#This Row],[Unit Price]]*cleaneddata[[#This Row],[Quantity]]*(1-cleaneddata[[#This Row],[Discount %]]/100)</f>
        <v>1388.7674999999999</v>
      </c>
      <c r="Z668">
        <f>cleaneddata[[#This Row],[sales]]-cleaneddata[[#This Row],[Cost]]</f>
        <v>432.6674999999999</v>
      </c>
    </row>
    <row r="669" spans="1:26" x14ac:dyDescent="0.3">
      <c r="A669" t="s">
        <v>1855</v>
      </c>
      <c r="B669" s="1">
        <v>45578</v>
      </c>
      <c r="C669" t="s">
        <v>1856</v>
      </c>
      <c r="D669" t="s">
        <v>3106</v>
      </c>
      <c r="E669" s="1">
        <v>45580</v>
      </c>
      <c r="F669" t="s">
        <v>40</v>
      </c>
      <c r="G669" t="s">
        <v>38</v>
      </c>
      <c r="H669" t="s">
        <v>39</v>
      </c>
      <c r="I669" t="s">
        <v>2634</v>
      </c>
      <c r="J669" t="s">
        <v>2714</v>
      </c>
      <c r="K669" t="s">
        <v>25</v>
      </c>
      <c r="L669">
        <v>18</v>
      </c>
      <c r="M669">
        <v>3</v>
      </c>
      <c r="N669">
        <v>0</v>
      </c>
      <c r="O669" t="s">
        <v>1857</v>
      </c>
      <c r="P669" t="s">
        <v>75</v>
      </c>
      <c r="Q669" t="s">
        <v>117</v>
      </c>
      <c r="R669" t="s">
        <v>62</v>
      </c>
      <c r="S669" t="s">
        <v>41</v>
      </c>
      <c r="T669">
        <v>5</v>
      </c>
      <c r="U669">
        <v>353.12</v>
      </c>
      <c r="V669">
        <v>684.62</v>
      </c>
      <c r="W669">
        <v>2</v>
      </c>
      <c r="X669" t="str">
        <f>TEXT(cleaneddata[[#This Row],[Order Date]],"mmm")</f>
        <v>Oct</v>
      </c>
      <c r="Y669">
        <f>cleaneddata[[#This Row],[Unit Price]]*cleaneddata[[#This Row],[Quantity]]*(1-cleaneddata[[#This Row],[Discount %]]/100)</f>
        <v>1059.3600000000001</v>
      </c>
      <c r="Z669">
        <f>cleaneddata[[#This Row],[sales]]-cleaneddata[[#This Row],[Cost]]</f>
        <v>374.74000000000012</v>
      </c>
    </row>
    <row r="670" spans="1:26" x14ac:dyDescent="0.3">
      <c r="A670" t="s">
        <v>1858</v>
      </c>
      <c r="B670" s="1">
        <v>45802</v>
      </c>
      <c r="C670" t="s">
        <v>1859</v>
      </c>
      <c r="D670" t="s">
        <v>3105</v>
      </c>
      <c r="E670" s="1">
        <v>45807</v>
      </c>
      <c r="F670" t="s">
        <v>122</v>
      </c>
      <c r="G670" t="s">
        <v>120</v>
      </c>
      <c r="H670" t="s">
        <v>121</v>
      </c>
      <c r="I670" t="s">
        <v>2629</v>
      </c>
      <c r="J670" t="s">
        <v>2630</v>
      </c>
      <c r="K670" t="s">
        <v>52</v>
      </c>
      <c r="L670">
        <v>52</v>
      </c>
      <c r="M670">
        <v>2</v>
      </c>
      <c r="N670">
        <v>0</v>
      </c>
      <c r="O670" t="s">
        <v>1751</v>
      </c>
      <c r="P670" t="s">
        <v>44</v>
      </c>
      <c r="Q670" t="s">
        <v>117</v>
      </c>
      <c r="R670" t="s">
        <v>32</v>
      </c>
      <c r="S670" t="s">
        <v>123</v>
      </c>
      <c r="T670">
        <v>5</v>
      </c>
      <c r="U670">
        <v>221.86</v>
      </c>
      <c r="V670">
        <v>292.18</v>
      </c>
      <c r="W670">
        <v>5</v>
      </c>
      <c r="X670" t="str">
        <f>TEXT(cleaneddata[[#This Row],[Order Date]],"mmm")</f>
        <v>May</v>
      </c>
      <c r="Y670">
        <f>cleaneddata[[#This Row],[Unit Price]]*cleaneddata[[#This Row],[Quantity]]*(1-cleaneddata[[#This Row],[Discount %]]/100)</f>
        <v>443.72</v>
      </c>
      <c r="Z670">
        <f>cleaneddata[[#This Row],[sales]]-cleaneddata[[#This Row],[Cost]]</f>
        <v>151.54000000000002</v>
      </c>
    </row>
    <row r="671" spans="1:26" x14ac:dyDescent="0.3">
      <c r="A671" t="s">
        <v>1860</v>
      </c>
      <c r="B671" s="1">
        <v>45603</v>
      </c>
      <c r="C671" t="s">
        <v>1861</v>
      </c>
      <c r="D671" t="s">
        <v>3104</v>
      </c>
      <c r="E671" s="1">
        <v>45608</v>
      </c>
      <c r="F671" t="s">
        <v>40</v>
      </c>
      <c r="G671" t="s">
        <v>38</v>
      </c>
      <c r="H671" t="s">
        <v>39</v>
      </c>
      <c r="I671" t="s">
        <v>2633</v>
      </c>
      <c r="J671" t="s">
        <v>2678</v>
      </c>
      <c r="K671" t="s">
        <v>52</v>
      </c>
      <c r="L671">
        <v>55</v>
      </c>
      <c r="M671">
        <v>2</v>
      </c>
      <c r="N671">
        <v>5</v>
      </c>
      <c r="O671" t="s">
        <v>1862</v>
      </c>
      <c r="P671" t="s">
        <v>44</v>
      </c>
      <c r="Q671" t="s">
        <v>58</v>
      </c>
      <c r="R671" t="s">
        <v>71</v>
      </c>
      <c r="S671" t="s">
        <v>41</v>
      </c>
      <c r="T671">
        <v>4</v>
      </c>
      <c r="U671">
        <v>698.81</v>
      </c>
      <c r="V671">
        <v>1105.3399999999999</v>
      </c>
      <c r="W671">
        <v>5</v>
      </c>
      <c r="X671" t="str">
        <f>TEXT(cleaneddata[[#This Row],[Order Date]],"mmm")</f>
        <v>Nov</v>
      </c>
      <c r="Y671">
        <f>cleaneddata[[#This Row],[Unit Price]]*cleaneddata[[#This Row],[Quantity]]*(1-cleaneddata[[#This Row],[Discount %]]/100)</f>
        <v>1327.7389999999998</v>
      </c>
      <c r="Z671">
        <f>cleaneddata[[#This Row],[sales]]-cleaneddata[[#This Row],[Cost]]</f>
        <v>222.39899999999989</v>
      </c>
    </row>
    <row r="672" spans="1:26" x14ac:dyDescent="0.3">
      <c r="A672" t="s">
        <v>1863</v>
      </c>
      <c r="B672" s="1">
        <v>45624</v>
      </c>
      <c r="C672" t="s">
        <v>1864</v>
      </c>
      <c r="D672" t="s">
        <v>3103</v>
      </c>
      <c r="E672" s="1">
        <v>45630</v>
      </c>
      <c r="F672" t="s">
        <v>115</v>
      </c>
      <c r="G672" t="s">
        <v>66</v>
      </c>
      <c r="H672" t="s">
        <v>114</v>
      </c>
      <c r="I672" t="s">
        <v>2629</v>
      </c>
      <c r="J672" t="s">
        <v>2709</v>
      </c>
      <c r="K672" t="s">
        <v>25</v>
      </c>
      <c r="L672">
        <v>49</v>
      </c>
      <c r="M672">
        <v>4</v>
      </c>
      <c r="N672">
        <v>30</v>
      </c>
      <c r="O672" t="s">
        <v>1865</v>
      </c>
      <c r="P672" t="s">
        <v>33</v>
      </c>
      <c r="Q672" t="s">
        <v>58</v>
      </c>
      <c r="R672" t="s">
        <v>62</v>
      </c>
      <c r="S672" t="s">
        <v>116</v>
      </c>
      <c r="T672">
        <v>1</v>
      </c>
      <c r="U672">
        <v>717.13</v>
      </c>
      <c r="V672">
        <v>1225.32</v>
      </c>
      <c r="W672">
        <v>6</v>
      </c>
      <c r="X672" t="str">
        <f>TEXT(cleaneddata[[#This Row],[Order Date]],"mmm")</f>
        <v>Nov</v>
      </c>
      <c r="Y672">
        <f>cleaneddata[[#This Row],[Unit Price]]*cleaneddata[[#This Row],[Quantity]]*(1-cleaneddata[[#This Row],[Discount %]]/100)</f>
        <v>2007.9639999999999</v>
      </c>
      <c r="Z672">
        <f>cleaneddata[[#This Row],[sales]]-cleaneddata[[#This Row],[Cost]]</f>
        <v>782.64400000000001</v>
      </c>
    </row>
    <row r="673" spans="1:26" x14ac:dyDescent="0.3">
      <c r="A673" t="s">
        <v>1866</v>
      </c>
      <c r="B673" s="1">
        <v>46095</v>
      </c>
      <c r="C673" t="s">
        <v>1867</v>
      </c>
      <c r="D673" t="s">
        <v>3102</v>
      </c>
      <c r="E673" s="1">
        <v>46100</v>
      </c>
      <c r="F673" t="s">
        <v>140</v>
      </c>
      <c r="G673" t="s">
        <v>38</v>
      </c>
      <c r="H673" t="s">
        <v>139</v>
      </c>
      <c r="I673" t="s">
        <v>2656</v>
      </c>
      <c r="J673" t="s">
        <v>2683</v>
      </c>
      <c r="K673" t="s">
        <v>25</v>
      </c>
      <c r="L673">
        <v>36</v>
      </c>
      <c r="M673">
        <v>5</v>
      </c>
      <c r="N673">
        <v>20</v>
      </c>
      <c r="O673" t="s">
        <v>1868</v>
      </c>
      <c r="P673" t="s">
        <v>33</v>
      </c>
      <c r="Q673" t="s">
        <v>70</v>
      </c>
      <c r="R673" t="s">
        <v>71</v>
      </c>
      <c r="S673" t="s">
        <v>141</v>
      </c>
      <c r="T673">
        <v>5</v>
      </c>
      <c r="U673">
        <v>789.81</v>
      </c>
      <c r="V673">
        <v>2237.56</v>
      </c>
      <c r="W673">
        <v>5</v>
      </c>
      <c r="X673" t="str">
        <f>TEXT(cleaneddata[[#This Row],[Order Date]],"mmm")</f>
        <v>Mar</v>
      </c>
      <c r="Y673">
        <f>cleaneddata[[#This Row],[Unit Price]]*cleaneddata[[#This Row],[Quantity]]*(1-cleaneddata[[#This Row],[Discount %]]/100)</f>
        <v>3159.24</v>
      </c>
      <c r="Z673">
        <f>cleaneddata[[#This Row],[sales]]-cleaneddata[[#This Row],[Cost]]</f>
        <v>921.67999999999984</v>
      </c>
    </row>
    <row r="674" spans="1:26" x14ac:dyDescent="0.3">
      <c r="A674" t="s">
        <v>1869</v>
      </c>
      <c r="B674" s="1">
        <v>45889</v>
      </c>
      <c r="C674" t="s">
        <v>1870</v>
      </c>
      <c r="D674" t="s">
        <v>3101</v>
      </c>
      <c r="E674" s="1">
        <v>45892</v>
      </c>
      <c r="F674" t="s">
        <v>128</v>
      </c>
      <c r="G674" t="s">
        <v>98</v>
      </c>
      <c r="H674" t="s">
        <v>127</v>
      </c>
      <c r="I674" t="s">
        <v>2623</v>
      </c>
      <c r="J674" t="s">
        <v>2624</v>
      </c>
      <c r="K674" t="s">
        <v>25</v>
      </c>
      <c r="L674">
        <v>51</v>
      </c>
      <c r="M674">
        <v>2</v>
      </c>
      <c r="N674">
        <v>5</v>
      </c>
      <c r="O674" t="s">
        <v>698</v>
      </c>
      <c r="P674" t="s">
        <v>75</v>
      </c>
      <c r="Q674" t="s">
        <v>31</v>
      </c>
      <c r="R674" t="s">
        <v>71</v>
      </c>
      <c r="S674" t="s">
        <v>129</v>
      </c>
      <c r="T674">
        <v>3</v>
      </c>
      <c r="U674">
        <v>827.88</v>
      </c>
      <c r="V674">
        <v>1106.07</v>
      </c>
      <c r="W674">
        <v>3</v>
      </c>
      <c r="X674" t="str">
        <f>TEXT(cleaneddata[[#This Row],[Order Date]],"mmm")</f>
        <v>Aug</v>
      </c>
      <c r="Y674">
        <f>cleaneddata[[#This Row],[Unit Price]]*cleaneddata[[#This Row],[Quantity]]*(1-cleaneddata[[#This Row],[Discount %]]/100)</f>
        <v>1572.972</v>
      </c>
      <c r="Z674">
        <f>cleaneddata[[#This Row],[sales]]-cleaneddata[[#This Row],[Cost]]</f>
        <v>466.90200000000004</v>
      </c>
    </row>
    <row r="675" spans="1:26" x14ac:dyDescent="0.3">
      <c r="A675" t="s">
        <v>1871</v>
      </c>
      <c r="B675" s="1">
        <v>45665</v>
      </c>
      <c r="C675" t="s">
        <v>1872</v>
      </c>
      <c r="D675" t="s">
        <v>3100</v>
      </c>
      <c r="E675" s="1">
        <v>45671</v>
      </c>
      <c r="F675" t="s">
        <v>56</v>
      </c>
      <c r="G675" t="s">
        <v>54</v>
      </c>
      <c r="H675" t="s">
        <v>55</v>
      </c>
      <c r="I675" t="s">
        <v>2665</v>
      </c>
      <c r="J675" t="s">
        <v>2693</v>
      </c>
      <c r="K675" t="s">
        <v>25</v>
      </c>
      <c r="L675">
        <v>34</v>
      </c>
      <c r="M675">
        <v>4</v>
      </c>
      <c r="N675">
        <v>0</v>
      </c>
      <c r="O675" t="s">
        <v>1449</v>
      </c>
      <c r="P675" t="s">
        <v>33</v>
      </c>
      <c r="Q675" t="s">
        <v>31</v>
      </c>
      <c r="R675" t="s">
        <v>62</v>
      </c>
      <c r="S675" t="s">
        <v>57</v>
      </c>
      <c r="T675">
        <v>3</v>
      </c>
      <c r="U675">
        <v>142.11000000000001</v>
      </c>
      <c r="V675">
        <v>315.64</v>
      </c>
      <c r="W675">
        <v>6</v>
      </c>
      <c r="X675" t="str">
        <f>TEXT(cleaneddata[[#This Row],[Order Date]],"mmm")</f>
        <v>Jan</v>
      </c>
      <c r="Y675">
        <f>cleaneddata[[#This Row],[Unit Price]]*cleaneddata[[#This Row],[Quantity]]*(1-cleaneddata[[#This Row],[Discount %]]/100)</f>
        <v>568.44000000000005</v>
      </c>
      <c r="Z675">
        <f>cleaneddata[[#This Row],[sales]]-cleaneddata[[#This Row],[Cost]]</f>
        <v>252.80000000000007</v>
      </c>
    </row>
    <row r="676" spans="1:26" x14ac:dyDescent="0.3">
      <c r="A676" t="s">
        <v>1873</v>
      </c>
      <c r="B676" s="1">
        <v>45488</v>
      </c>
      <c r="C676" t="s">
        <v>1874</v>
      </c>
      <c r="D676" t="s">
        <v>3099</v>
      </c>
      <c r="E676" s="1">
        <v>45494</v>
      </c>
      <c r="F676" t="s">
        <v>29</v>
      </c>
      <c r="G676" t="s">
        <v>27</v>
      </c>
      <c r="H676" t="s">
        <v>28</v>
      </c>
      <c r="I676" t="s">
        <v>2635</v>
      </c>
      <c r="J676" t="s">
        <v>2677</v>
      </c>
      <c r="K676" t="s">
        <v>52</v>
      </c>
      <c r="L676">
        <v>27</v>
      </c>
      <c r="M676">
        <v>2</v>
      </c>
      <c r="N676">
        <v>15</v>
      </c>
      <c r="O676" t="s">
        <v>1117</v>
      </c>
      <c r="P676" t="s">
        <v>75</v>
      </c>
      <c r="Q676" t="s">
        <v>117</v>
      </c>
      <c r="R676" t="s">
        <v>43</v>
      </c>
      <c r="S676" t="s">
        <v>30</v>
      </c>
      <c r="T676">
        <v>5</v>
      </c>
      <c r="U676">
        <v>301.06</v>
      </c>
      <c r="V676">
        <v>367.54</v>
      </c>
      <c r="W676">
        <v>6</v>
      </c>
      <c r="X676" t="str">
        <f>TEXT(cleaneddata[[#This Row],[Order Date]],"mmm")</f>
        <v>Jul</v>
      </c>
      <c r="Y676">
        <f>cleaneddata[[#This Row],[Unit Price]]*cleaneddata[[#This Row],[Quantity]]*(1-cleaneddata[[#This Row],[Discount %]]/100)</f>
        <v>511.80199999999996</v>
      </c>
      <c r="Z676">
        <f>cleaneddata[[#This Row],[sales]]-cleaneddata[[#This Row],[Cost]]</f>
        <v>144.26199999999994</v>
      </c>
    </row>
    <row r="677" spans="1:26" x14ac:dyDescent="0.3">
      <c r="A677" t="s">
        <v>1875</v>
      </c>
      <c r="B677" s="1">
        <v>45451</v>
      </c>
      <c r="C677" t="s">
        <v>1876</v>
      </c>
      <c r="D677" t="s">
        <v>3098</v>
      </c>
      <c r="E677" s="1">
        <v>45452</v>
      </c>
      <c r="F677" t="s">
        <v>100</v>
      </c>
      <c r="G677" t="s">
        <v>98</v>
      </c>
      <c r="H677" t="s">
        <v>99</v>
      </c>
      <c r="I677" t="s">
        <v>2622</v>
      </c>
      <c r="J677" t="s">
        <v>2705</v>
      </c>
      <c r="K677" t="s">
        <v>52</v>
      </c>
      <c r="L677">
        <v>42</v>
      </c>
      <c r="M677">
        <v>3</v>
      </c>
      <c r="N677">
        <v>15</v>
      </c>
      <c r="O677" t="s">
        <v>1324</v>
      </c>
      <c r="P677" t="s">
        <v>33</v>
      </c>
      <c r="Q677" t="s">
        <v>70</v>
      </c>
      <c r="R677" t="s">
        <v>43</v>
      </c>
      <c r="S677" t="s">
        <v>101</v>
      </c>
      <c r="T677">
        <v>5</v>
      </c>
      <c r="U677">
        <v>498.64</v>
      </c>
      <c r="V677">
        <v>829.27</v>
      </c>
      <c r="W677">
        <v>1</v>
      </c>
      <c r="X677" t="str">
        <f>TEXT(cleaneddata[[#This Row],[Order Date]],"mmm")</f>
        <v>Jun</v>
      </c>
      <c r="Y677">
        <f>cleaneddata[[#This Row],[Unit Price]]*cleaneddata[[#This Row],[Quantity]]*(1-cleaneddata[[#This Row],[Discount %]]/100)</f>
        <v>1271.5319999999999</v>
      </c>
      <c r="Z677">
        <f>cleaneddata[[#This Row],[sales]]-cleaneddata[[#This Row],[Cost]]</f>
        <v>442.26199999999994</v>
      </c>
    </row>
    <row r="678" spans="1:26" x14ac:dyDescent="0.3">
      <c r="A678" t="s">
        <v>1877</v>
      </c>
      <c r="B678" s="1">
        <v>46006</v>
      </c>
      <c r="C678" t="s">
        <v>1878</v>
      </c>
      <c r="D678" t="s">
        <v>3097</v>
      </c>
      <c r="E678" s="1">
        <v>46008</v>
      </c>
      <c r="F678" t="s">
        <v>115</v>
      </c>
      <c r="G678" t="s">
        <v>66</v>
      </c>
      <c r="H678" t="s">
        <v>114</v>
      </c>
      <c r="I678" t="s">
        <v>2633</v>
      </c>
      <c r="J678" t="s">
        <v>2636</v>
      </c>
      <c r="K678" t="s">
        <v>52</v>
      </c>
      <c r="L678">
        <v>23</v>
      </c>
      <c r="M678">
        <v>4</v>
      </c>
      <c r="N678">
        <v>30</v>
      </c>
      <c r="O678" t="s">
        <v>815</v>
      </c>
      <c r="P678" t="s">
        <v>75</v>
      </c>
      <c r="Q678" t="s">
        <v>31</v>
      </c>
      <c r="R678" t="s">
        <v>62</v>
      </c>
      <c r="S678" t="s">
        <v>116</v>
      </c>
      <c r="T678">
        <v>4</v>
      </c>
      <c r="U678">
        <v>912.41</v>
      </c>
      <c r="V678">
        <v>1281.1099999999999</v>
      </c>
      <c r="W678">
        <v>2</v>
      </c>
      <c r="X678" t="str">
        <f>TEXT(cleaneddata[[#This Row],[Order Date]],"mmm")</f>
        <v>Dec</v>
      </c>
      <c r="Y678">
        <f>cleaneddata[[#This Row],[Unit Price]]*cleaneddata[[#This Row],[Quantity]]*(1-cleaneddata[[#This Row],[Discount %]]/100)</f>
        <v>2554.7479999999996</v>
      </c>
      <c r="Z678">
        <f>cleaneddata[[#This Row],[sales]]-cleaneddata[[#This Row],[Cost]]</f>
        <v>1273.6379999999997</v>
      </c>
    </row>
    <row r="679" spans="1:26" x14ac:dyDescent="0.3">
      <c r="A679" t="s">
        <v>1879</v>
      </c>
      <c r="B679" s="1">
        <v>45953</v>
      </c>
      <c r="C679" t="s">
        <v>1880</v>
      </c>
      <c r="D679" t="s">
        <v>3096</v>
      </c>
      <c r="E679" s="1">
        <v>45956</v>
      </c>
      <c r="F679" t="s">
        <v>29</v>
      </c>
      <c r="G679" t="s">
        <v>27</v>
      </c>
      <c r="H679" t="s">
        <v>28</v>
      </c>
      <c r="I679" t="s">
        <v>2631</v>
      </c>
      <c r="J679" t="s">
        <v>2711</v>
      </c>
      <c r="K679" t="s">
        <v>25</v>
      </c>
      <c r="L679">
        <v>37</v>
      </c>
      <c r="M679">
        <v>1</v>
      </c>
      <c r="N679">
        <v>10</v>
      </c>
      <c r="O679" t="s">
        <v>1233</v>
      </c>
      <c r="P679" t="s">
        <v>44</v>
      </c>
      <c r="Q679" t="s">
        <v>31</v>
      </c>
      <c r="R679" t="s">
        <v>62</v>
      </c>
      <c r="S679" t="s">
        <v>30</v>
      </c>
      <c r="T679">
        <v>4</v>
      </c>
      <c r="U679">
        <v>14.73</v>
      </c>
      <c r="V679">
        <v>9.7200000000000006</v>
      </c>
      <c r="W679">
        <v>3</v>
      </c>
      <c r="X679" t="str">
        <f>TEXT(cleaneddata[[#This Row],[Order Date]],"mmm")</f>
        <v>Oct</v>
      </c>
      <c r="Y679">
        <f>cleaneddata[[#This Row],[Unit Price]]*cleaneddata[[#This Row],[Quantity]]*(1-cleaneddata[[#This Row],[Discount %]]/100)</f>
        <v>13.257000000000001</v>
      </c>
      <c r="Z679">
        <f>cleaneddata[[#This Row],[sales]]-cleaneddata[[#This Row],[Cost]]</f>
        <v>3.5370000000000008</v>
      </c>
    </row>
    <row r="680" spans="1:26" x14ac:dyDescent="0.3">
      <c r="A680" t="s">
        <v>1881</v>
      </c>
      <c r="B680" s="1">
        <v>45992</v>
      </c>
      <c r="C680" t="s">
        <v>1882</v>
      </c>
      <c r="D680" t="s">
        <v>3095</v>
      </c>
      <c r="E680" s="1">
        <v>45998</v>
      </c>
      <c r="F680" t="s">
        <v>122</v>
      </c>
      <c r="G680" t="s">
        <v>120</v>
      </c>
      <c r="H680" t="s">
        <v>121</v>
      </c>
      <c r="I680" t="s">
        <v>2634</v>
      </c>
      <c r="J680" t="s">
        <v>2714</v>
      </c>
      <c r="K680" t="s">
        <v>52</v>
      </c>
      <c r="L680">
        <v>49</v>
      </c>
      <c r="M680">
        <v>1</v>
      </c>
      <c r="N680">
        <v>30</v>
      </c>
      <c r="O680" t="s">
        <v>1883</v>
      </c>
      <c r="P680" t="s">
        <v>44</v>
      </c>
      <c r="Q680" t="s">
        <v>70</v>
      </c>
      <c r="R680" t="s">
        <v>71</v>
      </c>
      <c r="S680" t="s">
        <v>123</v>
      </c>
      <c r="T680">
        <v>4</v>
      </c>
      <c r="U680">
        <v>336.29</v>
      </c>
      <c r="V680">
        <v>132.62</v>
      </c>
      <c r="W680">
        <v>6</v>
      </c>
      <c r="X680" t="str">
        <f>TEXT(cleaneddata[[#This Row],[Order Date]],"mmm")</f>
        <v>Dec</v>
      </c>
      <c r="Y680">
        <f>cleaneddata[[#This Row],[Unit Price]]*cleaneddata[[#This Row],[Quantity]]*(1-cleaneddata[[#This Row],[Discount %]]/100)</f>
        <v>235.40299999999999</v>
      </c>
      <c r="Z680">
        <f>cleaneddata[[#This Row],[sales]]-cleaneddata[[#This Row],[Cost]]</f>
        <v>102.78299999999999</v>
      </c>
    </row>
    <row r="681" spans="1:26" x14ac:dyDescent="0.3">
      <c r="A681" t="s">
        <v>1884</v>
      </c>
      <c r="B681" s="1">
        <v>45704</v>
      </c>
      <c r="C681" t="s">
        <v>1885</v>
      </c>
      <c r="D681" t="s">
        <v>3094</v>
      </c>
      <c r="E681" s="1">
        <v>45710</v>
      </c>
      <c r="F681" t="s">
        <v>29</v>
      </c>
      <c r="G681" t="s">
        <v>27</v>
      </c>
      <c r="H681" t="s">
        <v>28</v>
      </c>
      <c r="I681" t="s">
        <v>2622</v>
      </c>
      <c r="J681" t="s">
        <v>2704</v>
      </c>
      <c r="K681" t="s">
        <v>52</v>
      </c>
      <c r="L681">
        <v>28</v>
      </c>
      <c r="M681">
        <v>5</v>
      </c>
      <c r="N681">
        <v>10</v>
      </c>
      <c r="O681" t="s">
        <v>1082</v>
      </c>
      <c r="P681" t="s">
        <v>33</v>
      </c>
      <c r="Q681" t="s">
        <v>70</v>
      </c>
      <c r="R681" t="s">
        <v>43</v>
      </c>
      <c r="S681" t="s">
        <v>30</v>
      </c>
      <c r="T681">
        <v>1</v>
      </c>
      <c r="U681">
        <v>757.59</v>
      </c>
      <c r="V681">
        <v>2867.46</v>
      </c>
      <c r="W681">
        <v>6</v>
      </c>
      <c r="X681" t="str">
        <f>TEXT(cleaneddata[[#This Row],[Order Date]],"mmm")</f>
        <v>Feb</v>
      </c>
      <c r="Y681">
        <f>cleaneddata[[#This Row],[Unit Price]]*cleaneddata[[#This Row],[Quantity]]*(1-cleaneddata[[#This Row],[Discount %]]/100)</f>
        <v>3409.1550000000002</v>
      </c>
      <c r="Z681">
        <f>cleaneddata[[#This Row],[sales]]-cleaneddata[[#This Row],[Cost]]</f>
        <v>541.69500000000016</v>
      </c>
    </row>
    <row r="682" spans="1:26" x14ac:dyDescent="0.3">
      <c r="A682" t="s">
        <v>1886</v>
      </c>
      <c r="B682" s="1">
        <v>45771</v>
      </c>
      <c r="C682" t="s">
        <v>1887</v>
      </c>
      <c r="D682" t="s">
        <v>3093</v>
      </c>
      <c r="E682" s="1">
        <v>45774</v>
      </c>
      <c r="F682" t="s">
        <v>122</v>
      </c>
      <c r="G682" t="s">
        <v>120</v>
      </c>
      <c r="H682" t="s">
        <v>121</v>
      </c>
      <c r="I682" t="s">
        <v>2647</v>
      </c>
      <c r="J682" t="s">
        <v>2721</v>
      </c>
      <c r="K682" t="s">
        <v>25</v>
      </c>
      <c r="L682">
        <v>55</v>
      </c>
      <c r="M682">
        <v>1</v>
      </c>
      <c r="N682">
        <v>25</v>
      </c>
      <c r="O682" t="s">
        <v>1888</v>
      </c>
      <c r="P682" t="s">
        <v>33</v>
      </c>
      <c r="Q682" t="s">
        <v>117</v>
      </c>
      <c r="R682" t="s">
        <v>62</v>
      </c>
      <c r="S682" t="s">
        <v>123</v>
      </c>
      <c r="T682">
        <v>5</v>
      </c>
      <c r="U682">
        <v>803.83</v>
      </c>
      <c r="V682">
        <v>468.61</v>
      </c>
      <c r="W682">
        <v>3</v>
      </c>
      <c r="X682" t="str">
        <f>TEXT(cleaneddata[[#This Row],[Order Date]],"mmm")</f>
        <v>Apr</v>
      </c>
      <c r="Y682">
        <f>cleaneddata[[#This Row],[Unit Price]]*cleaneddata[[#This Row],[Quantity]]*(1-cleaneddata[[#This Row],[Discount %]]/100)</f>
        <v>602.87250000000006</v>
      </c>
      <c r="Z682">
        <f>cleaneddata[[#This Row],[sales]]-cleaneddata[[#This Row],[Cost]]</f>
        <v>134.26250000000005</v>
      </c>
    </row>
    <row r="683" spans="1:26" x14ac:dyDescent="0.3">
      <c r="A683" t="s">
        <v>1889</v>
      </c>
      <c r="B683" s="1">
        <v>45350</v>
      </c>
      <c r="C683" t="s">
        <v>1890</v>
      </c>
      <c r="D683" t="s">
        <v>3092</v>
      </c>
      <c r="E683" s="1">
        <v>45351</v>
      </c>
      <c r="F683" t="s">
        <v>115</v>
      </c>
      <c r="G683" t="s">
        <v>66</v>
      </c>
      <c r="H683" t="s">
        <v>114</v>
      </c>
      <c r="I683" t="s">
        <v>2632</v>
      </c>
      <c r="J683" t="s">
        <v>2715</v>
      </c>
      <c r="K683" t="s">
        <v>25</v>
      </c>
      <c r="L683">
        <v>39</v>
      </c>
      <c r="M683">
        <v>2</v>
      </c>
      <c r="N683">
        <v>25</v>
      </c>
      <c r="O683" t="s">
        <v>332</v>
      </c>
      <c r="P683" t="s">
        <v>75</v>
      </c>
      <c r="Q683" t="s">
        <v>58</v>
      </c>
      <c r="R683" t="s">
        <v>32</v>
      </c>
      <c r="S683" t="s">
        <v>116</v>
      </c>
      <c r="T683">
        <v>1</v>
      </c>
      <c r="U683">
        <v>235.71</v>
      </c>
      <c r="V683">
        <v>200.21</v>
      </c>
      <c r="W683">
        <v>1</v>
      </c>
      <c r="X683" t="str">
        <f>TEXT(cleaneddata[[#This Row],[Order Date]],"mmm")</f>
        <v>Feb</v>
      </c>
      <c r="Y683">
        <f>cleaneddata[[#This Row],[Unit Price]]*cleaneddata[[#This Row],[Quantity]]*(1-cleaneddata[[#This Row],[Discount %]]/100)</f>
        <v>353.565</v>
      </c>
      <c r="Z683">
        <f>cleaneddata[[#This Row],[sales]]-cleaneddata[[#This Row],[Cost]]</f>
        <v>153.35499999999999</v>
      </c>
    </row>
    <row r="684" spans="1:26" x14ac:dyDescent="0.3">
      <c r="A684" t="s">
        <v>1891</v>
      </c>
      <c r="B684" s="1">
        <v>45659</v>
      </c>
      <c r="C684" t="s">
        <v>1892</v>
      </c>
      <c r="D684" t="s">
        <v>3091</v>
      </c>
      <c r="E684" s="1">
        <v>45664</v>
      </c>
      <c r="F684" t="s">
        <v>68</v>
      </c>
      <c r="G684" t="s">
        <v>66</v>
      </c>
      <c r="H684" t="s">
        <v>67</v>
      </c>
      <c r="I684" t="s">
        <v>2627</v>
      </c>
      <c r="J684" t="s">
        <v>2717</v>
      </c>
      <c r="K684" t="s">
        <v>52</v>
      </c>
      <c r="L684">
        <v>30</v>
      </c>
      <c r="M684">
        <v>5</v>
      </c>
      <c r="N684">
        <v>0</v>
      </c>
      <c r="O684" t="s">
        <v>332</v>
      </c>
      <c r="P684" t="s">
        <v>44</v>
      </c>
      <c r="Q684" t="s">
        <v>31</v>
      </c>
      <c r="R684" t="s">
        <v>32</v>
      </c>
      <c r="S684" t="s">
        <v>69</v>
      </c>
      <c r="T684">
        <v>4</v>
      </c>
      <c r="U684">
        <v>541.01</v>
      </c>
      <c r="V684">
        <v>1873.33</v>
      </c>
      <c r="W684">
        <v>5</v>
      </c>
      <c r="X684" t="str">
        <f>TEXT(cleaneddata[[#This Row],[Order Date]],"mmm")</f>
        <v>Jan</v>
      </c>
      <c r="Y684">
        <f>cleaneddata[[#This Row],[Unit Price]]*cleaneddata[[#This Row],[Quantity]]*(1-cleaneddata[[#This Row],[Discount %]]/100)</f>
        <v>2705.05</v>
      </c>
      <c r="Z684">
        <f>cleaneddata[[#This Row],[sales]]-cleaneddata[[#This Row],[Cost]]</f>
        <v>831.72000000000025</v>
      </c>
    </row>
    <row r="685" spans="1:26" x14ac:dyDescent="0.3">
      <c r="A685" t="s">
        <v>1893</v>
      </c>
      <c r="B685" s="1">
        <v>45386</v>
      </c>
      <c r="C685" t="s">
        <v>1894</v>
      </c>
      <c r="D685" t="s">
        <v>3090</v>
      </c>
      <c r="E685" s="1">
        <v>45387</v>
      </c>
      <c r="F685" t="s">
        <v>29</v>
      </c>
      <c r="G685" t="s">
        <v>27</v>
      </c>
      <c r="H685" t="s">
        <v>28</v>
      </c>
      <c r="I685" t="s">
        <v>2661</v>
      </c>
      <c r="J685" t="s">
        <v>2671</v>
      </c>
      <c r="K685" t="s">
        <v>25</v>
      </c>
      <c r="L685">
        <v>18</v>
      </c>
      <c r="M685">
        <v>4</v>
      </c>
      <c r="N685">
        <v>20</v>
      </c>
      <c r="O685" t="s">
        <v>273</v>
      </c>
      <c r="P685" t="s">
        <v>44</v>
      </c>
      <c r="Q685" t="s">
        <v>58</v>
      </c>
      <c r="R685" t="s">
        <v>43</v>
      </c>
      <c r="S685" t="s">
        <v>30</v>
      </c>
      <c r="T685">
        <v>4</v>
      </c>
      <c r="U685">
        <v>590.83000000000004</v>
      </c>
      <c r="V685">
        <v>1335.62</v>
      </c>
      <c r="W685">
        <v>1</v>
      </c>
      <c r="X685" t="str">
        <f>TEXT(cleaneddata[[#This Row],[Order Date]],"mmm")</f>
        <v>Apr</v>
      </c>
      <c r="Y685">
        <f>cleaneddata[[#This Row],[Unit Price]]*cleaneddata[[#This Row],[Quantity]]*(1-cleaneddata[[#This Row],[Discount %]]/100)</f>
        <v>1890.6560000000002</v>
      </c>
      <c r="Z685">
        <f>cleaneddata[[#This Row],[sales]]-cleaneddata[[#This Row],[Cost]]</f>
        <v>555.03600000000029</v>
      </c>
    </row>
    <row r="686" spans="1:26" x14ac:dyDescent="0.3">
      <c r="A686" t="s">
        <v>1895</v>
      </c>
      <c r="B686" s="1">
        <v>45655</v>
      </c>
      <c r="C686" t="s">
        <v>1896</v>
      </c>
      <c r="D686" t="s">
        <v>3089</v>
      </c>
      <c r="E686" s="1">
        <v>45657</v>
      </c>
      <c r="F686" t="s">
        <v>68</v>
      </c>
      <c r="G686" t="s">
        <v>66</v>
      </c>
      <c r="H686" t="s">
        <v>67</v>
      </c>
      <c r="I686" t="s">
        <v>2622</v>
      </c>
      <c r="J686" t="s">
        <v>2622</v>
      </c>
      <c r="K686" t="s">
        <v>52</v>
      </c>
      <c r="L686">
        <v>23</v>
      </c>
      <c r="M686">
        <v>4</v>
      </c>
      <c r="N686">
        <v>15</v>
      </c>
      <c r="O686" t="s">
        <v>1897</v>
      </c>
      <c r="P686" t="s">
        <v>75</v>
      </c>
      <c r="Q686" t="s">
        <v>70</v>
      </c>
      <c r="R686" t="s">
        <v>71</v>
      </c>
      <c r="S686" t="s">
        <v>69</v>
      </c>
      <c r="T686">
        <v>1</v>
      </c>
      <c r="U686">
        <v>38.200000000000003</v>
      </c>
      <c r="V686">
        <v>103.74</v>
      </c>
      <c r="W686">
        <v>2</v>
      </c>
      <c r="X686" t="str">
        <f>TEXT(cleaneddata[[#This Row],[Order Date]],"mmm")</f>
        <v>Dec</v>
      </c>
      <c r="Y686">
        <f>cleaneddata[[#This Row],[Unit Price]]*cleaneddata[[#This Row],[Quantity]]*(1-cleaneddata[[#This Row],[Discount %]]/100)</f>
        <v>129.88</v>
      </c>
      <c r="Z686">
        <f>cleaneddata[[#This Row],[sales]]-cleaneddata[[#This Row],[Cost]]</f>
        <v>26.14</v>
      </c>
    </row>
    <row r="687" spans="1:26" x14ac:dyDescent="0.3">
      <c r="A687" t="s">
        <v>1898</v>
      </c>
      <c r="B687" s="1">
        <v>45874</v>
      </c>
      <c r="C687" t="s">
        <v>1899</v>
      </c>
      <c r="D687" t="s">
        <v>3088</v>
      </c>
      <c r="E687" s="1">
        <v>45875</v>
      </c>
      <c r="F687" t="s">
        <v>128</v>
      </c>
      <c r="G687" t="s">
        <v>98</v>
      </c>
      <c r="H687" t="s">
        <v>127</v>
      </c>
      <c r="I687" t="s">
        <v>2652</v>
      </c>
      <c r="J687" t="s">
        <v>2653</v>
      </c>
      <c r="K687" t="s">
        <v>52</v>
      </c>
      <c r="L687">
        <v>30</v>
      </c>
      <c r="M687">
        <v>3</v>
      </c>
      <c r="N687">
        <v>0</v>
      </c>
      <c r="O687" t="s">
        <v>1059</v>
      </c>
      <c r="P687" t="s">
        <v>75</v>
      </c>
      <c r="Q687" t="s">
        <v>70</v>
      </c>
      <c r="R687" t="s">
        <v>71</v>
      </c>
      <c r="S687" t="s">
        <v>129</v>
      </c>
      <c r="T687">
        <v>3</v>
      </c>
      <c r="U687">
        <v>660.69</v>
      </c>
      <c r="V687">
        <v>1140.33</v>
      </c>
      <c r="W687">
        <v>1</v>
      </c>
      <c r="X687" t="str">
        <f>TEXT(cleaneddata[[#This Row],[Order Date]],"mmm")</f>
        <v>Aug</v>
      </c>
      <c r="Y687">
        <f>cleaneddata[[#This Row],[Unit Price]]*cleaneddata[[#This Row],[Quantity]]*(1-cleaneddata[[#This Row],[Discount %]]/100)</f>
        <v>1982.0700000000002</v>
      </c>
      <c r="Z687">
        <f>cleaneddata[[#This Row],[sales]]-cleaneddata[[#This Row],[Cost]]</f>
        <v>841.74000000000024</v>
      </c>
    </row>
    <row r="688" spans="1:26" x14ac:dyDescent="0.3">
      <c r="A688" t="s">
        <v>1900</v>
      </c>
      <c r="B688" s="1">
        <v>45858</v>
      </c>
      <c r="C688" t="s">
        <v>1901</v>
      </c>
      <c r="D688" t="s">
        <v>3087</v>
      </c>
      <c r="E688" s="1">
        <v>45865</v>
      </c>
      <c r="F688" t="s">
        <v>122</v>
      </c>
      <c r="G688" t="s">
        <v>120</v>
      </c>
      <c r="H688" t="s">
        <v>121</v>
      </c>
      <c r="I688" t="s">
        <v>2629</v>
      </c>
      <c r="J688" t="s">
        <v>2709</v>
      </c>
      <c r="K688" t="s">
        <v>25</v>
      </c>
      <c r="L688">
        <v>62</v>
      </c>
      <c r="M688">
        <v>1</v>
      </c>
      <c r="N688">
        <v>25</v>
      </c>
      <c r="O688" t="s">
        <v>1096</v>
      </c>
      <c r="P688" t="s">
        <v>44</v>
      </c>
      <c r="Q688" t="s">
        <v>70</v>
      </c>
      <c r="R688" t="s">
        <v>62</v>
      </c>
      <c r="S688" t="s">
        <v>123</v>
      </c>
      <c r="T688">
        <v>3</v>
      </c>
      <c r="U688">
        <v>60.12</v>
      </c>
      <c r="V688">
        <v>37.19</v>
      </c>
      <c r="W688">
        <v>7</v>
      </c>
      <c r="X688" t="str">
        <f>TEXT(cleaneddata[[#This Row],[Order Date]],"mmm")</f>
        <v>Jul</v>
      </c>
      <c r="Y688">
        <f>cleaneddata[[#This Row],[Unit Price]]*cleaneddata[[#This Row],[Quantity]]*(1-cleaneddata[[#This Row],[Discount %]]/100)</f>
        <v>45.089999999999996</v>
      </c>
      <c r="Z688">
        <f>cleaneddata[[#This Row],[sales]]-cleaneddata[[#This Row],[Cost]]</f>
        <v>7.8999999999999986</v>
      </c>
    </row>
    <row r="689" spans="1:26" x14ac:dyDescent="0.3">
      <c r="A689" t="s">
        <v>1902</v>
      </c>
      <c r="B689" s="1">
        <v>45970</v>
      </c>
      <c r="C689" t="s">
        <v>1903</v>
      </c>
      <c r="D689" t="s">
        <v>3086</v>
      </c>
      <c r="E689" s="1">
        <v>45977</v>
      </c>
      <c r="F689" t="s">
        <v>122</v>
      </c>
      <c r="G689" t="s">
        <v>120</v>
      </c>
      <c r="H689" t="s">
        <v>121</v>
      </c>
      <c r="I689" t="s">
        <v>2623</v>
      </c>
      <c r="J689" t="s">
        <v>2691</v>
      </c>
      <c r="K689" t="s">
        <v>52</v>
      </c>
      <c r="L689">
        <v>64</v>
      </c>
      <c r="M689">
        <v>5</v>
      </c>
      <c r="N689">
        <v>10</v>
      </c>
      <c r="O689" t="s">
        <v>138</v>
      </c>
      <c r="P689" t="s">
        <v>75</v>
      </c>
      <c r="Q689" t="s">
        <v>70</v>
      </c>
      <c r="R689" t="s">
        <v>71</v>
      </c>
      <c r="S689" t="s">
        <v>123</v>
      </c>
      <c r="T689">
        <v>1</v>
      </c>
      <c r="U689">
        <v>730.79</v>
      </c>
      <c r="V689">
        <v>2188.42</v>
      </c>
      <c r="W689">
        <v>7</v>
      </c>
      <c r="X689" t="str">
        <f>TEXT(cleaneddata[[#This Row],[Order Date]],"mmm")</f>
        <v>Nov</v>
      </c>
      <c r="Y689">
        <f>cleaneddata[[#This Row],[Unit Price]]*cleaneddata[[#This Row],[Quantity]]*(1-cleaneddata[[#This Row],[Discount %]]/100)</f>
        <v>3288.5549999999998</v>
      </c>
      <c r="Z689">
        <f>cleaneddata[[#This Row],[sales]]-cleaneddata[[#This Row],[Cost]]</f>
        <v>1100.1349999999998</v>
      </c>
    </row>
    <row r="690" spans="1:26" x14ac:dyDescent="0.3">
      <c r="A690" t="s">
        <v>1904</v>
      </c>
      <c r="B690" s="1">
        <v>46115</v>
      </c>
      <c r="C690" t="s">
        <v>1905</v>
      </c>
      <c r="D690" t="s">
        <v>3085</v>
      </c>
      <c r="E690" s="1">
        <v>46122</v>
      </c>
      <c r="F690" t="s">
        <v>100</v>
      </c>
      <c r="G690" t="s">
        <v>98</v>
      </c>
      <c r="H690" t="s">
        <v>99</v>
      </c>
      <c r="I690" t="s">
        <v>2659</v>
      </c>
      <c r="J690" t="s">
        <v>2718</v>
      </c>
      <c r="K690" t="s">
        <v>52</v>
      </c>
      <c r="L690">
        <v>64</v>
      </c>
      <c r="M690">
        <v>4</v>
      </c>
      <c r="N690">
        <v>30</v>
      </c>
      <c r="O690" t="s">
        <v>1386</v>
      </c>
      <c r="P690" t="s">
        <v>33</v>
      </c>
      <c r="Q690" t="s">
        <v>70</v>
      </c>
      <c r="R690" t="s">
        <v>43</v>
      </c>
      <c r="S690" t="s">
        <v>101</v>
      </c>
      <c r="T690">
        <v>3</v>
      </c>
      <c r="U690">
        <v>506.53</v>
      </c>
      <c r="V690">
        <v>1024.24</v>
      </c>
      <c r="W690">
        <v>7</v>
      </c>
      <c r="X690" t="str">
        <f>TEXT(cleaneddata[[#This Row],[Order Date]],"mmm")</f>
        <v>Apr</v>
      </c>
      <c r="Y690">
        <f>cleaneddata[[#This Row],[Unit Price]]*cleaneddata[[#This Row],[Quantity]]*(1-cleaneddata[[#This Row],[Discount %]]/100)</f>
        <v>1418.2839999999999</v>
      </c>
      <c r="Z690">
        <f>cleaneddata[[#This Row],[sales]]-cleaneddata[[#This Row],[Cost]]</f>
        <v>394.04399999999987</v>
      </c>
    </row>
    <row r="691" spans="1:26" x14ac:dyDescent="0.3">
      <c r="A691" t="s">
        <v>1906</v>
      </c>
      <c r="B691" s="1">
        <v>45957</v>
      </c>
      <c r="C691" t="s">
        <v>1907</v>
      </c>
      <c r="D691" t="s">
        <v>3084</v>
      </c>
      <c r="E691" s="1">
        <v>45961</v>
      </c>
      <c r="F691" t="s">
        <v>100</v>
      </c>
      <c r="G691" t="s">
        <v>98</v>
      </c>
      <c r="H691" t="s">
        <v>99</v>
      </c>
      <c r="I691" t="s">
        <v>2623</v>
      </c>
      <c r="J691" t="s">
        <v>2701</v>
      </c>
      <c r="K691" t="s">
        <v>25</v>
      </c>
      <c r="L691">
        <v>36</v>
      </c>
      <c r="M691">
        <v>4</v>
      </c>
      <c r="N691">
        <v>5</v>
      </c>
      <c r="O691" t="s">
        <v>506</v>
      </c>
      <c r="P691" t="s">
        <v>75</v>
      </c>
      <c r="Q691" t="s">
        <v>31</v>
      </c>
      <c r="R691" t="s">
        <v>43</v>
      </c>
      <c r="S691" t="s">
        <v>101</v>
      </c>
      <c r="T691">
        <v>3</v>
      </c>
      <c r="U691">
        <v>627.46</v>
      </c>
      <c r="V691">
        <v>1669.33</v>
      </c>
      <c r="W691">
        <v>4</v>
      </c>
      <c r="X691" t="str">
        <f>TEXT(cleaneddata[[#This Row],[Order Date]],"mmm")</f>
        <v>Oct</v>
      </c>
      <c r="Y691">
        <f>cleaneddata[[#This Row],[Unit Price]]*cleaneddata[[#This Row],[Quantity]]*(1-cleaneddata[[#This Row],[Discount %]]/100)</f>
        <v>2384.348</v>
      </c>
      <c r="Z691">
        <f>cleaneddata[[#This Row],[sales]]-cleaneddata[[#This Row],[Cost]]</f>
        <v>715.01800000000003</v>
      </c>
    </row>
    <row r="692" spans="1:26" x14ac:dyDescent="0.3">
      <c r="A692" t="s">
        <v>1908</v>
      </c>
      <c r="B692" s="1">
        <v>46045</v>
      </c>
      <c r="C692" t="s">
        <v>1909</v>
      </c>
      <c r="D692" t="s">
        <v>3083</v>
      </c>
      <c r="E692" s="1">
        <v>46050</v>
      </c>
      <c r="F692" t="s">
        <v>100</v>
      </c>
      <c r="G692" t="s">
        <v>98</v>
      </c>
      <c r="H692" t="s">
        <v>99</v>
      </c>
      <c r="I692" t="s">
        <v>2633</v>
      </c>
      <c r="J692" t="s">
        <v>2636</v>
      </c>
      <c r="K692" t="s">
        <v>52</v>
      </c>
      <c r="L692">
        <v>64</v>
      </c>
      <c r="M692">
        <v>4</v>
      </c>
      <c r="N692">
        <v>25</v>
      </c>
      <c r="O692" t="s">
        <v>899</v>
      </c>
      <c r="P692" t="s">
        <v>33</v>
      </c>
      <c r="Q692" t="s">
        <v>117</v>
      </c>
      <c r="R692" t="s">
        <v>62</v>
      </c>
      <c r="S692" t="s">
        <v>101</v>
      </c>
      <c r="T692">
        <v>5</v>
      </c>
      <c r="U692">
        <v>658.88</v>
      </c>
      <c r="V692">
        <v>1521.92</v>
      </c>
      <c r="W692">
        <v>5</v>
      </c>
      <c r="X692" t="str">
        <f>TEXT(cleaneddata[[#This Row],[Order Date]],"mmm")</f>
        <v>Jan</v>
      </c>
      <c r="Y692">
        <f>cleaneddata[[#This Row],[Unit Price]]*cleaneddata[[#This Row],[Quantity]]*(1-cleaneddata[[#This Row],[Discount %]]/100)</f>
        <v>1976.6399999999999</v>
      </c>
      <c r="Z692">
        <f>cleaneddata[[#This Row],[sales]]-cleaneddata[[#This Row],[Cost]]</f>
        <v>454.7199999999998</v>
      </c>
    </row>
    <row r="693" spans="1:26" x14ac:dyDescent="0.3">
      <c r="A693" t="s">
        <v>1910</v>
      </c>
      <c r="B693" s="1">
        <v>45649</v>
      </c>
      <c r="C693" t="s">
        <v>1911</v>
      </c>
      <c r="D693" t="s">
        <v>3082</v>
      </c>
      <c r="E693" s="1">
        <v>45650</v>
      </c>
      <c r="F693" t="s">
        <v>122</v>
      </c>
      <c r="G693" t="s">
        <v>120</v>
      </c>
      <c r="H693" t="s">
        <v>121</v>
      </c>
      <c r="I693" t="s">
        <v>2637</v>
      </c>
      <c r="J693" t="s">
        <v>2638</v>
      </c>
      <c r="K693" t="s">
        <v>25</v>
      </c>
      <c r="L693">
        <v>58</v>
      </c>
      <c r="M693">
        <v>5</v>
      </c>
      <c r="N693">
        <v>20</v>
      </c>
      <c r="O693" t="s">
        <v>1912</v>
      </c>
      <c r="P693" t="s">
        <v>75</v>
      </c>
      <c r="Q693" t="s">
        <v>117</v>
      </c>
      <c r="R693" t="s">
        <v>71</v>
      </c>
      <c r="S693" t="s">
        <v>123</v>
      </c>
      <c r="T693">
        <v>2</v>
      </c>
      <c r="U693">
        <v>168.5</v>
      </c>
      <c r="V693">
        <v>350.07</v>
      </c>
      <c r="W693">
        <v>1</v>
      </c>
      <c r="X693" t="str">
        <f>TEXT(cleaneddata[[#This Row],[Order Date]],"mmm")</f>
        <v>Dec</v>
      </c>
      <c r="Y693">
        <f>cleaneddata[[#This Row],[Unit Price]]*cleaneddata[[#This Row],[Quantity]]*(1-cleaneddata[[#This Row],[Discount %]]/100)</f>
        <v>674</v>
      </c>
      <c r="Z693">
        <f>cleaneddata[[#This Row],[sales]]-cleaneddata[[#This Row],[Cost]]</f>
        <v>323.93</v>
      </c>
    </row>
    <row r="694" spans="1:26" x14ac:dyDescent="0.3">
      <c r="A694" t="s">
        <v>1913</v>
      </c>
      <c r="B694" s="1">
        <v>45504</v>
      </c>
      <c r="C694" t="s">
        <v>1914</v>
      </c>
      <c r="D694" t="s">
        <v>2745</v>
      </c>
      <c r="E694" s="1">
        <v>45510</v>
      </c>
      <c r="F694" t="s">
        <v>56</v>
      </c>
      <c r="G694" t="s">
        <v>54</v>
      </c>
      <c r="H694" t="s">
        <v>55</v>
      </c>
      <c r="I694" t="s">
        <v>2647</v>
      </c>
      <c r="J694" t="s">
        <v>2648</v>
      </c>
      <c r="K694" t="s">
        <v>25</v>
      </c>
      <c r="L694">
        <v>53</v>
      </c>
      <c r="M694">
        <v>3</v>
      </c>
      <c r="N694">
        <v>15</v>
      </c>
      <c r="O694" t="s">
        <v>1047</v>
      </c>
      <c r="P694" t="s">
        <v>44</v>
      </c>
      <c r="Q694" t="s">
        <v>58</v>
      </c>
      <c r="R694" t="s">
        <v>43</v>
      </c>
      <c r="S694" t="s">
        <v>57</v>
      </c>
      <c r="T694">
        <v>1</v>
      </c>
      <c r="U694">
        <v>138.05000000000001</v>
      </c>
      <c r="V694">
        <v>189.96</v>
      </c>
      <c r="W694">
        <v>6</v>
      </c>
      <c r="X694" t="str">
        <f>TEXT(cleaneddata[[#This Row],[Order Date]],"mmm")</f>
        <v>Jul</v>
      </c>
      <c r="Y694">
        <f>cleaneddata[[#This Row],[Unit Price]]*cleaneddata[[#This Row],[Quantity]]*(1-cleaneddata[[#This Row],[Discount %]]/100)</f>
        <v>352.02750000000003</v>
      </c>
      <c r="Z694">
        <f>cleaneddata[[#This Row],[sales]]-cleaneddata[[#This Row],[Cost]]</f>
        <v>162.06750000000002</v>
      </c>
    </row>
    <row r="695" spans="1:26" x14ac:dyDescent="0.3">
      <c r="A695" t="s">
        <v>1915</v>
      </c>
      <c r="B695" s="1">
        <v>45489</v>
      </c>
      <c r="C695" t="s">
        <v>1916</v>
      </c>
      <c r="D695" t="s">
        <v>3081</v>
      </c>
      <c r="E695" s="1">
        <v>45495</v>
      </c>
      <c r="F695" t="s">
        <v>128</v>
      </c>
      <c r="G695" t="s">
        <v>98</v>
      </c>
      <c r="H695" t="s">
        <v>127</v>
      </c>
      <c r="I695" t="s">
        <v>2661</v>
      </c>
      <c r="J695" t="s">
        <v>2671</v>
      </c>
      <c r="K695" t="s">
        <v>52</v>
      </c>
      <c r="L695">
        <v>53</v>
      </c>
      <c r="M695">
        <v>3</v>
      </c>
      <c r="N695">
        <v>5</v>
      </c>
      <c r="O695" t="s">
        <v>1324</v>
      </c>
      <c r="P695" t="s">
        <v>33</v>
      </c>
      <c r="Q695" t="s">
        <v>58</v>
      </c>
      <c r="R695" t="s">
        <v>62</v>
      </c>
      <c r="S695" t="s">
        <v>129</v>
      </c>
      <c r="T695">
        <v>1</v>
      </c>
      <c r="U695">
        <v>43.7</v>
      </c>
      <c r="V695">
        <v>78.819999999999993</v>
      </c>
      <c r="W695">
        <v>6</v>
      </c>
      <c r="X695" t="str">
        <f>TEXT(cleaneddata[[#This Row],[Order Date]],"mmm")</f>
        <v>Jul</v>
      </c>
      <c r="Y695">
        <f>cleaneddata[[#This Row],[Unit Price]]*cleaneddata[[#This Row],[Quantity]]*(1-cleaneddata[[#This Row],[Discount %]]/100)</f>
        <v>124.54500000000002</v>
      </c>
      <c r="Z695">
        <f>cleaneddata[[#This Row],[sales]]-cleaneddata[[#This Row],[Cost]]</f>
        <v>45.725000000000023</v>
      </c>
    </row>
    <row r="696" spans="1:26" x14ac:dyDescent="0.3">
      <c r="A696" t="s">
        <v>1917</v>
      </c>
      <c r="B696" s="1">
        <v>46026</v>
      </c>
      <c r="C696" t="s">
        <v>1918</v>
      </c>
      <c r="D696" t="s">
        <v>3080</v>
      </c>
      <c r="E696" s="1">
        <v>46027</v>
      </c>
      <c r="F696" t="s">
        <v>122</v>
      </c>
      <c r="G696" t="s">
        <v>120</v>
      </c>
      <c r="H696" t="s">
        <v>121</v>
      </c>
      <c r="I696" t="s">
        <v>2675</v>
      </c>
      <c r="J696" t="s">
        <v>2676</v>
      </c>
      <c r="K696" t="s">
        <v>25</v>
      </c>
      <c r="L696">
        <v>51</v>
      </c>
      <c r="M696">
        <v>4</v>
      </c>
      <c r="N696">
        <v>30</v>
      </c>
      <c r="O696" t="s">
        <v>1919</v>
      </c>
      <c r="P696" t="s">
        <v>75</v>
      </c>
      <c r="Q696" t="s">
        <v>58</v>
      </c>
      <c r="R696" t="s">
        <v>62</v>
      </c>
      <c r="S696" t="s">
        <v>123</v>
      </c>
      <c r="T696">
        <v>1</v>
      </c>
      <c r="U696">
        <v>820.17</v>
      </c>
      <c r="V696">
        <v>1767.55</v>
      </c>
      <c r="W696">
        <v>1</v>
      </c>
      <c r="X696" t="str">
        <f>TEXT(cleaneddata[[#This Row],[Order Date]],"mmm")</f>
        <v>Jan</v>
      </c>
      <c r="Y696">
        <f>cleaneddata[[#This Row],[Unit Price]]*cleaneddata[[#This Row],[Quantity]]*(1-cleaneddata[[#This Row],[Discount %]]/100)</f>
        <v>2296.4759999999997</v>
      </c>
      <c r="Z696">
        <f>cleaneddata[[#This Row],[sales]]-cleaneddata[[#This Row],[Cost]]</f>
        <v>528.9259999999997</v>
      </c>
    </row>
    <row r="697" spans="1:26" x14ac:dyDescent="0.3">
      <c r="A697" t="s">
        <v>1920</v>
      </c>
      <c r="B697" s="1">
        <v>45905</v>
      </c>
      <c r="C697" t="s">
        <v>1921</v>
      </c>
      <c r="D697" t="s">
        <v>2744</v>
      </c>
      <c r="E697" s="1">
        <v>45911</v>
      </c>
      <c r="F697" t="s">
        <v>122</v>
      </c>
      <c r="G697" t="s">
        <v>120</v>
      </c>
      <c r="H697" t="s">
        <v>121</v>
      </c>
      <c r="I697" t="s">
        <v>2633</v>
      </c>
      <c r="J697" t="s">
        <v>2636</v>
      </c>
      <c r="K697" t="s">
        <v>25</v>
      </c>
      <c r="L697">
        <v>37</v>
      </c>
      <c r="M697">
        <v>3</v>
      </c>
      <c r="N697">
        <v>0</v>
      </c>
      <c r="O697" t="s">
        <v>774</v>
      </c>
      <c r="P697" t="s">
        <v>33</v>
      </c>
      <c r="Q697" t="s">
        <v>42</v>
      </c>
      <c r="R697" t="s">
        <v>43</v>
      </c>
      <c r="S697" t="s">
        <v>123</v>
      </c>
      <c r="T697">
        <v>1</v>
      </c>
      <c r="U697">
        <v>582.80999999999995</v>
      </c>
      <c r="V697">
        <v>1385.29</v>
      </c>
      <c r="W697">
        <v>6</v>
      </c>
      <c r="X697" t="str">
        <f>TEXT(cleaneddata[[#This Row],[Order Date]],"mmm")</f>
        <v>Sep</v>
      </c>
      <c r="Y697">
        <f>cleaneddata[[#This Row],[Unit Price]]*cleaneddata[[#This Row],[Quantity]]*(1-cleaneddata[[#This Row],[Discount %]]/100)</f>
        <v>1748.4299999999998</v>
      </c>
      <c r="Z697">
        <f>cleaneddata[[#This Row],[sales]]-cleaneddata[[#This Row],[Cost]]</f>
        <v>363.13999999999987</v>
      </c>
    </row>
    <row r="698" spans="1:26" x14ac:dyDescent="0.3">
      <c r="A698" t="s">
        <v>1922</v>
      </c>
      <c r="B698" s="1">
        <v>46059</v>
      </c>
      <c r="C698" t="s">
        <v>1923</v>
      </c>
      <c r="D698" t="s">
        <v>2742</v>
      </c>
      <c r="E698" s="1">
        <v>46064</v>
      </c>
      <c r="F698" t="s">
        <v>100</v>
      </c>
      <c r="G698" t="s">
        <v>98</v>
      </c>
      <c r="H698" t="s">
        <v>99</v>
      </c>
      <c r="I698" t="s">
        <v>2661</v>
      </c>
      <c r="J698" t="s">
        <v>2671</v>
      </c>
      <c r="K698" t="s">
        <v>25</v>
      </c>
      <c r="L698">
        <v>18</v>
      </c>
      <c r="M698">
        <v>4</v>
      </c>
      <c r="N698">
        <v>0</v>
      </c>
      <c r="O698" t="s">
        <v>414</v>
      </c>
      <c r="P698" t="s">
        <v>33</v>
      </c>
      <c r="Q698" t="s">
        <v>31</v>
      </c>
      <c r="R698" t="s">
        <v>71</v>
      </c>
      <c r="S698" t="s">
        <v>101</v>
      </c>
      <c r="T698">
        <v>2</v>
      </c>
      <c r="U698">
        <v>19.149999999999999</v>
      </c>
      <c r="V698">
        <v>38.4</v>
      </c>
      <c r="W698">
        <v>5</v>
      </c>
      <c r="X698" t="str">
        <f>TEXT(cleaneddata[[#This Row],[Order Date]],"mmm")</f>
        <v>Feb</v>
      </c>
      <c r="Y698">
        <f>cleaneddata[[#This Row],[Unit Price]]*cleaneddata[[#This Row],[Quantity]]*(1-cleaneddata[[#This Row],[Discount %]]/100)</f>
        <v>76.599999999999994</v>
      </c>
      <c r="Z698">
        <f>cleaneddata[[#This Row],[sales]]-cleaneddata[[#This Row],[Cost]]</f>
        <v>38.199999999999996</v>
      </c>
    </row>
    <row r="699" spans="1:26" x14ac:dyDescent="0.3">
      <c r="A699" t="s">
        <v>1924</v>
      </c>
      <c r="B699" s="1">
        <v>45407</v>
      </c>
      <c r="C699" t="s">
        <v>1925</v>
      </c>
      <c r="D699" t="s">
        <v>3079</v>
      </c>
      <c r="E699" s="1">
        <v>45411</v>
      </c>
      <c r="F699" t="s">
        <v>140</v>
      </c>
      <c r="G699" t="s">
        <v>38</v>
      </c>
      <c r="H699" t="s">
        <v>139</v>
      </c>
      <c r="I699" t="s">
        <v>2633</v>
      </c>
      <c r="J699" t="s">
        <v>2695</v>
      </c>
      <c r="K699" t="s">
        <v>52</v>
      </c>
      <c r="L699">
        <v>65</v>
      </c>
      <c r="M699">
        <v>5</v>
      </c>
      <c r="N699">
        <v>15</v>
      </c>
      <c r="O699" t="s">
        <v>1926</v>
      </c>
      <c r="P699" t="s">
        <v>44</v>
      </c>
      <c r="Q699" t="s">
        <v>117</v>
      </c>
      <c r="R699" t="s">
        <v>62</v>
      </c>
      <c r="S699" t="s">
        <v>141</v>
      </c>
      <c r="T699">
        <v>5</v>
      </c>
      <c r="U699">
        <v>284.62</v>
      </c>
      <c r="V699">
        <v>758.61</v>
      </c>
      <c r="W699">
        <v>4</v>
      </c>
      <c r="X699" t="str">
        <f>TEXT(cleaneddata[[#This Row],[Order Date]],"mmm")</f>
        <v>Apr</v>
      </c>
      <c r="Y699">
        <f>cleaneddata[[#This Row],[Unit Price]]*cleaneddata[[#This Row],[Quantity]]*(1-cleaneddata[[#This Row],[Discount %]]/100)</f>
        <v>1209.635</v>
      </c>
      <c r="Z699">
        <f>cleaneddata[[#This Row],[sales]]-cleaneddata[[#This Row],[Cost]]</f>
        <v>451.02499999999998</v>
      </c>
    </row>
    <row r="700" spans="1:26" x14ac:dyDescent="0.3">
      <c r="A700" t="s">
        <v>1927</v>
      </c>
      <c r="B700" s="1">
        <v>45430</v>
      </c>
      <c r="C700" t="s">
        <v>1928</v>
      </c>
      <c r="D700" t="s">
        <v>2743</v>
      </c>
      <c r="E700" s="1">
        <v>45434</v>
      </c>
      <c r="F700" t="s">
        <v>68</v>
      </c>
      <c r="G700" t="s">
        <v>66</v>
      </c>
      <c r="H700" t="s">
        <v>67</v>
      </c>
      <c r="I700" t="s">
        <v>2679</v>
      </c>
      <c r="J700" t="s">
        <v>2707</v>
      </c>
      <c r="K700" t="s">
        <v>52</v>
      </c>
      <c r="L700">
        <v>36</v>
      </c>
      <c r="M700">
        <v>1</v>
      </c>
      <c r="N700">
        <v>10</v>
      </c>
      <c r="O700" t="s">
        <v>93</v>
      </c>
      <c r="P700" t="s">
        <v>44</v>
      </c>
      <c r="Q700" t="s">
        <v>58</v>
      </c>
      <c r="R700" t="s">
        <v>43</v>
      </c>
      <c r="S700" t="s">
        <v>69</v>
      </c>
      <c r="T700">
        <v>5</v>
      </c>
      <c r="U700">
        <v>350.09</v>
      </c>
      <c r="V700">
        <v>185.55</v>
      </c>
      <c r="W700">
        <v>4</v>
      </c>
      <c r="X700" t="str">
        <f>TEXT(cleaneddata[[#This Row],[Order Date]],"mmm")</f>
        <v>May</v>
      </c>
      <c r="Y700">
        <f>cleaneddata[[#This Row],[Unit Price]]*cleaneddata[[#This Row],[Quantity]]*(1-cleaneddata[[#This Row],[Discount %]]/100)</f>
        <v>315.08099999999996</v>
      </c>
      <c r="Z700">
        <f>cleaneddata[[#This Row],[sales]]-cleaneddata[[#This Row],[Cost]]</f>
        <v>129.53099999999995</v>
      </c>
    </row>
    <row r="701" spans="1:26" x14ac:dyDescent="0.3">
      <c r="A701" t="s">
        <v>1929</v>
      </c>
      <c r="B701" s="1">
        <v>45721</v>
      </c>
      <c r="C701" t="s">
        <v>838</v>
      </c>
      <c r="D701" t="s">
        <v>3078</v>
      </c>
      <c r="E701" s="1">
        <v>45727</v>
      </c>
      <c r="F701" t="s">
        <v>40</v>
      </c>
      <c r="G701" t="s">
        <v>38</v>
      </c>
      <c r="H701" t="s">
        <v>39</v>
      </c>
      <c r="I701" t="s">
        <v>2622</v>
      </c>
      <c r="J701" t="s">
        <v>2686</v>
      </c>
      <c r="K701" t="s">
        <v>52</v>
      </c>
      <c r="L701">
        <v>25</v>
      </c>
      <c r="M701">
        <v>5</v>
      </c>
      <c r="N701">
        <v>5</v>
      </c>
      <c r="O701" t="s">
        <v>1930</v>
      </c>
      <c r="P701" t="s">
        <v>44</v>
      </c>
      <c r="Q701" t="s">
        <v>31</v>
      </c>
      <c r="R701" t="s">
        <v>43</v>
      </c>
      <c r="S701" t="s">
        <v>41</v>
      </c>
      <c r="T701">
        <v>5</v>
      </c>
      <c r="U701">
        <v>296.92</v>
      </c>
      <c r="V701">
        <v>815.62</v>
      </c>
      <c r="W701">
        <v>6</v>
      </c>
      <c r="X701" t="str">
        <f>TEXT(cleaneddata[[#This Row],[Order Date]],"mmm")</f>
        <v>Mar</v>
      </c>
      <c r="Y701">
        <f>cleaneddata[[#This Row],[Unit Price]]*cleaneddata[[#This Row],[Quantity]]*(1-cleaneddata[[#This Row],[Discount %]]/100)</f>
        <v>1410.3700000000001</v>
      </c>
      <c r="Z701">
        <f>cleaneddata[[#This Row],[sales]]-cleaneddata[[#This Row],[Cost]]</f>
        <v>594.75000000000011</v>
      </c>
    </row>
    <row r="702" spans="1:26" x14ac:dyDescent="0.3">
      <c r="A702" t="s">
        <v>1931</v>
      </c>
      <c r="B702" s="1">
        <v>45412</v>
      </c>
      <c r="C702" t="s">
        <v>1932</v>
      </c>
      <c r="D702" t="s">
        <v>3077</v>
      </c>
      <c r="E702" s="1">
        <v>45418</v>
      </c>
      <c r="F702" t="s">
        <v>128</v>
      </c>
      <c r="G702" t="s">
        <v>98</v>
      </c>
      <c r="H702" t="s">
        <v>127</v>
      </c>
      <c r="I702" t="s">
        <v>2623</v>
      </c>
      <c r="J702" t="s">
        <v>2624</v>
      </c>
      <c r="K702" t="s">
        <v>52</v>
      </c>
      <c r="L702">
        <v>47</v>
      </c>
      <c r="M702">
        <v>5</v>
      </c>
      <c r="N702">
        <v>5</v>
      </c>
      <c r="O702" t="s">
        <v>1933</v>
      </c>
      <c r="P702" t="s">
        <v>33</v>
      </c>
      <c r="Q702" t="s">
        <v>117</v>
      </c>
      <c r="R702" t="s">
        <v>62</v>
      </c>
      <c r="S702" t="s">
        <v>129</v>
      </c>
      <c r="T702">
        <v>3</v>
      </c>
      <c r="U702">
        <v>677.06</v>
      </c>
      <c r="V702">
        <v>1656.89</v>
      </c>
      <c r="W702">
        <v>6</v>
      </c>
      <c r="X702" t="str">
        <f>TEXT(cleaneddata[[#This Row],[Order Date]],"mmm")</f>
        <v>Apr</v>
      </c>
      <c r="Y702">
        <f>cleaneddata[[#This Row],[Unit Price]]*cleaneddata[[#This Row],[Quantity]]*(1-cleaneddata[[#This Row],[Discount %]]/100)</f>
        <v>3216.0349999999994</v>
      </c>
      <c r="Z702">
        <f>cleaneddata[[#This Row],[sales]]-cleaneddata[[#This Row],[Cost]]</f>
        <v>1559.1449999999993</v>
      </c>
    </row>
    <row r="703" spans="1:26" x14ac:dyDescent="0.3">
      <c r="A703" t="s">
        <v>1934</v>
      </c>
      <c r="B703" s="1">
        <v>45448</v>
      </c>
      <c r="C703" t="s">
        <v>170</v>
      </c>
      <c r="D703" t="s">
        <v>3076</v>
      </c>
      <c r="E703" s="1">
        <v>45449</v>
      </c>
      <c r="F703" t="s">
        <v>29</v>
      </c>
      <c r="G703" t="s">
        <v>27</v>
      </c>
      <c r="H703" t="s">
        <v>28</v>
      </c>
      <c r="I703" t="s">
        <v>2629</v>
      </c>
      <c r="J703" t="s">
        <v>2709</v>
      </c>
      <c r="K703" t="s">
        <v>25</v>
      </c>
      <c r="L703">
        <v>47</v>
      </c>
      <c r="M703">
        <v>5</v>
      </c>
      <c r="N703">
        <v>0</v>
      </c>
      <c r="O703" t="s">
        <v>1935</v>
      </c>
      <c r="P703" t="s">
        <v>44</v>
      </c>
      <c r="Q703" t="s">
        <v>117</v>
      </c>
      <c r="R703" t="s">
        <v>71</v>
      </c>
      <c r="S703" t="s">
        <v>30</v>
      </c>
      <c r="T703">
        <v>4</v>
      </c>
      <c r="U703">
        <v>152.76</v>
      </c>
      <c r="V703">
        <v>477.5</v>
      </c>
      <c r="W703">
        <v>1</v>
      </c>
      <c r="X703" t="str">
        <f>TEXT(cleaneddata[[#This Row],[Order Date]],"mmm")</f>
        <v>Jun</v>
      </c>
      <c r="Y703">
        <f>cleaneddata[[#This Row],[Unit Price]]*cleaneddata[[#This Row],[Quantity]]*(1-cleaneddata[[#This Row],[Discount %]]/100)</f>
        <v>763.8</v>
      </c>
      <c r="Z703">
        <f>cleaneddata[[#This Row],[sales]]-cleaneddata[[#This Row],[Cost]]</f>
        <v>286.29999999999995</v>
      </c>
    </row>
    <row r="704" spans="1:26" x14ac:dyDescent="0.3">
      <c r="A704" t="s">
        <v>1936</v>
      </c>
      <c r="B704" s="1">
        <v>45565</v>
      </c>
      <c r="C704" t="s">
        <v>1937</v>
      </c>
      <c r="D704" t="s">
        <v>3075</v>
      </c>
      <c r="E704" s="1">
        <v>45572</v>
      </c>
      <c r="F704" t="s">
        <v>29</v>
      </c>
      <c r="G704" t="s">
        <v>27</v>
      </c>
      <c r="H704" t="s">
        <v>28</v>
      </c>
      <c r="I704" t="s">
        <v>2656</v>
      </c>
      <c r="J704" t="s">
        <v>2683</v>
      </c>
      <c r="K704" t="s">
        <v>25</v>
      </c>
      <c r="L704">
        <v>48</v>
      </c>
      <c r="M704">
        <v>3</v>
      </c>
      <c r="N704">
        <v>10</v>
      </c>
      <c r="O704" t="s">
        <v>1938</v>
      </c>
      <c r="P704" t="s">
        <v>75</v>
      </c>
      <c r="Q704" t="s">
        <v>31</v>
      </c>
      <c r="R704" t="s">
        <v>71</v>
      </c>
      <c r="S704" t="s">
        <v>30</v>
      </c>
      <c r="T704">
        <v>3</v>
      </c>
      <c r="U704">
        <v>916.38</v>
      </c>
      <c r="V704">
        <v>1759.09</v>
      </c>
      <c r="W704">
        <v>7</v>
      </c>
      <c r="X704" t="str">
        <f>TEXT(cleaneddata[[#This Row],[Order Date]],"mmm")</f>
        <v>Sep</v>
      </c>
      <c r="Y704">
        <f>cleaneddata[[#This Row],[Unit Price]]*cleaneddata[[#This Row],[Quantity]]*(1-cleaneddata[[#This Row],[Discount %]]/100)</f>
        <v>2474.2260000000001</v>
      </c>
      <c r="Z704">
        <f>cleaneddata[[#This Row],[sales]]-cleaneddata[[#This Row],[Cost]]</f>
        <v>715.13600000000019</v>
      </c>
    </row>
    <row r="705" spans="1:26" x14ac:dyDescent="0.3">
      <c r="A705" t="s">
        <v>1939</v>
      </c>
      <c r="B705" s="1">
        <v>45457</v>
      </c>
      <c r="C705" t="s">
        <v>1940</v>
      </c>
      <c r="D705" t="s">
        <v>3074</v>
      </c>
      <c r="E705" s="1">
        <v>45463</v>
      </c>
      <c r="F705" t="s">
        <v>115</v>
      </c>
      <c r="G705" t="s">
        <v>66</v>
      </c>
      <c r="H705" t="s">
        <v>114</v>
      </c>
      <c r="I705" t="s">
        <v>2623</v>
      </c>
      <c r="J705" t="s">
        <v>2696</v>
      </c>
      <c r="K705" t="s">
        <v>52</v>
      </c>
      <c r="L705">
        <v>58</v>
      </c>
      <c r="M705">
        <v>2</v>
      </c>
      <c r="N705">
        <v>0</v>
      </c>
      <c r="O705" t="s">
        <v>634</v>
      </c>
      <c r="P705" t="s">
        <v>33</v>
      </c>
      <c r="Q705" t="s">
        <v>70</v>
      </c>
      <c r="R705" t="s">
        <v>43</v>
      </c>
      <c r="S705" t="s">
        <v>116</v>
      </c>
      <c r="T705">
        <v>5</v>
      </c>
      <c r="U705">
        <v>724.75</v>
      </c>
      <c r="V705">
        <v>1202.3699999999999</v>
      </c>
      <c r="W705">
        <v>6</v>
      </c>
      <c r="X705" t="str">
        <f>TEXT(cleaneddata[[#This Row],[Order Date]],"mmm")</f>
        <v>Jun</v>
      </c>
      <c r="Y705">
        <f>cleaneddata[[#This Row],[Unit Price]]*cleaneddata[[#This Row],[Quantity]]*(1-cleaneddata[[#This Row],[Discount %]]/100)</f>
        <v>1449.5</v>
      </c>
      <c r="Z705">
        <f>cleaneddata[[#This Row],[sales]]-cleaneddata[[#This Row],[Cost]]</f>
        <v>247.13000000000011</v>
      </c>
    </row>
    <row r="706" spans="1:26" x14ac:dyDescent="0.3">
      <c r="A706" t="s">
        <v>1941</v>
      </c>
      <c r="B706" s="1">
        <v>45503</v>
      </c>
      <c r="C706" t="s">
        <v>1942</v>
      </c>
      <c r="D706" t="s">
        <v>3073</v>
      </c>
      <c r="E706" s="1">
        <v>45509</v>
      </c>
      <c r="F706" t="s">
        <v>128</v>
      </c>
      <c r="G706" t="s">
        <v>98</v>
      </c>
      <c r="H706" t="s">
        <v>127</v>
      </c>
      <c r="I706" t="s">
        <v>2654</v>
      </c>
      <c r="J706" t="s">
        <v>2655</v>
      </c>
      <c r="K706" t="s">
        <v>52</v>
      </c>
      <c r="L706">
        <v>24</v>
      </c>
      <c r="M706">
        <v>4</v>
      </c>
      <c r="N706">
        <v>5</v>
      </c>
      <c r="O706" t="s">
        <v>135</v>
      </c>
      <c r="P706" t="s">
        <v>75</v>
      </c>
      <c r="Q706" t="s">
        <v>42</v>
      </c>
      <c r="R706" t="s">
        <v>62</v>
      </c>
      <c r="S706" t="s">
        <v>129</v>
      </c>
      <c r="T706">
        <v>5</v>
      </c>
      <c r="U706">
        <v>984.72</v>
      </c>
      <c r="V706">
        <v>2731.21</v>
      </c>
      <c r="W706">
        <v>6</v>
      </c>
      <c r="X706" t="str">
        <f>TEXT(cleaneddata[[#This Row],[Order Date]],"mmm")</f>
        <v>Jul</v>
      </c>
      <c r="Y706">
        <f>cleaneddata[[#This Row],[Unit Price]]*cleaneddata[[#This Row],[Quantity]]*(1-cleaneddata[[#This Row],[Discount %]]/100)</f>
        <v>3741.9360000000001</v>
      </c>
      <c r="Z706">
        <f>cleaneddata[[#This Row],[sales]]-cleaneddata[[#This Row],[Cost]]</f>
        <v>1010.7260000000001</v>
      </c>
    </row>
    <row r="707" spans="1:26" x14ac:dyDescent="0.3">
      <c r="A707" t="s">
        <v>1943</v>
      </c>
      <c r="B707" s="1">
        <v>45760</v>
      </c>
      <c r="C707" t="s">
        <v>1944</v>
      </c>
      <c r="D707" t="s">
        <v>3072</v>
      </c>
      <c r="E707" s="1">
        <v>45761</v>
      </c>
      <c r="F707" t="s">
        <v>56</v>
      </c>
      <c r="G707" t="s">
        <v>54</v>
      </c>
      <c r="H707" t="s">
        <v>55</v>
      </c>
      <c r="I707" t="s">
        <v>2639</v>
      </c>
      <c r="J707" t="s">
        <v>2640</v>
      </c>
      <c r="K707" t="s">
        <v>52</v>
      </c>
      <c r="L707">
        <v>58</v>
      </c>
      <c r="M707">
        <v>1</v>
      </c>
      <c r="N707">
        <v>20</v>
      </c>
      <c r="O707" t="s">
        <v>649</v>
      </c>
      <c r="P707" t="s">
        <v>44</v>
      </c>
      <c r="Q707" t="s">
        <v>58</v>
      </c>
      <c r="R707" t="s">
        <v>32</v>
      </c>
      <c r="S707" t="s">
        <v>57</v>
      </c>
      <c r="T707">
        <v>2</v>
      </c>
      <c r="U707">
        <v>841.61</v>
      </c>
      <c r="V707">
        <v>349.68</v>
      </c>
      <c r="W707">
        <v>1</v>
      </c>
      <c r="X707" t="str">
        <f>TEXT(cleaneddata[[#This Row],[Order Date]],"mmm")</f>
        <v>Apr</v>
      </c>
      <c r="Y707">
        <f>cleaneddata[[#This Row],[Unit Price]]*cleaneddata[[#This Row],[Quantity]]*(1-cleaneddata[[#This Row],[Discount %]]/100)</f>
        <v>673.28800000000001</v>
      </c>
      <c r="Z707">
        <f>cleaneddata[[#This Row],[sales]]-cleaneddata[[#This Row],[Cost]]</f>
        <v>323.608</v>
      </c>
    </row>
    <row r="708" spans="1:26" x14ac:dyDescent="0.3">
      <c r="A708" t="s">
        <v>1945</v>
      </c>
      <c r="B708" s="1">
        <v>45563</v>
      </c>
      <c r="C708" t="s">
        <v>1946</v>
      </c>
      <c r="D708" t="s">
        <v>3071</v>
      </c>
      <c r="E708" s="1">
        <v>45569</v>
      </c>
      <c r="F708" t="s">
        <v>115</v>
      </c>
      <c r="G708" t="s">
        <v>66</v>
      </c>
      <c r="H708" t="s">
        <v>114</v>
      </c>
      <c r="I708" t="s">
        <v>2635</v>
      </c>
      <c r="J708" t="s">
        <v>2643</v>
      </c>
      <c r="K708" t="s">
        <v>25</v>
      </c>
      <c r="L708">
        <v>58</v>
      </c>
      <c r="M708">
        <v>4</v>
      </c>
      <c r="N708">
        <v>0</v>
      </c>
      <c r="O708" t="s">
        <v>431</v>
      </c>
      <c r="P708" t="s">
        <v>44</v>
      </c>
      <c r="Q708" t="s">
        <v>70</v>
      </c>
      <c r="R708" t="s">
        <v>43</v>
      </c>
      <c r="S708" t="s">
        <v>116</v>
      </c>
      <c r="T708">
        <v>4</v>
      </c>
      <c r="U708">
        <v>200.79</v>
      </c>
      <c r="V708">
        <v>658.72</v>
      </c>
      <c r="W708">
        <v>6</v>
      </c>
      <c r="X708" t="str">
        <f>TEXT(cleaneddata[[#This Row],[Order Date]],"mmm")</f>
        <v>Sep</v>
      </c>
      <c r="Y708">
        <f>cleaneddata[[#This Row],[Unit Price]]*cleaneddata[[#This Row],[Quantity]]*(1-cleaneddata[[#This Row],[Discount %]]/100)</f>
        <v>803.16</v>
      </c>
      <c r="Z708">
        <f>cleaneddata[[#This Row],[sales]]-cleaneddata[[#This Row],[Cost]]</f>
        <v>144.43999999999994</v>
      </c>
    </row>
    <row r="709" spans="1:26" x14ac:dyDescent="0.3">
      <c r="A709" t="s">
        <v>1947</v>
      </c>
      <c r="B709" s="1">
        <v>46069</v>
      </c>
      <c r="C709" t="s">
        <v>1948</v>
      </c>
      <c r="D709" t="s">
        <v>3070</v>
      </c>
      <c r="E709" s="1">
        <v>46072</v>
      </c>
      <c r="F709" t="s">
        <v>68</v>
      </c>
      <c r="G709" t="s">
        <v>66</v>
      </c>
      <c r="H709" t="s">
        <v>67</v>
      </c>
      <c r="I709" t="s">
        <v>2631</v>
      </c>
      <c r="J709" t="s">
        <v>2711</v>
      </c>
      <c r="K709" t="s">
        <v>52</v>
      </c>
      <c r="L709">
        <v>21</v>
      </c>
      <c r="M709">
        <v>4</v>
      </c>
      <c r="N709">
        <v>10</v>
      </c>
      <c r="O709" t="s">
        <v>1949</v>
      </c>
      <c r="P709" t="s">
        <v>44</v>
      </c>
      <c r="Q709" t="s">
        <v>58</v>
      </c>
      <c r="R709" t="s">
        <v>43</v>
      </c>
      <c r="S709" t="s">
        <v>69</v>
      </c>
      <c r="T709">
        <v>3</v>
      </c>
      <c r="U709">
        <v>782.13</v>
      </c>
      <c r="V709">
        <v>1720.97</v>
      </c>
      <c r="W709">
        <v>3</v>
      </c>
      <c r="X709" t="str">
        <f>TEXT(cleaneddata[[#This Row],[Order Date]],"mmm")</f>
        <v>Feb</v>
      </c>
      <c r="Y709">
        <f>cleaneddata[[#This Row],[Unit Price]]*cleaneddata[[#This Row],[Quantity]]*(1-cleaneddata[[#This Row],[Discount %]]/100)</f>
        <v>2815.6680000000001</v>
      </c>
      <c r="Z709">
        <f>cleaneddata[[#This Row],[sales]]-cleaneddata[[#This Row],[Cost]]</f>
        <v>1094.6980000000001</v>
      </c>
    </row>
    <row r="710" spans="1:26" x14ac:dyDescent="0.3">
      <c r="A710" t="s">
        <v>1950</v>
      </c>
      <c r="B710" s="1">
        <v>45856</v>
      </c>
      <c r="C710" t="s">
        <v>1951</v>
      </c>
      <c r="D710" t="s">
        <v>3069</v>
      </c>
      <c r="E710" s="1">
        <v>45857</v>
      </c>
      <c r="F710" t="s">
        <v>40</v>
      </c>
      <c r="G710" t="s">
        <v>38</v>
      </c>
      <c r="H710" t="s">
        <v>39</v>
      </c>
      <c r="I710" t="s">
        <v>2625</v>
      </c>
      <c r="J710" t="s">
        <v>2626</v>
      </c>
      <c r="K710" t="s">
        <v>25</v>
      </c>
      <c r="L710">
        <v>34</v>
      </c>
      <c r="M710">
        <v>4</v>
      </c>
      <c r="N710">
        <v>0</v>
      </c>
      <c r="O710" t="s">
        <v>1952</v>
      </c>
      <c r="P710" t="s">
        <v>75</v>
      </c>
      <c r="Q710" t="s">
        <v>117</v>
      </c>
      <c r="R710" t="s">
        <v>43</v>
      </c>
      <c r="S710" t="s">
        <v>41</v>
      </c>
      <c r="T710">
        <v>3</v>
      </c>
      <c r="U710">
        <v>813.44</v>
      </c>
      <c r="V710">
        <v>2082.17</v>
      </c>
      <c r="W710">
        <v>1</v>
      </c>
      <c r="X710" t="str">
        <f>TEXT(cleaneddata[[#This Row],[Order Date]],"mmm")</f>
        <v>Jul</v>
      </c>
      <c r="Y710">
        <f>cleaneddata[[#This Row],[Unit Price]]*cleaneddata[[#This Row],[Quantity]]*(1-cleaneddata[[#This Row],[Discount %]]/100)</f>
        <v>3253.76</v>
      </c>
      <c r="Z710">
        <f>cleaneddata[[#This Row],[sales]]-cleaneddata[[#This Row],[Cost]]</f>
        <v>1171.5900000000001</v>
      </c>
    </row>
    <row r="711" spans="1:26" x14ac:dyDescent="0.3">
      <c r="A711" t="s">
        <v>1953</v>
      </c>
      <c r="B711" s="1">
        <v>45680</v>
      </c>
      <c r="C711" t="s">
        <v>1954</v>
      </c>
      <c r="D711" t="s">
        <v>3068</v>
      </c>
      <c r="E711" s="1">
        <v>45683</v>
      </c>
      <c r="F711" t="s">
        <v>115</v>
      </c>
      <c r="G711" t="s">
        <v>66</v>
      </c>
      <c r="H711" t="s">
        <v>114</v>
      </c>
      <c r="I711" t="s">
        <v>2625</v>
      </c>
      <c r="J711" t="s">
        <v>2667</v>
      </c>
      <c r="K711" t="s">
        <v>25</v>
      </c>
      <c r="L711">
        <v>61</v>
      </c>
      <c r="M711">
        <v>3</v>
      </c>
      <c r="N711">
        <v>5</v>
      </c>
      <c r="O711" t="s">
        <v>449</v>
      </c>
      <c r="P711" t="s">
        <v>44</v>
      </c>
      <c r="Q711" t="s">
        <v>42</v>
      </c>
      <c r="R711" t="s">
        <v>62</v>
      </c>
      <c r="S711" t="s">
        <v>116</v>
      </c>
      <c r="T711">
        <v>5</v>
      </c>
      <c r="U711">
        <v>738.98</v>
      </c>
      <c r="V711">
        <v>1610.18</v>
      </c>
      <c r="W711">
        <v>3</v>
      </c>
      <c r="X711" t="str">
        <f>TEXT(cleaneddata[[#This Row],[Order Date]],"mmm")</f>
        <v>Jan</v>
      </c>
      <c r="Y711">
        <f>cleaneddata[[#This Row],[Unit Price]]*cleaneddata[[#This Row],[Quantity]]*(1-cleaneddata[[#This Row],[Discount %]]/100)</f>
        <v>2106.0929999999998</v>
      </c>
      <c r="Z711">
        <f>cleaneddata[[#This Row],[sales]]-cleaneddata[[#This Row],[Cost]]</f>
        <v>495.91299999999978</v>
      </c>
    </row>
    <row r="712" spans="1:26" x14ac:dyDescent="0.3">
      <c r="A712" t="s">
        <v>1955</v>
      </c>
      <c r="B712" s="1">
        <v>45515</v>
      </c>
      <c r="C712" t="s">
        <v>1956</v>
      </c>
      <c r="D712" t="s">
        <v>3067</v>
      </c>
      <c r="E712" s="1">
        <v>45519</v>
      </c>
      <c r="F712" t="s">
        <v>68</v>
      </c>
      <c r="G712" t="s">
        <v>66</v>
      </c>
      <c r="H712" t="s">
        <v>67</v>
      </c>
      <c r="I712" t="s">
        <v>2632</v>
      </c>
      <c r="J712" t="s">
        <v>2645</v>
      </c>
      <c r="K712" t="s">
        <v>25</v>
      </c>
      <c r="L712">
        <v>23</v>
      </c>
      <c r="M712">
        <v>4</v>
      </c>
      <c r="N712">
        <v>30</v>
      </c>
      <c r="O712" t="s">
        <v>1957</v>
      </c>
      <c r="P712" t="s">
        <v>75</v>
      </c>
      <c r="Q712" t="s">
        <v>58</v>
      </c>
      <c r="R712" t="s">
        <v>62</v>
      </c>
      <c r="S712" t="s">
        <v>69</v>
      </c>
      <c r="T712">
        <v>3</v>
      </c>
      <c r="U712">
        <v>373.04</v>
      </c>
      <c r="V712">
        <v>641.64</v>
      </c>
      <c r="W712">
        <v>4</v>
      </c>
      <c r="X712" t="str">
        <f>TEXT(cleaneddata[[#This Row],[Order Date]],"mmm")</f>
        <v>Aug</v>
      </c>
      <c r="Y712">
        <f>cleaneddata[[#This Row],[Unit Price]]*cleaneddata[[#This Row],[Quantity]]*(1-cleaneddata[[#This Row],[Discount %]]/100)</f>
        <v>1044.5119999999999</v>
      </c>
      <c r="Z712">
        <f>cleaneddata[[#This Row],[sales]]-cleaneddata[[#This Row],[Cost]]</f>
        <v>402.87199999999996</v>
      </c>
    </row>
    <row r="713" spans="1:26" x14ac:dyDescent="0.3">
      <c r="A713" t="s">
        <v>1958</v>
      </c>
      <c r="B713" s="1">
        <v>46069</v>
      </c>
      <c r="C713" t="s">
        <v>1959</v>
      </c>
      <c r="D713" t="s">
        <v>3066</v>
      </c>
      <c r="E713" s="1">
        <v>46071</v>
      </c>
      <c r="F713" t="s">
        <v>56</v>
      </c>
      <c r="G713" t="s">
        <v>54</v>
      </c>
      <c r="H713" t="s">
        <v>55</v>
      </c>
      <c r="I713" t="s">
        <v>2625</v>
      </c>
      <c r="J713" t="s">
        <v>2651</v>
      </c>
      <c r="K713" t="s">
        <v>25</v>
      </c>
      <c r="L713">
        <v>30</v>
      </c>
      <c r="M713">
        <v>4</v>
      </c>
      <c r="N713">
        <v>30</v>
      </c>
      <c r="O713" t="s">
        <v>1315</v>
      </c>
      <c r="P713" t="s">
        <v>75</v>
      </c>
      <c r="Q713" t="s">
        <v>117</v>
      </c>
      <c r="R713" t="s">
        <v>32</v>
      </c>
      <c r="S713" t="s">
        <v>57</v>
      </c>
      <c r="T713">
        <v>5</v>
      </c>
      <c r="U713">
        <v>145.71</v>
      </c>
      <c r="V713">
        <v>337.83</v>
      </c>
      <c r="W713">
        <v>2</v>
      </c>
      <c r="X713" t="str">
        <f>TEXT(cleaneddata[[#This Row],[Order Date]],"mmm")</f>
        <v>Feb</v>
      </c>
      <c r="Y713">
        <f>cleaneddata[[#This Row],[Unit Price]]*cleaneddata[[#This Row],[Quantity]]*(1-cleaneddata[[#This Row],[Discount %]]/100)</f>
        <v>407.988</v>
      </c>
      <c r="Z713">
        <f>cleaneddata[[#This Row],[sales]]-cleaneddata[[#This Row],[Cost]]</f>
        <v>70.158000000000015</v>
      </c>
    </row>
    <row r="714" spans="1:26" x14ac:dyDescent="0.3">
      <c r="A714" t="s">
        <v>1960</v>
      </c>
      <c r="B714" s="1">
        <v>45431</v>
      </c>
      <c r="C714" t="s">
        <v>1961</v>
      </c>
      <c r="D714" t="s">
        <v>3065</v>
      </c>
      <c r="E714" s="1">
        <v>45435</v>
      </c>
      <c r="F714" t="s">
        <v>115</v>
      </c>
      <c r="G714" t="s">
        <v>66</v>
      </c>
      <c r="H714" t="s">
        <v>114</v>
      </c>
      <c r="I714" t="s">
        <v>2639</v>
      </c>
      <c r="J714" t="s">
        <v>2687</v>
      </c>
      <c r="K714" t="s">
        <v>25</v>
      </c>
      <c r="L714">
        <v>54</v>
      </c>
      <c r="M714">
        <v>3</v>
      </c>
      <c r="N714">
        <v>20</v>
      </c>
      <c r="O714" t="s">
        <v>1962</v>
      </c>
      <c r="P714" t="s">
        <v>75</v>
      </c>
      <c r="Q714" t="s">
        <v>70</v>
      </c>
      <c r="R714" t="s">
        <v>62</v>
      </c>
      <c r="S714" t="s">
        <v>116</v>
      </c>
      <c r="T714">
        <v>1</v>
      </c>
      <c r="U714">
        <v>152.07</v>
      </c>
      <c r="V714">
        <v>299.64999999999998</v>
      </c>
      <c r="W714">
        <v>4</v>
      </c>
      <c r="X714" t="str">
        <f>TEXT(cleaneddata[[#This Row],[Order Date]],"mmm")</f>
        <v>May</v>
      </c>
      <c r="Y714">
        <f>cleaneddata[[#This Row],[Unit Price]]*cleaneddata[[#This Row],[Quantity]]*(1-cleaneddata[[#This Row],[Discount %]]/100)</f>
        <v>364.96800000000002</v>
      </c>
      <c r="Z714">
        <f>cleaneddata[[#This Row],[sales]]-cleaneddata[[#This Row],[Cost]]</f>
        <v>65.31800000000004</v>
      </c>
    </row>
    <row r="715" spans="1:26" x14ac:dyDescent="0.3">
      <c r="A715" t="s">
        <v>1963</v>
      </c>
      <c r="B715" s="1">
        <v>45501</v>
      </c>
      <c r="C715" t="s">
        <v>1964</v>
      </c>
      <c r="D715" t="s">
        <v>3064</v>
      </c>
      <c r="E715" s="1">
        <v>45507</v>
      </c>
      <c r="F715" t="s">
        <v>29</v>
      </c>
      <c r="G715" t="s">
        <v>27</v>
      </c>
      <c r="H715" t="s">
        <v>28</v>
      </c>
      <c r="I715" t="s">
        <v>2629</v>
      </c>
      <c r="J715" t="s">
        <v>2697</v>
      </c>
      <c r="K715" t="s">
        <v>52</v>
      </c>
      <c r="L715">
        <v>40</v>
      </c>
      <c r="M715">
        <v>2</v>
      </c>
      <c r="N715">
        <v>5</v>
      </c>
      <c r="O715" t="s">
        <v>1848</v>
      </c>
      <c r="P715" t="s">
        <v>44</v>
      </c>
      <c r="Q715" t="s">
        <v>42</v>
      </c>
      <c r="R715" t="s">
        <v>62</v>
      </c>
      <c r="S715" t="s">
        <v>30</v>
      </c>
      <c r="T715">
        <v>4</v>
      </c>
      <c r="U715">
        <v>680.52</v>
      </c>
      <c r="V715">
        <v>904.63</v>
      </c>
      <c r="W715">
        <v>6</v>
      </c>
      <c r="X715" t="str">
        <f>TEXT(cleaneddata[[#This Row],[Order Date]],"mmm")</f>
        <v>Jul</v>
      </c>
      <c r="Y715">
        <f>cleaneddata[[#This Row],[Unit Price]]*cleaneddata[[#This Row],[Quantity]]*(1-cleaneddata[[#This Row],[Discount %]]/100)</f>
        <v>1292.9879999999998</v>
      </c>
      <c r="Z715">
        <f>cleaneddata[[#This Row],[sales]]-cleaneddata[[#This Row],[Cost]]</f>
        <v>388.35799999999983</v>
      </c>
    </row>
    <row r="716" spans="1:26" x14ac:dyDescent="0.3">
      <c r="A716" t="s">
        <v>1965</v>
      </c>
      <c r="B716" s="1">
        <v>45683</v>
      </c>
      <c r="C716" t="s">
        <v>1966</v>
      </c>
      <c r="D716" t="s">
        <v>3063</v>
      </c>
      <c r="E716" s="1">
        <v>45689</v>
      </c>
      <c r="F716" t="s">
        <v>100</v>
      </c>
      <c r="G716" t="s">
        <v>98</v>
      </c>
      <c r="H716" t="s">
        <v>99</v>
      </c>
      <c r="I716" t="s">
        <v>2661</v>
      </c>
      <c r="J716" t="s">
        <v>2671</v>
      </c>
      <c r="K716" t="s">
        <v>52</v>
      </c>
      <c r="L716">
        <v>25</v>
      </c>
      <c r="M716">
        <v>1</v>
      </c>
      <c r="N716">
        <v>25</v>
      </c>
      <c r="O716" t="s">
        <v>1967</v>
      </c>
      <c r="P716" t="s">
        <v>33</v>
      </c>
      <c r="Q716" t="s">
        <v>117</v>
      </c>
      <c r="R716" t="s">
        <v>32</v>
      </c>
      <c r="S716" t="s">
        <v>101</v>
      </c>
      <c r="T716">
        <v>5</v>
      </c>
      <c r="U716">
        <v>871.18</v>
      </c>
      <c r="V716">
        <v>417.43</v>
      </c>
      <c r="W716">
        <v>6</v>
      </c>
      <c r="X716" t="str">
        <f>TEXT(cleaneddata[[#This Row],[Order Date]],"mmm")</f>
        <v>Jan</v>
      </c>
      <c r="Y716">
        <f>cleaneddata[[#This Row],[Unit Price]]*cleaneddata[[#This Row],[Quantity]]*(1-cleaneddata[[#This Row],[Discount %]]/100)</f>
        <v>653.38499999999999</v>
      </c>
      <c r="Z716">
        <f>cleaneddata[[#This Row],[sales]]-cleaneddata[[#This Row],[Cost]]</f>
        <v>235.95499999999998</v>
      </c>
    </row>
    <row r="717" spans="1:26" x14ac:dyDescent="0.3">
      <c r="A717" t="s">
        <v>1968</v>
      </c>
      <c r="B717" s="1">
        <v>45597</v>
      </c>
      <c r="C717" t="s">
        <v>1969</v>
      </c>
      <c r="D717" t="s">
        <v>3062</v>
      </c>
      <c r="E717" s="1">
        <v>45602</v>
      </c>
      <c r="F717" t="s">
        <v>29</v>
      </c>
      <c r="G717" t="s">
        <v>27</v>
      </c>
      <c r="H717" t="s">
        <v>28</v>
      </c>
      <c r="I717" t="s">
        <v>2625</v>
      </c>
      <c r="J717" t="s">
        <v>2626</v>
      </c>
      <c r="K717" t="s">
        <v>52</v>
      </c>
      <c r="L717">
        <v>45</v>
      </c>
      <c r="M717">
        <v>2</v>
      </c>
      <c r="N717">
        <v>5</v>
      </c>
      <c r="O717" t="s">
        <v>1219</v>
      </c>
      <c r="P717" t="s">
        <v>75</v>
      </c>
      <c r="Q717" t="s">
        <v>31</v>
      </c>
      <c r="R717" t="s">
        <v>71</v>
      </c>
      <c r="S717" t="s">
        <v>30</v>
      </c>
      <c r="T717">
        <v>4</v>
      </c>
      <c r="U717">
        <v>16.71</v>
      </c>
      <c r="V717">
        <v>25.61</v>
      </c>
      <c r="W717">
        <v>5</v>
      </c>
      <c r="X717" t="str">
        <f>TEXT(cleaneddata[[#This Row],[Order Date]],"mmm")</f>
        <v>Nov</v>
      </c>
      <c r="Y717">
        <f>cleaneddata[[#This Row],[Unit Price]]*cleaneddata[[#This Row],[Quantity]]*(1-cleaneddata[[#This Row],[Discount %]]/100)</f>
        <v>31.748999999999999</v>
      </c>
      <c r="Z717">
        <f>cleaneddata[[#This Row],[sales]]-cleaneddata[[#This Row],[Cost]]</f>
        <v>6.1389999999999993</v>
      </c>
    </row>
    <row r="718" spans="1:26" x14ac:dyDescent="0.3">
      <c r="A718" t="s">
        <v>1970</v>
      </c>
      <c r="B718" s="1">
        <v>45873</v>
      </c>
      <c r="C718" t="s">
        <v>1971</v>
      </c>
      <c r="D718" t="s">
        <v>3061</v>
      </c>
      <c r="E718" s="1">
        <v>45874</v>
      </c>
      <c r="F718" t="s">
        <v>128</v>
      </c>
      <c r="G718" t="s">
        <v>98</v>
      </c>
      <c r="H718" t="s">
        <v>127</v>
      </c>
      <c r="I718" t="s">
        <v>2635</v>
      </c>
      <c r="J718" t="s">
        <v>2677</v>
      </c>
      <c r="K718" t="s">
        <v>25</v>
      </c>
      <c r="L718">
        <v>57</v>
      </c>
      <c r="M718">
        <v>4</v>
      </c>
      <c r="N718">
        <v>30</v>
      </c>
      <c r="O718" t="s">
        <v>1161</v>
      </c>
      <c r="P718" t="s">
        <v>75</v>
      </c>
      <c r="Q718" t="s">
        <v>117</v>
      </c>
      <c r="R718" t="s">
        <v>43</v>
      </c>
      <c r="S718" t="s">
        <v>129</v>
      </c>
      <c r="T718">
        <v>5</v>
      </c>
      <c r="U718">
        <v>513.17999999999995</v>
      </c>
      <c r="V718">
        <v>780.54</v>
      </c>
      <c r="W718">
        <v>1</v>
      </c>
      <c r="X718" t="str">
        <f>TEXT(cleaneddata[[#This Row],[Order Date]],"mmm")</f>
        <v>Aug</v>
      </c>
      <c r="Y718">
        <f>cleaneddata[[#This Row],[Unit Price]]*cleaneddata[[#This Row],[Quantity]]*(1-cleaneddata[[#This Row],[Discount %]]/100)</f>
        <v>1436.9039999999998</v>
      </c>
      <c r="Z718">
        <f>cleaneddata[[#This Row],[sales]]-cleaneddata[[#This Row],[Cost]]</f>
        <v>656.36399999999981</v>
      </c>
    </row>
    <row r="719" spans="1:26" x14ac:dyDescent="0.3">
      <c r="A719" t="s">
        <v>1972</v>
      </c>
      <c r="B719" s="1">
        <v>45466</v>
      </c>
      <c r="C719" t="s">
        <v>1973</v>
      </c>
      <c r="D719" t="s">
        <v>3060</v>
      </c>
      <c r="E719" s="1">
        <v>45471</v>
      </c>
      <c r="F719" t="s">
        <v>68</v>
      </c>
      <c r="G719" t="s">
        <v>66</v>
      </c>
      <c r="H719" t="s">
        <v>67</v>
      </c>
      <c r="I719" t="s">
        <v>2623</v>
      </c>
      <c r="J719" t="s">
        <v>2701</v>
      </c>
      <c r="K719" t="s">
        <v>52</v>
      </c>
      <c r="L719">
        <v>18</v>
      </c>
      <c r="M719">
        <v>4</v>
      </c>
      <c r="N719">
        <v>30</v>
      </c>
      <c r="O719" t="s">
        <v>1370</v>
      </c>
      <c r="P719" t="s">
        <v>33</v>
      </c>
      <c r="Q719" t="s">
        <v>42</v>
      </c>
      <c r="R719" t="s">
        <v>62</v>
      </c>
      <c r="S719" t="s">
        <v>69</v>
      </c>
      <c r="T719">
        <v>5</v>
      </c>
      <c r="U719">
        <v>629.49</v>
      </c>
      <c r="V719">
        <v>1186.05</v>
      </c>
      <c r="W719">
        <v>5</v>
      </c>
      <c r="X719" t="str">
        <f>TEXT(cleaneddata[[#This Row],[Order Date]],"mmm")</f>
        <v>Jun</v>
      </c>
      <c r="Y719">
        <f>cleaneddata[[#This Row],[Unit Price]]*cleaneddata[[#This Row],[Quantity]]*(1-cleaneddata[[#This Row],[Discount %]]/100)</f>
        <v>1762.5719999999999</v>
      </c>
      <c r="Z719">
        <f>cleaneddata[[#This Row],[sales]]-cleaneddata[[#This Row],[Cost]]</f>
        <v>576.52199999999993</v>
      </c>
    </row>
    <row r="720" spans="1:26" x14ac:dyDescent="0.3">
      <c r="A720" t="s">
        <v>1974</v>
      </c>
      <c r="B720" s="1">
        <v>45870</v>
      </c>
      <c r="C720" t="s">
        <v>1975</v>
      </c>
      <c r="D720" t="s">
        <v>3059</v>
      </c>
      <c r="E720" s="1">
        <v>45877</v>
      </c>
      <c r="F720" t="s">
        <v>56</v>
      </c>
      <c r="G720" t="s">
        <v>54</v>
      </c>
      <c r="H720" t="s">
        <v>55</v>
      </c>
      <c r="I720" t="s">
        <v>2625</v>
      </c>
      <c r="J720" t="s">
        <v>2651</v>
      </c>
      <c r="K720" t="s">
        <v>25</v>
      </c>
      <c r="L720">
        <v>44</v>
      </c>
      <c r="M720">
        <v>3</v>
      </c>
      <c r="N720">
        <v>30</v>
      </c>
      <c r="O720" t="s">
        <v>316</v>
      </c>
      <c r="P720" t="s">
        <v>75</v>
      </c>
      <c r="Q720" t="s">
        <v>42</v>
      </c>
      <c r="R720" t="s">
        <v>71</v>
      </c>
      <c r="S720" t="s">
        <v>57</v>
      </c>
      <c r="T720">
        <v>2</v>
      </c>
      <c r="U720">
        <v>742.65</v>
      </c>
      <c r="V720">
        <v>852.28</v>
      </c>
      <c r="W720">
        <v>7</v>
      </c>
      <c r="X720" t="str">
        <f>TEXT(cleaneddata[[#This Row],[Order Date]],"mmm")</f>
        <v>Aug</v>
      </c>
      <c r="Y720">
        <f>cleaneddata[[#This Row],[Unit Price]]*cleaneddata[[#This Row],[Quantity]]*(1-cleaneddata[[#This Row],[Discount %]]/100)</f>
        <v>1559.5649999999998</v>
      </c>
      <c r="Z720">
        <f>cleaneddata[[#This Row],[sales]]-cleaneddata[[#This Row],[Cost]]</f>
        <v>707.28499999999985</v>
      </c>
    </row>
    <row r="721" spans="1:26" x14ac:dyDescent="0.3">
      <c r="A721" t="s">
        <v>1976</v>
      </c>
      <c r="B721" s="1">
        <v>45892</v>
      </c>
      <c r="C721" t="s">
        <v>1977</v>
      </c>
      <c r="D721" t="s">
        <v>3058</v>
      </c>
      <c r="E721" s="1">
        <v>45893</v>
      </c>
      <c r="F721" t="s">
        <v>40</v>
      </c>
      <c r="G721" t="s">
        <v>38</v>
      </c>
      <c r="H721" t="s">
        <v>39</v>
      </c>
      <c r="I721" t="s">
        <v>2629</v>
      </c>
      <c r="J721" t="s">
        <v>2697</v>
      </c>
      <c r="K721" t="s">
        <v>52</v>
      </c>
      <c r="L721">
        <v>49</v>
      </c>
      <c r="M721">
        <v>4</v>
      </c>
      <c r="N721">
        <v>20</v>
      </c>
      <c r="O721" t="s">
        <v>1978</v>
      </c>
      <c r="P721" t="s">
        <v>44</v>
      </c>
      <c r="Q721" t="s">
        <v>42</v>
      </c>
      <c r="R721" t="s">
        <v>71</v>
      </c>
      <c r="S721" t="s">
        <v>41</v>
      </c>
      <c r="T721">
        <v>3</v>
      </c>
      <c r="U721">
        <v>245.4</v>
      </c>
      <c r="V721">
        <v>658.94</v>
      </c>
      <c r="W721">
        <v>1</v>
      </c>
      <c r="X721" t="str">
        <f>TEXT(cleaneddata[[#This Row],[Order Date]],"mmm")</f>
        <v>Aug</v>
      </c>
      <c r="Y721">
        <f>cleaneddata[[#This Row],[Unit Price]]*cleaneddata[[#This Row],[Quantity]]*(1-cleaneddata[[#This Row],[Discount %]]/100)</f>
        <v>785.28000000000009</v>
      </c>
      <c r="Z721">
        <f>cleaneddata[[#This Row],[sales]]-cleaneddata[[#This Row],[Cost]]</f>
        <v>126.34000000000003</v>
      </c>
    </row>
    <row r="722" spans="1:26" x14ac:dyDescent="0.3">
      <c r="A722" t="s">
        <v>1979</v>
      </c>
      <c r="B722" s="1">
        <v>45376</v>
      </c>
      <c r="C722" t="s">
        <v>1980</v>
      </c>
      <c r="D722" t="s">
        <v>3057</v>
      </c>
      <c r="E722" s="1">
        <v>45377</v>
      </c>
      <c r="F722" t="s">
        <v>56</v>
      </c>
      <c r="G722" t="s">
        <v>54</v>
      </c>
      <c r="H722" t="s">
        <v>55</v>
      </c>
      <c r="I722" t="s">
        <v>2631</v>
      </c>
      <c r="J722" t="s">
        <v>2694</v>
      </c>
      <c r="K722" t="s">
        <v>52</v>
      </c>
      <c r="L722">
        <v>65</v>
      </c>
      <c r="M722">
        <v>1</v>
      </c>
      <c r="N722">
        <v>25</v>
      </c>
      <c r="O722" t="s">
        <v>631</v>
      </c>
      <c r="P722" t="s">
        <v>75</v>
      </c>
      <c r="Q722" t="s">
        <v>58</v>
      </c>
      <c r="R722" t="s">
        <v>32</v>
      </c>
      <c r="S722" t="s">
        <v>57</v>
      </c>
      <c r="T722">
        <v>3</v>
      </c>
      <c r="U722">
        <v>27.2</v>
      </c>
      <c r="V722">
        <v>16.14</v>
      </c>
      <c r="W722">
        <v>1</v>
      </c>
      <c r="X722" t="str">
        <f>TEXT(cleaneddata[[#This Row],[Order Date]],"mmm")</f>
        <v>Mar</v>
      </c>
      <c r="Y722">
        <f>cleaneddata[[#This Row],[Unit Price]]*cleaneddata[[#This Row],[Quantity]]*(1-cleaneddata[[#This Row],[Discount %]]/100)</f>
        <v>20.399999999999999</v>
      </c>
      <c r="Z722">
        <f>cleaneddata[[#This Row],[sales]]-cleaneddata[[#This Row],[Cost]]</f>
        <v>4.259999999999998</v>
      </c>
    </row>
    <row r="723" spans="1:26" x14ac:dyDescent="0.3">
      <c r="A723" t="s">
        <v>1981</v>
      </c>
      <c r="B723" s="1">
        <v>45901</v>
      </c>
      <c r="C723" t="s">
        <v>1982</v>
      </c>
      <c r="D723" t="s">
        <v>3056</v>
      </c>
      <c r="E723" s="1">
        <v>45905</v>
      </c>
      <c r="F723" t="s">
        <v>122</v>
      </c>
      <c r="G723" t="s">
        <v>120</v>
      </c>
      <c r="H723" t="s">
        <v>121</v>
      </c>
      <c r="I723" t="s">
        <v>2622</v>
      </c>
      <c r="J723" t="s">
        <v>2704</v>
      </c>
      <c r="K723" t="s">
        <v>52</v>
      </c>
      <c r="L723">
        <v>19</v>
      </c>
      <c r="M723">
        <v>2</v>
      </c>
      <c r="N723">
        <v>30</v>
      </c>
      <c r="O723" t="s">
        <v>296</v>
      </c>
      <c r="P723" t="s">
        <v>75</v>
      </c>
      <c r="Q723" t="s">
        <v>31</v>
      </c>
      <c r="R723" t="s">
        <v>32</v>
      </c>
      <c r="S723" t="s">
        <v>123</v>
      </c>
      <c r="T723">
        <v>2</v>
      </c>
      <c r="U723">
        <v>59.01</v>
      </c>
      <c r="V723">
        <v>58.95</v>
      </c>
      <c r="W723">
        <v>4</v>
      </c>
      <c r="X723" t="str">
        <f>TEXT(cleaneddata[[#This Row],[Order Date]],"mmm")</f>
        <v>Sep</v>
      </c>
      <c r="Y723">
        <f>cleaneddata[[#This Row],[Unit Price]]*cleaneddata[[#This Row],[Quantity]]*(1-cleaneddata[[#This Row],[Discount %]]/100)</f>
        <v>82.61399999999999</v>
      </c>
      <c r="Z723">
        <f>cleaneddata[[#This Row],[sales]]-cleaneddata[[#This Row],[Cost]]</f>
        <v>23.663999999999987</v>
      </c>
    </row>
    <row r="724" spans="1:26" x14ac:dyDescent="0.3">
      <c r="A724" t="s">
        <v>1983</v>
      </c>
      <c r="B724" s="1">
        <v>45436</v>
      </c>
      <c r="C724" t="s">
        <v>1984</v>
      </c>
      <c r="D724" t="s">
        <v>3055</v>
      </c>
      <c r="E724" s="1">
        <v>45437</v>
      </c>
      <c r="F724" t="s">
        <v>29</v>
      </c>
      <c r="G724" t="s">
        <v>27</v>
      </c>
      <c r="H724" t="s">
        <v>28</v>
      </c>
      <c r="I724" t="s">
        <v>2625</v>
      </c>
      <c r="J724" t="s">
        <v>2626</v>
      </c>
      <c r="K724" t="s">
        <v>25</v>
      </c>
      <c r="L724">
        <v>29</v>
      </c>
      <c r="M724">
        <v>5</v>
      </c>
      <c r="N724">
        <v>15</v>
      </c>
      <c r="O724" t="s">
        <v>1600</v>
      </c>
      <c r="P724" t="s">
        <v>75</v>
      </c>
      <c r="Q724" t="s">
        <v>31</v>
      </c>
      <c r="R724" t="s">
        <v>62</v>
      </c>
      <c r="S724" t="s">
        <v>30</v>
      </c>
      <c r="T724">
        <v>4</v>
      </c>
      <c r="U724">
        <v>90.32</v>
      </c>
      <c r="V724">
        <v>225.74</v>
      </c>
      <c r="W724">
        <v>1</v>
      </c>
      <c r="X724" t="str">
        <f>TEXT(cleaneddata[[#This Row],[Order Date]],"mmm")</f>
        <v>May</v>
      </c>
      <c r="Y724">
        <f>cleaneddata[[#This Row],[Unit Price]]*cleaneddata[[#This Row],[Quantity]]*(1-cleaneddata[[#This Row],[Discount %]]/100)</f>
        <v>383.85999999999996</v>
      </c>
      <c r="Z724">
        <f>cleaneddata[[#This Row],[sales]]-cleaneddata[[#This Row],[Cost]]</f>
        <v>158.11999999999995</v>
      </c>
    </row>
    <row r="725" spans="1:26" x14ac:dyDescent="0.3">
      <c r="A725" t="s">
        <v>1985</v>
      </c>
      <c r="B725" s="1">
        <v>45821</v>
      </c>
      <c r="C725" t="s">
        <v>1986</v>
      </c>
      <c r="D725" t="s">
        <v>3054</v>
      </c>
      <c r="E725" s="1">
        <v>45823</v>
      </c>
      <c r="F725" t="s">
        <v>40</v>
      </c>
      <c r="G725" t="s">
        <v>38</v>
      </c>
      <c r="H725" t="s">
        <v>39</v>
      </c>
      <c r="I725" t="s">
        <v>2622</v>
      </c>
      <c r="J725" t="s">
        <v>2704</v>
      </c>
      <c r="K725" t="s">
        <v>25</v>
      </c>
      <c r="L725">
        <v>50</v>
      </c>
      <c r="M725">
        <v>4</v>
      </c>
      <c r="N725">
        <v>10</v>
      </c>
      <c r="O725" t="s">
        <v>723</v>
      </c>
      <c r="P725" t="s">
        <v>75</v>
      </c>
      <c r="Q725" t="s">
        <v>31</v>
      </c>
      <c r="R725" t="s">
        <v>43</v>
      </c>
      <c r="S725" t="s">
        <v>41</v>
      </c>
      <c r="T725">
        <v>1</v>
      </c>
      <c r="U725">
        <v>278.42</v>
      </c>
      <c r="V725">
        <v>673.12</v>
      </c>
      <c r="W725">
        <v>2</v>
      </c>
      <c r="X725" t="str">
        <f>TEXT(cleaneddata[[#This Row],[Order Date]],"mmm")</f>
        <v>Jun</v>
      </c>
      <c r="Y725">
        <f>cleaneddata[[#This Row],[Unit Price]]*cleaneddata[[#This Row],[Quantity]]*(1-cleaneddata[[#This Row],[Discount %]]/100)</f>
        <v>1002.3120000000001</v>
      </c>
      <c r="Z725">
        <f>cleaneddata[[#This Row],[sales]]-cleaneddata[[#This Row],[Cost]]</f>
        <v>329.19200000000012</v>
      </c>
    </row>
    <row r="726" spans="1:26" x14ac:dyDescent="0.3">
      <c r="A726" t="s">
        <v>1987</v>
      </c>
      <c r="B726" s="1">
        <v>46067</v>
      </c>
      <c r="C726" t="s">
        <v>1988</v>
      </c>
      <c r="D726" t="s">
        <v>3053</v>
      </c>
      <c r="E726" s="1">
        <v>46071</v>
      </c>
      <c r="F726" t="s">
        <v>122</v>
      </c>
      <c r="G726" t="s">
        <v>120</v>
      </c>
      <c r="H726" t="s">
        <v>121</v>
      </c>
      <c r="I726" t="s">
        <v>2637</v>
      </c>
      <c r="J726" t="s">
        <v>2638</v>
      </c>
      <c r="K726" t="s">
        <v>52</v>
      </c>
      <c r="L726">
        <v>25</v>
      </c>
      <c r="M726">
        <v>4</v>
      </c>
      <c r="N726">
        <v>15</v>
      </c>
      <c r="O726" t="s">
        <v>1600</v>
      </c>
      <c r="P726" t="s">
        <v>33</v>
      </c>
      <c r="Q726" t="s">
        <v>42</v>
      </c>
      <c r="R726" t="s">
        <v>43</v>
      </c>
      <c r="S726" t="s">
        <v>123</v>
      </c>
      <c r="T726">
        <v>5</v>
      </c>
      <c r="U726">
        <v>350.05</v>
      </c>
      <c r="V726">
        <v>754.62</v>
      </c>
      <c r="W726">
        <v>4</v>
      </c>
      <c r="X726" t="str">
        <f>TEXT(cleaneddata[[#This Row],[Order Date]],"mmm")</f>
        <v>Feb</v>
      </c>
      <c r="Y726">
        <f>cleaneddata[[#This Row],[Unit Price]]*cleaneddata[[#This Row],[Quantity]]*(1-cleaneddata[[#This Row],[Discount %]]/100)</f>
        <v>1190.17</v>
      </c>
      <c r="Z726">
        <f>cleaneddata[[#This Row],[sales]]-cleaneddata[[#This Row],[Cost]]</f>
        <v>435.55000000000007</v>
      </c>
    </row>
    <row r="727" spans="1:26" x14ac:dyDescent="0.3">
      <c r="A727" t="s">
        <v>1989</v>
      </c>
      <c r="B727" s="1">
        <v>45863</v>
      </c>
      <c r="C727" t="s">
        <v>1990</v>
      </c>
      <c r="D727" t="s">
        <v>3052</v>
      </c>
      <c r="E727" s="1">
        <v>45864</v>
      </c>
      <c r="F727" t="s">
        <v>29</v>
      </c>
      <c r="G727" t="s">
        <v>27</v>
      </c>
      <c r="H727" t="s">
        <v>28</v>
      </c>
      <c r="I727" t="s">
        <v>2663</v>
      </c>
      <c r="J727" t="s">
        <v>2670</v>
      </c>
      <c r="K727" t="s">
        <v>52</v>
      </c>
      <c r="L727">
        <v>35</v>
      </c>
      <c r="M727">
        <v>3</v>
      </c>
      <c r="N727">
        <v>5</v>
      </c>
      <c r="O727" t="s">
        <v>26</v>
      </c>
      <c r="P727" t="s">
        <v>75</v>
      </c>
      <c r="Q727" t="s">
        <v>58</v>
      </c>
      <c r="R727" t="s">
        <v>43</v>
      </c>
      <c r="S727" t="s">
        <v>30</v>
      </c>
      <c r="T727">
        <v>1</v>
      </c>
      <c r="U727">
        <v>858.51</v>
      </c>
      <c r="V727">
        <v>1629.24</v>
      </c>
      <c r="W727">
        <v>1</v>
      </c>
      <c r="X727" t="str">
        <f>TEXT(cleaneddata[[#This Row],[Order Date]],"mmm")</f>
        <v>Jul</v>
      </c>
      <c r="Y727">
        <f>cleaneddata[[#This Row],[Unit Price]]*cleaneddata[[#This Row],[Quantity]]*(1-cleaneddata[[#This Row],[Discount %]]/100)</f>
        <v>2446.7534999999998</v>
      </c>
      <c r="Z727">
        <f>cleaneddata[[#This Row],[sales]]-cleaneddata[[#This Row],[Cost]]</f>
        <v>817.51349999999979</v>
      </c>
    </row>
    <row r="728" spans="1:26" x14ac:dyDescent="0.3">
      <c r="A728" t="s">
        <v>1991</v>
      </c>
      <c r="B728" s="1">
        <v>46132</v>
      </c>
      <c r="C728" t="s">
        <v>1992</v>
      </c>
      <c r="D728" t="s">
        <v>3051</v>
      </c>
      <c r="E728" s="1">
        <v>46133</v>
      </c>
      <c r="F728" t="s">
        <v>29</v>
      </c>
      <c r="G728" t="s">
        <v>27</v>
      </c>
      <c r="H728" t="s">
        <v>28</v>
      </c>
      <c r="I728" t="s">
        <v>2627</v>
      </c>
      <c r="J728" t="s">
        <v>2698</v>
      </c>
      <c r="K728" t="s">
        <v>52</v>
      </c>
      <c r="L728">
        <v>51</v>
      </c>
      <c r="M728">
        <v>4</v>
      </c>
      <c r="N728">
        <v>15</v>
      </c>
      <c r="O728" t="s">
        <v>780</v>
      </c>
      <c r="P728" t="s">
        <v>33</v>
      </c>
      <c r="Q728" t="s">
        <v>31</v>
      </c>
      <c r="R728" t="s">
        <v>71</v>
      </c>
      <c r="S728" t="s">
        <v>30</v>
      </c>
      <c r="T728">
        <v>1</v>
      </c>
      <c r="U728">
        <v>329.3</v>
      </c>
      <c r="V728">
        <v>755.93</v>
      </c>
      <c r="W728">
        <v>1</v>
      </c>
      <c r="X728" t="str">
        <f>TEXT(cleaneddata[[#This Row],[Order Date]],"mmm")</f>
        <v>Apr</v>
      </c>
      <c r="Y728">
        <f>cleaneddata[[#This Row],[Unit Price]]*cleaneddata[[#This Row],[Quantity]]*(1-cleaneddata[[#This Row],[Discount %]]/100)</f>
        <v>1119.6200000000001</v>
      </c>
      <c r="Z728">
        <f>cleaneddata[[#This Row],[sales]]-cleaneddata[[#This Row],[Cost]]</f>
        <v>363.69000000000017</v>
      </c>
    </row>
    <row r="729" spans="1:26" x14ac:dyDescent="0.3">
      <c r="A729" t="s">
        <v>1993</v>
      </c>
      <c r="B729" s="1">
        <v>45296</v>
      </c>
      <c r="C729" t="s">
        <v>1994</v>
      </c>
      <c r="D729" t="s">
        <v>3050</v>
      </c>
      <c r="E729" s="1">
        <v>45302</v>
      </c>
      <c r="F729" t="s">
        <v>56</v>
      </c>
      <c r="G729" t="s">
        <v>54</v>
      </c>
      <c r="H729" t="s">
        <v>55</v>
      </c>
      <c r="I729" t="s">
        <v>2634</v>
      </c>
      <c r="J729" t="s">
        <v>2714</v>
      </c>
      <c r="K729" t="s">
        <v>25</v>
      </c>
      <c r="L729">
        <v>54</v>
      </c>
      <c r="M729">
        <v>5</v>
      </c>
      <c r="N729">
        <v>20</v>
      </c>
      <c r="O729" t="s">
        <v>1995</v>
      </c>
      <c r="P729" t="s">
        <v>33</v>
      </c>
      <c r="Q729" t="s">
        <v>58</v>
      </c>
      <c r="R729" t="s">
        <v>32</v>
      </c>
      <c r="S729" t="s">
        <v>57</v>
      </c>
      <c r="T729">
        <v>5</v>
      </c>
      <c r="U729">
        <v>50.98</v>
      </c>
      <c r="V729">
        <v>167.61</v>
      </c>
      <c r="W729">
        <v>6</v>
      </c>
      <c r="X729" t="str">
        <f>TEXT(cleaneddata[[#This Row],[Order Date]],"mmm")</f>
        <v>Jan</v>
      </c>
      <c r="Y729">
        <f>cleaneddata[[#This Row],[Unit Price]]*cleaneddata[[#This Row],[Quantity]]*(1-cleaneddata[[#This Row],[Discount %]]/100)</f>
        <v>203.92</v>
      </c>
      <c r="Z729">
        <f>cleaneddata[[#This Row],[sales]]-cleaneddata[[#This Row],[Cost]]</f>
        <v>36.309999999999974</v>
      </c>
    </row>
    <row r="730" spans="1:26" x14ac:dyDescent="0.3">
      <c r="A730" t="s">
        <v>1996</v>
      </c>
      <c r="B730" s="1">
        <v>46042</v>
      </c>
      <c r="C730" t="s">
        <v>1997</v>
      </c>
      <c r="D730" t="s">
        <v>3049</v>
      </c>
      <c r="E730" s="1">
        <v>46044</v>
      </c>
      <c r="F730" t="s">
        <v>128</v>
      </c>
      <c r="G730" t="s">
        <v>98</v>
      </c>
      <c r="H730" t="s">
        <v>127</v>
      </c>
      <c r="I730" t="s">
        <v>2668</v>
      </c>
      <c r="J730" t="s">
        <v>2682</v>
      </c>
      <c r="K730" t="s">
        <v>52</v>
      </c>
      <c r="L730">
        <v>52</v>
      </c>
      <c r="M730">
        <v>2</v>
      </c>
      <c r="N730">
        <v>20</v>
      </c>
      <c r="O730" t="s">
        <v>1998</v>
      </c>
      <c r="P730" t="s">
        <v>75</v>
      </c>
      <c r="Q730" t="s">
        <v>31</v>
      </c>
      <c r="R730" t="s">
        <v>71</v>
      </c>
      <c r="S730" t="s">
        <v>129</v>
      </c>
      <c r="T730">
        <v>3</v>
      </c>
      <c r="U730">
        <v>378.15</v>
      </c>
      <c r="V730">
        <v>454.1</v>
      </c>
      <c r="W730">
        <v>2</v>
      </c>
      <c r="X730" t="str">
        <f>TEXT(cleaneddata[[#This Row],[Order Date]],"mmm")</f>
        <v>Jan</v>
      </c>
      <c r="Y730">
        <f>cleaneddata[[#This Row],[Unit Price]]*cleaneddata[[#This Row],[Quantity]]*(1-cleaneddata[[#This Row],[Discount %]]/100)</f>
        <v>605.04</v>
      </c>
      <c r="Z730">
        <f>cleaneddata[[#This Row],[sales]]-cleaneddata[[#This Row],[Cost]]</f>
        <v>150.93999999999994</v>
      </c>
    </row>
    <row r="731" spans="1:26" x14ac:dyDescent="0.3">
      <c r="A731" t="s">
        <v>1999</v>
      </c>
      <c r="B731" s="1">
        <v>45325</v>
      </c>
      <c r="C731" t="s">
        <v>2000</v>
      </c>
      <c r="D731" t="s">
        <v>3048</v>
      </c>
      <c r="E731" s="1">
        <v>45332</v>
      </c>
      <c r="F731" t="s">
        <v>100</v>
      </c>
      <c r="G731" t="s">
        <v>98</v>
      </c>
      <c r="H731" t="s">
        <v>99</v>
      </c>
      <c r="I731" t="s">
        <v>2635</v>
      </c>
      <c r="J731" t="s">
        <v>2677</v>
      </c>
      <c r="K731" t="s">
        <v>52</v>
      </c>
      <c r="L731">
        <v>39</v>
      </c>
      <c r="M731">
        <v>5</v>
      </c>
      <c r="N731">
        <v>0</v>
      </c>
      <c r="O731" t="s">
        <v>409</v>
      </c>
      <c r="P731" t="s">
        <v>44</v>
      </c>
      <c r="Q731" t="s">
        <v>117</v>
      </c>
      <c r="R731" t="s">
        <v>32</v>
      </c>
      <c r="S731" t="s">
        <v>101</v>
      </c>
      <c r="T731">
        <v>5</v>
      </c>
      <c r="U731">
        <v>67.62</v>
      </c>
      <c r="V731">
        <v>281.33</v>
      </c>
      <c r="W731">
        <v>7</v>
      </c>
      <c r="X731" t="str">
        <f>TEXT(cleaneddata[[#This Row],[Order Date]],"mmm")</f>
        <v>Feb</v>
      </c>
      <c r="Y731">
        <f>cleaneddata[[#This Row],[Unit Price]]*cleaneddata[[#This Row],[Quantity]]*(1-cleaneddata[[#This Row],[Discount %]]/100)</f>
        <v>338.1</v>
      </c>
      <c r="Z731">
        <f>cleaneddata[[#This Row],[sales]]-cleaneddata[[#This Row],[Cost]]</f>
        <v>56.770000000000039</v>
      </c>
    </row>
    <row r="732" spans="1:26" x14ac:dyDescent="0.3">
      <c r="A732" t="s">
        <v>2001</v>
      </c>
      <c r="B732" s="1">
        <v>45564</v>
      </c>
      <c r="C732" t="s">
        <v>2002</v>
      </c>
      <c r="D732" t="s">
        <v>3047</v>
      </c>
      <c r="E732" s="1">
        <v>45569</v>
      </c>
      <c r="F732" t="s">
        <v>122</v>
      </c>
      <c r="G732" t="s">
        <v>120</v>
      </c>
      <c r="H732" t="s">
        <v>121</v>
      </c>
      <c r="I732" t="s">
        <v>2661</v>
      </c>
      <c r="J732" t="s">
        <v>2700</v>
      </c>
      <c r="K732" t="s">
        <v>25</v>
      </c>
      <c r="L732">
        <v>26</v>
      </c>
      <c r="M732">
        <v>4</v>
      </c>
      <c r="N732">
        <v>0</v>
      </c>
      <c r="O732" t="s">
        <v>394</v>
      </c>
      <c r="P732" t="s">
        <v>33</v>
      </c>
      <c r="Q732" t="s">
        <v>58</v>
      </c>
      <c r="R732" t="s">
        <v>43</v>
      </c>
      <c r="S732" t="s">
        <v>123</v>
      </c>
      <c r="T732">
        <v>2</v>
      </c>
      <c r="U732">
        <v>244.2</v>
      </c>
      <c r="V732">
        <v>819.7</v>
      </c>
      <c r="W732">
        <v>5</v>
      </c>
      <c r="X732" t="str">
        <f>TEXT(cleaneddata[[#This Row],[Order Date]],"mmm")</f>
        <v>Sep</v>
      </c>
      <c r="Y732">
        <f>cleaneddata[[#This Row],[Unit Price]]*cleaneddata[[#This Row],[Quantity]]*(1-cleaneddata[[#This Row],[Discount %]]/100)</f>
        <v>976.8</v>
      </c>
      <c r="Z732">
        <f>cleaneddata[[#This Row],[sales]]-cleaneddata[[#This Row],[Cost]]</f>
        <v>157.09999999999991</v>
      </c>
    </row>
    <row r="733" spans="1:26" x14ac:dyDescent="0.3">
      <c r="A733" t="s">
        <v>2003</v>
      </c>
      <c r="B733" s="1">
        <v>45477</v>
      </c>
      <c r="C733" t="s">
        <v>2004</v>
      </c>
      <c r="D733" t="s">
        <v>3046</v>
      </c>
      <c r="E733" s="1">
        <v>45478</v>
      </c>
      <c r="F733" t="s">
        <v>115</v>
      </c>
      <c r="G733" t="s">
        <v>66</v>
      </c>
      <c r="H733" t="s">
        <v>114</v>
      </c>
      <c r="I733" t="s">
        <v>2627</v>
      </c>
      <c r="J733" t="s">
        <v>2698</v>
      </c>
      <c r="K733" t="s">
        <v>25</v>
      </c>
      <c r="L733">
        <v>51</v>
      </c>
      <c r="M733">
        <v>2</v>
      </c>
      <c r="N733">
        <v>20</v>
      </c>
      <c r="O733" t="s">
        <v>1933</v>
      </c>
      <c r="P733" t="s">
        <v>33</v>
      </c>
      <c r="Q733" t="s">
        <v>42</v>
      </c>
      <c r="R733" t="s">
        <v>71</v>
      </c>
      <c r="S733" t="s">
        <v>116</v>
      </c>
      <c r="T733">
        <v>2</v>
      </c>
      <c r="U733">
        <v>293</v>
      </c>
      <c r="V733">
        <v>328.06</v>
      </c>
      <c r="W733">
        <v>1</v>
      </c>
      <c r="X733" t="str">
        <f>TEXT(cleaneddata[[#This Row],[Order Date]],"mmm")</f>
        <v>Jul</v>
      </c>
      <c r="Y733">
        <f>cleaneddata[[#This Row],[Unit Price]]*cleaneddata[[#This Row],[Quantity]]*(1-cleaneddata[[#This Row],[Discount %]]/100)</f>
        <v>468.8</v>
      </c>
      <c r="Z733">
        <f>cleaneddata[[#This Row],[sales]]-cleaneddata[[#This Row],[Cost]]</f>
        <v>140.74</v>
      </c>
    </row>
    <row r="734" spans="1:26" x14ac:dyDescent="0.3">
      <c r="A734" t="s">
        <v>2005</v>
      </c>
      <c r="B734" s="1">
        <v>45435</v>
      </c>
      <c r="C734" t="s">
        <v>2006</v>
      </c>
      <c r="D734" t="s">
        <v>3045</v>
      </c>
      <c r="E734" s="1">
        <v>45439</v>
      </c>
      <c r="F734" t="s">
        <v>122</v>
      </c>
      <c r="G734" t="s">
        <v>120</v>
      </c>
      <c r="H734" t="s">
        <v>121</v>
      </c>
      <c r="I734" t="s">
        <v>2623</v>
      </c>
      <c r="J734" t="s">
        <v>2696</v>
      </c>
      <c r="K734" t="s">
        <v>52</v>
      </c>
      <c r="L734">
        <v>24</v>
      </c>
      <c r="M734">
        <v>2</v>
      </c>
      <c r="N734">
        <v>10</v>
      </c>
      <c r="O734" t="s">
        <v>2007</v>
      </c>
      <c r="P734" t="s">
        <v>33</v>
      </c>
      <c r="Q734" t="s">
        <v>70</v>
      </c>
      <c r="R734" t="s">
        <v>62</v>
      </c>
      <c r="S734" t="s">
        <v>123</v>
      </c>
      <c r="T734">
        <v>2</v>
      </c>
      <c r="U734">
        <v>463.63</v>
      </c>
      <c r="V734">
        <v>544.75</v>
      </c>
      <c r="W734">
        <v>4</v>
      </c>
      <c r="X734" t="str">
        <f>TEXT(cleaneddata[[#This Row],[Order Date]],"mmm")</f>
        <v>May</v>
      </c>
      <c r="Y734">
        <f>cleaneddata[[#This Row],[Unit Price]]*cleaneddata[[#This Row],[Quantity]]*(1-cleaneddata[[#This Row],[Discount %]]/100)</f>
        <v>834.53399999999999</v>
      </c>
      <c r="Z734">
        <f>cleaneddata[[#This Row],[sales]]-cleaneddata[[#This Row],[Cost]]</f>
        <v>289.78399999999999</v>
      </c>
    </row>
    <row r="735" spans="1:26" x14ac:dyDescent="0.3">
      <c r="A735" t="s">
        <v>2008</v>
      </c>
      <c r="B735" s="1">
        <v>45840</v>
      </c>
      <c r="C735" t="s">
        <v>2009</v>
      </c>
      <c r="D735" t="s">
        <v>3044</v>
      </c>
      <c r="E735" s="1">
        <v>45847</v>
      </c>
      <c r="F735" t="s">
        <v>122</v>
      </c>
      <c r="G735" t="s">
        <v>120</v>
      </c>
      <c r="H735" t="s">
        <v>121</v>
      </c>
      <c r="I735" t="s">
        <v>2661</v>
      </c>
      <c r="J735" t="s">
        <v>2671</v>
      </c>
      <c r="K735" t="s">
        <v>25</v>
      </c>
      <c r="L735">
        <v>31</v>
      </c>
      <c r="M735">
        <v>1</v>
      </c>
      <c r="N735">
        <v>30</v>
      </c>
      <c r="O735" t="s">
        <v>569</v>
      </c>
      <c r="P735" t="s">
        <v>44</v>
      </c>
      <c r="Q735" t="s">
        <v>42</v>
      </c>
      <c r="R735" t="s">
        <v>43</v>
      </c>
      <c r="S735" t="s">
        <v>123</v>
      </c>
      <c r="T735">
        <v>5</v>
      </c>
      <c r="U735">
        <v>442.25</v>
      </c>
      <c r="V735">
        <v>168.24</v>
      </c>
      <c r="W735">
        <v>7</v>
      </c>
      <c r="X735" t="str">
        <f>TEXT(cleaneddata[[#This Row],[Order Date]],"mmm")</f>
        <v>Jul</v>
      </c>
      <c r="Y735">
        <f>cleaneddata[[#This Row],[Unit Price]]*cleaneddata[[#This Row],[Quantity]]*(1-cleaneddata[[#This Row],[Discount %]]/100)</f>
        <v>309.57499999999999</v>
      </c>
      <c r="Z735">
        <f>cleaneddata[[#This Row],[sales]]-cleaneddata[[#This Row],[Cost]]</f>
        <v>141.33499999999998</v>
      </c>
    </row>
    <row r="736" spans="1:26" x14ac:dyDescent="0.3">
      <c r="A736" t="s">
        <v>2010</v>
      </c>
      <c r="B736" s="1">
        <v>45958</v>
      </c>
      <c r="C736" t="s">
        <v>2011</v>
      </c>
      <c r="D736" t="s">
        <v>3043</v>
      </c>
      <c r="E736" s="1">
        <v>45959</v>
      </c>
      <c r="F736" t="s">
        <v>115</v>
      </c>
      <c r="G736" t="s">
        <v>66</v>
      </c>
      <c r="H736" t="s">
        <v>114</v>
      </c>
      <c r="I736" t="s">
        <v>2635</v>
      </c>
      <c r="J736" t="s">
        <v>2643</v>
      </c>
      <c r="K736" t="s">
        <v>52</v>
      </c>
      <c r="L736">
        <v>20</v>
      </c>
      <c r="M736">
        <v>5</v>
      </c>
      <c r="N736">
        <v>20</v>
      </c>
      <c r="O736" t="s">
        <v>311</v>
      </c>
      <c r="P736" t="s">
        <v>75</v>
      </c>
      <c r="Q736" t="s">
        <v>31</v>
      </c>
      <c r="R736" t="s">
        <v>32</v>
      </c>
      <c r="S736" t="s">
        <v>116</v>
      </c>
      <c r="T736">
        <v>2</v>
      </c>
      <c r="U736">
        <v>269.92</v>
      </c>
      <c r="V736">
        <v>808.45</v>
      </c>
      <c r="W736">
        <v>1</v>
      </c>
      <c r="X736" t="str">
        <f>TEXT(cleaneddata[[#This Row],[Order Date]],"mmm")</f>
        <v>Oct</v>
      </c>
      <c r="Y736">
        <f>cleaneddata[[#This Row],[Unit Price]]*cleaneddata[[#This Row],[Quantity]]*(1-cleaneddata[[#This Row],[Discount %]]/100)</f>
        <v>1079.68</v>
      </c>
      <c r="Z736">
        <f>cleaneddata[[#This Row],[sales]]-cleaneddata[[#This Row],[Cost]]</f>
        <v>271.23</v>
      </c>
    </row>
    <row r="737" spans="1:26" x14ac:dyDescent="0.3">
      <c r="A737" t="s">
        <v>2012</v>
      </c>
      <c r="B737" s="1">
        <v>46039</v>
      </c>
      <c r="C737" t="s">
        <v>2013</v>
      </c>
      <c r="D737" t="s">
        <v>3042</v>
      </c>
      <c r="E737" s="1">
        <v>46040</v>
      </c>
      <c r="F737" t="s">
        <v>40</v>
      </c>
      <c r="G737" t="s">
        <v>38</v>
      </c>
      <c r="H737" t="s">
        <v>39</v>
      </c>
      <c r="I737" t="s">
        <v>2629</v>
      </c>
      <c r="J737" t="s">
        <v>2709</v>
      </c>
      <c r="K737" t="s">
        <v>52</v>
      </c>
      <c r="L737">
        <v>63</v>
      </c>
      <c r="M737">
        <v>2</v>
      </c>
      <c r="N737">
        <v>5</v>
      </c>
      <c r="O737" t="s">
        <v>980</v>
      </c>
      <c r="P737" t="s">
        <v>33</v>
      </c>
      <c r="Q737" t="s">
        <v>58</v>
      </c>
      <c r="R737" t="s">
        <v>62</v>
      </c>
      <c r="S737" t="s">
        <v>41</v>
      </c>
      <c r="T737">
        <v>3</v>
      </c>
      <c r="U737">
        <v>147.13999999999999</v>
      </c>
      <c r="V737">
        <v>205.68</v>
      </c>
      <c r="W737">
        <v>1</v>
      </c>
      <c r="X737" t="str">
        <f>TEXT(cleaneddata[[#This Row],[Order Date]],"mmm")</f>
        <v>Jan</v>
      </c>
      <c r="Y737">
        <f>cleaneddata[[#This Row],[Unit Price]]*cleaneddata[[#This Row],[Quantity]]*(1-cleaneddata[[#This Row],[Discount %]]/100)</f>
        <v>279.56599999999997</v>
      </c>
      <c r="Z737">
        <f>cleaneddata[[#This Row],[sales]]-cleaneddata[[#This Row],[Cost]]</f>
        <v>73.885999999999967</v>
      </c>
    </row>
    <row r="738" spans="1:26" x14ac:dyDescent="0.3">
      <c r="A738" t="s">
        <v>2014</v>
      </c>
      <c r="B738" s="1">
        <v>45991</v>
      </c>
      <c r="C738" t="s">
        <v>2015</v>
      </c>
      <c r="D738" t="s">
        <v>3041</v>
      </c>
      <c r="E738" s="1">
        <v>45997</v>
      </c>
      <c r="F738" t="s">
        <v>40</v>
      </c>
      <c r="G738" t="s">
        <v>38</v>
      </c>
      <c r="H738" t="s">
        <v>39</v>
      </c>
      <c r="I738" t="s">
        <v>2668</v>
      </c>
      <c r="J738" t="s">
        <v>2708</v>
      </c>
      <c r="K738" t="s">
        <v>25</v>
      </c>
      <c r="L738">
        <v>38</v>
      </c>
      <c r="M738">
        <v>5</v>
      </c>
      <c r="N738">
        <v>0</v>
      </c>
      <c r="O738" t="s">
        <v>2016</v>
      </c>
      <c r="P738" t="s">
        <v>33</v>
      </c>
      <c r="Q738" t="s">
        <v>58</v>
      </c>
      <c r="R738" t="s">
        <v>71</v>
      </c>
      <c r="S738" t="s">
        <v>41</v>
      </c>
      <c r="T738">
        <v>2</v>
      </c>
      <c r="U738">
        <v>458.85</v>
      </c>
      <c r="V738">
        <v>1477.76</v>
      </c>
      <c r="W738">
        <v>6</v>
      </c>
      <c r="X738" t="str">
        <f>TEXT(cleaneddata[[#This Row],[Order Date]],"mmm")</f>
        <v>Nov</v>
      </c>
      <c r="Y738">
        <f>cleaneddata[[#This Row],[Unit Price]]*cleaneddata[[#This Row],[Quantity]]*(1-cleaneddata[[#This Row],[Discount %]]/100)</f>
        <v>2294.25</v>
      </c>
      <c r="Z738">
        <f>cleaneddata[[#This Row],[sales]]-cleaneddata[[#This Row],[Cost]]</f>
        <v>816.49</v>
      </c>
    </row>
    <row r="739" spans="1:26" x14ac:dyDescent="0.3">
      <c r="A739" t="s">
        <v>2017</v>
      </c>
      <c r="B739" s="1">
        <v>45350</v>
      </c>
      <c r="C739" t="s">
        <v>2018</v>
      </c>
      <c r="D739" t="s">
        <v>3040</v>
      </c>
      <c r="E739" s="1">
        <v>45357</v>
      </c>
      <c r="F739" t="s">
        <v>122</v>
      </c>
      <c r="G739" t="s">
        <v>120</v>
      </c>
      <c r="H739" t="s">
        <v>121</v>
      </c>
      <c r="I739" t="s">
        <v>2623</v>
      </c>
      <c r="J739" t="s">
        <v>2624</v>
      </c>
      <c r="K739" t="s">
        <v>25</v>
      </c>
      <c r="L739">
        <v>29</v>
      </c>
      <c r="M739">
        <v>5</v>
      </c>
      <c r="N739">
        <v>10</v>
      </c>
      <c r="O739" t="s">
        <v>1196</v>
      </c>
      <c r="P739" t="s">
        <v>33</v>
      </c>
      <c r="Q739" t="s">
        <v>31</v>
      </c>
      <c r="R739" t="s">
        <v>62</v>
      </c>
      <c r="S739" t="s">
        <v>123</v>
      </c>
      <c r="T739">
        <v>3</v>
      </c>
      <c r="U739">
        <v>925.74</v>
      </c>
      <c r="V739">
        <v>2866.43</v>
      </c>
      <c r="W739">
        <v>7</v>
      </c>
      <c r="X739" t="str">
        <f>TEXT(cleaneddata[[#This Row],[Order Date]],"mmm")</f>
        <v>Feb</v>
      </c>
      <c r="Y739">
        <f>cleaneddata[[#This Row],[Unit Price]]*cleaneddata[[#This Row],[Quantity]]*(1-cleaneddata[[#This Row],[Discount %]]/100)</f>
        <v>4165.83</v>
      </c>
      <c r="Z739">
        <f>cleaneddata[[#This Row],[sales]]-cleaneddata[[#This Row],[Cost]]</f>
        <v>1299.4000000000001</v>
      </c>
    </row>
    <row r="740" spans="1:26" x14ac:dyDescent="0.3">
      <c r="A740" t="s">
        <v>2019</v>
      </c>
      <c r="B740" s="1">
        <v>46142</v>
      </c>
      <c r="C740" t="s">
        <v>2020</v>
      </c>
      <c r="D740" t="s">
        <v>3039</v>
      </c>
      <c r="E740" s="1">
        <v>46146</v>
      </c>
      <c r="F740" t="s">
        <v>40</v>
      </c>
      <c r="G740" t="s">
        <v>38</v>
      </c>
      <c r="H740" t="s">
        <v>39</v>
      </c>
      <c r="I740" t="s">
        <v>2679</v>
      </c>
      <c r="J740" t="s">
        <v>2680</v>
      </c>
      <c r="K740" t="s">
        <v>25</v>
      </c>
      <c r="L740">
        <v>20</v>
      </c>
      <c r="M740">
        <v>2</v>
      </c>
      <c r="N740">
        <v>15</v>
      </c>
      <c r="O740" t="s">
        <v>731</v>
      </c>
      <c r="P740" t="s">
        <v>44</v>
      </c>
      <c r="Q740" t="s">
        <v>31</v>
      </c>
      <c r="R740" t="s">
        <v>71</v>
      </c>
      <c r="S740" t="s">
        <v>41</v>
      </c>
      <c r="T740">
        <v>5</v>
      </c>
      <c r="U740">
        <v>576.49</v>
      </c>
      <c r="V740">
        <v>546.22</v>
      </c>
      <c r="W740">
        <v>4</v>
      </c>
      <c r="X740" t="str">
        <f>TEXT(cleaneddata[[#This Row],[Order Date]],"mmm")</f>
        <v>Apr</v>
      </c>
      <c r="Y740">
        <f>cleaneddata[[#This Row],[Unit Price]]*cleaneddata[[#This Row],[Quantity]]*(1-cleaneddata[[#This Row],[Discount %]]/100)</f>
        <v>980.03300000000002</v>
      </c>
      <c r="Z740">
        <f>cleaneddata[[#This Row],[sales]]-cleaneddata[[#This Row],[Cost]]</f>
        <v>433.81299999999999</v>
      </c>
    </row>
    <row r="741" spans="1:26" x14ac:dyDescent="0.3">
      <c r="A741" t="s">
        <v>2021</v>
      </c>
      <c r="B741" s="1">
        <v>45521</v>
      </c>
      <c r="C741" t="s">
        <v>2022</v>
      </c>
      <c r="D741" t="s">
        <v>3038</v>
      </c>
      <c r="E741" s="1">
        <v>45525</v>
      </c>
      <c r="F741" t="s">
        <v>100</v>
      </c>
      <c r="G741" t="s">
        <v>98</v>
      </c>
      <c r="H741" t="s">
        <v>99</v>
      </c>
      <c r="I741" t="s">
        <v>2665</v>
      </c>
      <c r="J741" t="s">
        <v>2693</v>
      </c>
      <c r="K741" t="s">
        <v>25</v>
      </c>
      <c r="L741">
        <v>41</v>
      </c>
      <c r="M741">
        <v>2</v>
      </c>
      <c r="N741">
        <v>20</v>
      </c>
      <c r="O741" t="s">
        <v>1429</v>
      </c>
      <c r="P741" t="s">
        <v>75</v>
      </c>
      <c r="Q741" t="s">
        <v>58</v>
      </c>
      <c r="R741" t="s">
        <v>62</v>
      </c>
      <c r="S741" t="s">
        <v>101</v>
      </c>
      <c r="T741">
        <v>3</v>
      </c>
      <c r="U741">
        <v>681.93</v>
      </c>
      <c r="V741">
        <v>673.26</v>
      </c>
      <c r="W741">
        <v>4</v>
      </c>
      <c r="X741" t="str">
        <f>TEXT(cleaneddata[[#This Row],[Order Date]],"mmm")</f>
        <v>Aug</v>
      </c>
      <c r="Y741">
        <f>cleaneddata[[#This Row],[Unit Price]]*cleaneddata[[#This Row],[Quantity]]*(1-cleaneddata[[#This Row],[Discount %]]/100)</f>
        <v>1091.088</v>
      </c>
      <c r="Z741">
        <f>cleaneddata[[#This Row],[sales]]-cleaneddata[[#This Row],[Cost]]</f>
        <v>417.82799999999997</v>
      </c>
    </row>
    <row r="742" spans="1:26" x14ac:dyDescent="0.3">
      <c r="A742" t="s">
        <v>2023</v>
      </c>
      <c r="B742" s="1">
        <v>45434</v>
      </c>
      <c r="C742" t="s">
        <v>2024</v>
      </c>
      <c r="D742" t="s">
        <v>3037</v>
      </c>
      <c r="E742" s="1">
        <v>45436</v>
      </c>
      <c r="F742" t="s">
        <v>29</v>
      </c>
      <c r="G742" t="s">
        <v>27</v>
      </c>
      <c r="H742" t="s">
        <v>28</v>
      </c>
      <c r="I742" t="s">
        <v>2632</v>
      </c>
      <c r="J742" t="s">
        <v>2646</v>
      </c>
      <c r="K742" t="s">
        <v>25</v>
      </c>
      <c r="L742">
        <v>28</v>
      </c>
      <c r="M742">
        <v>1</v>
      </c>
      <c r="N742">
        <v>10</v>
      </c>
      <c r="O742" t="s">
        <v>2025</v>
      </c>
      <c r="P742" t="s">
        <v>75</v>
      </c>
      <c r="Q742" t="s">
        <v>42</v>
      </c>
      <c r="R742" t="s">
        <v>43</v>
      </c>
      <c r="S742" t="s">
        <v>30</v>
      </c>
      <c r="T742">
        <v>5</v>
      </c>
      <c r="U742">
        <v>579.21</v>
      </c>
      <c r="V742">
        <v>372.2</v>
      </c>
      <c r="W742">
        <v>2</v>
      </c>
      <c r="X742" t="str">
        <f>TEXT(cleaneddata[[#This Row],[Order Date]],"mmm")</f>
        <v>May</v>
      </c>
      <c r="Y742">
        <f>cleaneddata[[#This Row],[Unit Price]]*cleaneddata[[#This Row],[Quantity]]*(1-cleaneddata[[#This Row],[Discount %]]/100)</f>
        <v>521.2890000000001</v>
      </c>
      <c r="Z742">
        <f>cleaneddata[[#This Row],[sales]]-cleaneddata[[#This Row],[Cost]]</f>
        <v>149.08900000000011</v>
      </c>
    </row>
    <row r="743" spans="1:26" x14ac:dyDescent="0.3">
      <c r="A743" t="s">
        <v>2026</v>
      </c>
      <c r="B743" s="1">
        <v>45478</v>
      </c>
      <c r="C743" t="s">
        <v>2027</v>
      </c>
      <c r="D743" t="s">
        <v>2741</v>
      </c>
      <c r="E743" s="1">
        <v>45485</v>
      </c>
      <c r="F743" t="s">
        <v>40</v>
      </c>
      <c r="G743" t="s">
        <v>38</v>
      </c>
      <c r="H743" t="s">
        <v>39</v>
      </c>
      <c r="I743" t="s">
        <v>2623</v>
      </c>
      <c r="J743" t="s">
        <v>2696</v>
      </c>
      <c r="K743" t="s">
        <v>25</v>
      </c>
      <c r="L743">
        <v>59</v>
      </c>
      <c r="M743">
        <v>4</v>
      </c>
      <c r="N743">
        <v>10</v>
      </c>
      <c r="O743" t="s">
        <v>2028</v>
      </c>
      <c r="P743" t="s">
        <v>44</v>
      </c>
      <c r="Q743" t="s">
        <v>117</v>
      </c>
      <c r="R743" t="s">
        <v>43</v>
      </c>
      <c r="S743" t="s">
        <v>41</v>
      </c>
      <c r="T743">
        <v>1</v>
      </c>
      <c r="U743">
        <v>517.34</v>
      </c>
      <c r="V743">
        <v>1531.09</v>
      </c>
      <c r="W743">
        <v>7</v>
      </c>
      <c r="X743" t="str">
        <f>TEXT(cleaneddata[[#This Row],[Order Date]],"mmm")</f>
        <v>Jul</v>
      </c>
      <c r="Y743">
        <f>cleaneddata[[#This Row],[Unit Price]]*cleaneddata[[#This Row],[Quantity]]*(1-cleaneddata[[#This Row],[Discount %]]/100)</f>
        <v>1862.4240000000002</v>
      </c>
      <c r="Z743">
        <f>cleaneddata[[#This Row],[sales]]-cleaneddata[[#This Row],[Cost]]</f>
        <v>331.33400000000029</v>
      </c>
    </row>
    <row r="744" spans="1:26" x14ac:dyDescent="0.3">
      <c r="A744" t="s">
        <v>2029</v>
      </c>
      <c r="B744" s="1">
        <v>45324</v>
      </c>
      <c r="C744" t="s">
        <v>2030</v>
      </c>
      <c r="D744" t="s">
        <v>3036</v>
      </c>
      <c r="E744" s="1">
        <v>45325</v>
      </c>
      <c r="F744" t="s">
        <v>68</v>
      </c>
      <c r="G744" t="s">
        <v>66</v>
      </c>
      <c r="H744" t="s">
        <v>67</v>
      </c>
      <c r="I744" t="s">
        <v>2633</v>
      </c>
      <c r="J744" t="s">
        <v>2678</v>
      </c>
      <c r="K744" t="s">
        <v>25</v>
      </c>
      <c r="L744">
        <v>23</v>
      </c>
      <c r="M744">
        <v>3</v>
      </c>
      <c r="N744">
        <v>20</v>
      </c>
      <c r="O744" t="s">
        <v>2031</v>
      </c>
      <c r="P744" t="s">
        <v>33</v>
      </c>
      <c r="Q744" t="s">
        <v>42</v>
      </c>
      <c r="R744" t="s">
        <v>71</v>
      </c>
      <c r="S744" t="s">
        <v>69</v>
      </c>
      <c r="T744">
        <v>1</v>
      </c>
      <c r="U744">
        <v>614.64</v>
      </c>
      <c r="V744">
        <v>1023.04</v>
      </c>
      <c r="W744">
        <v>1</v>
      </c>
      <c r="X744" t="str">
        <f>TEXT(cleaneddata[[#This Row],[Order Date]],"mmm")</f>
        <v>Feb</v>
      </c>
      <c r="Y744">
        <f>cleaneddata[[#This Row],[Unit Price]]*cleaneddata[[#This Row],[Quantity]]*(1-cleaneddata[[#This Row],[Discount %]]/100)</f>
        <v>1475.1360000000002</v>
      </c>
      <c r="Z744">
        <f>cleaneddata[[#This Row],[sales]]-cleaneddata[[#This Row],[Cost]]</f>
        <v>452.09600000000023</v>
      </c>
    </row>
    <row r="745" spans="1:26" x14ac:dyDescent="0.3">
      <c r="A745" t="s">
        <v>2032</v>
      </c>
      <c r="B745" s="1">
        <v>45889</v>
      </c>
      <c r="C745" t="s">
        <v>2033</v>
      </c>
      <c r="D745" t="s">
        <v>3035</v>
      </c>
      <c r="E745" s="1">
        <v>45895</v>
      </c>
      <c r="F745" t="s">
        <v>140</v>
      </c>
      <c r="G745" t="s">
        <v>38</v>
      </c>
      <c r="H745" t="s">
        <v>139</v>
      </c>
      <c r="I745" t="s">
        <v>2668</v>
      </c>
      <c r="J745" t="s">
        <v>2669</v>
      </c>
      <c r="K745" t="s">
        <v>25</v>
      </c>
      <c r="L745">
        <v>36</v>
      </c>
      <c r="M745">
        <v>2</v>
      </c>
      <c r="N745">
        <v>10</v>
      </c>
      <c r="O745" t="s">
        <v>572</v>
      </c>
      <c r="P745" t="s">
        <v>44</v>
      </c>
      <c r="Q745" t="s">
        <v>58</v>
      </c>
      <c r="R745" t="s">
        <v>71</v>
      </c>
      <c r="S745" t="s">
        <v>141</v>
      </c>
      <c r="T745">
        <v>3</v>
      </c>
      <c r="U745">
        <v>213.1</v>
      </c>
      <c r="V745">
        <v>244.65</v>
      </c>
      <c r="W745">
        <v>6</v>
      </c>
      <c r="X745" t="str">
        <f>TEXT(cleaneddata[[#This Row],[Order Date]],"mmm")</f>
        <v>Aug</v>
      </c>
      <c r="Y745">
        <f>cleaneddata[[#This Row],[Unit Price]]*cleaneddata[[#This Row],[Quantity]]*(1-cleaneddata[[#This Row],[Discount %]]/100)</f>
        <v>383.58</v>
      </c>
      <c r="Z745">
        <f>cleaneddata[[#This Row],[sales]]-cleaneddata[[#This Row],[Cost]]</f>
        <v>138.92999999999998</v>
      </c>
    </row>
    <row r="746" spans="1:26" x14ac:dyDescent="0.3">
      <c r="A746" t="s">
        <v>2034</v>
      </c>
      <c r="B746" s="1">
        <v>45751</v>
      </c>
      <c r="C746" t="s">
        <v>2035</v>
      </c>
      <c r="D746" t="s">
        <v>2740</v>
      </c>
      <c r="E746" s="1">
        <v>45754</v>
      </c>
      <c r="F746" t="s">
        <v>29</v>
      </c>
      <c r="G746" t="s">
        <v>27</v>
      </c>
      <c r="H746" t="s">
        <v>28</v>
      </c>
      <c r="I746" t="s">
        <v>2632</v>
      </c>
      <c r="J746" t="s">
        <v>2715</v>
      </c>
      <c r="K746" t="s">
        <v>52</v>
      </c>
      <c r="L746">
        <v>37</v>
      </c>
      <c r="M746">
        <v>2</v>
      </c>
      <c r="N746">
        <v>0</v>
      </c>
      <c r="O746" t="s">
        <v>235</v>
      </c>
      <c r="P746" t="s">
        <v>75</v>
      </c>
      <c r="Q746" t="s">
        <v>58</v>
      </c>
      <c r="R746" t="s">
        <v>62</v>
      </c>
      <c r="S746" t="s">
        <v>30</v>
      </c>
      <c r="T746">
        <v>1</v>
      </c>
      <c r="U746">
        <v>704.1</v>
      </c>
      <c r="V746">
        <v>1075.6500000000001</v>
      </c>
      <c r="W746">
        <v>3</v>
      </c>
      <c r="X746" t="str">
        <f>TEXT(cleaneddata[[#This Row],[Order Date]],"mmm")</f>
        <v>Apr</v>
      </c>
      <c r="Y746">
        <f>cleaneddata[[#This Row],[Unit Price]]*cleaneddata[[#This Row],[Quantity]]*(1-cleaneddata[[#This Row],[Discount %]]/100)</f>
        <v>1408.2</v>
      </c>
      <c r="Z746">
        <f>cleaneddata[[#This Row],[sales]]-cleaneddata[[#This Row],[Cost]]</f>
        <v>332.54999999999995</v>
      </c>
    </row>
    <row r="747" spans="1:26" x14ac:dyDescent="0.3">
      <c r="A747" t="s">
        <v>2036</v>
      </c>
      <c r="B747" s="1">
        <v>45435</v>
      </c>
      <c r="C747" t="s">
        <v>301</v>
      </c>
      <c r="D747" t="s">
        <v>2738</v>
      </c>
      <c r="E747" s="1">
        <v>45440</v>
      </c>
      <c r="F747" t="s">
        <v>122</v>
      </c>
      <c r="G747" t="s">
        <v>120</v>
      </c>
      <c r="H747" t="s">
        <v>121</v>
      </c>
      <c r="I747" t="s">
        <v>2625</v>
      </c>
      <c r="J747" t="s">
        <v>2703</v>
      </c>
      <c r="K747" t="s">
        <v>25</v>
      </c>
      <c r="L747">
        <v>44</v>
      </c>
      <c r="M747">
        <v>1</v>
      </c>
      <c r="N747">
        <v>25</v>
      </c>
      <c r="O747" t="s">
        <v>655</v>
      </c>
      <c r="P747" t="s">
        <v>44</v>
      </c>
      <c r="Q747" t="s">
        <v>70</v>
      </c>
      <c r="R747" t="s">
        <v>43</v>
      </c>
      <c r="S747" t="s">
        <v>123</v>
      </c>
      <c r="T747">
        <v>4</v>
      </c>
      <c r="U747">
        <v>73.66</v>
      </c>
      <c r="V747">
        <v>30.34</v>
      </c>
      <c r="W747">
        <v>5</v>
      </c>
      <c r="X747" t="str">
        <f>TEXT(cleaneddata[[#This Row],[Order Date]],"mmm")</f>
        <v>May</v>
      </c>
      <c r="Y747">
        <f>cleaneddata[[#This Row],[Unit Price]]*cleaneddata[[#This Row],[Quantity]]*(1-cleaneddata[[#This Row],[Discount %]]/100)</f>
        <v>55.244999999999997</v>
      </c>
      <c r="Z747">
        <f>cleaneddata[[#This Row],[sales]]-cleaneddata[[#This Row],[Cost]]</f>
        <v>24.904999999999998</v>
      </c>
    </row>
    <row r="748" spans="1:26" x14ac:dyDescent="0.3">
      <c r="A748" t="s">
        <v>2037</v>
      </c>
      <c r="B748" s="1">
        <v>45993</v>
      </c>
      <c r="C748" t="s">
        <v>2038</v>
      </c>
      <c r="D748" t="s">
        <v>3034</v>
      </c>
      <c r="E748" s="1">
        <v>45995</v>
      </c>
      <c r="F748" t="s">
        <v>68</v>
      </c>
      <c r="G748" t="s">
        <v>66</v>
      </c>
      <c r="H748" t="s">
        <v>67</v>
      </c>
      <c r="I748" t="s">
        <v>2623</v>
      </c>
      <c r="J748" t="s">
        <v>2701</v>
      </c>
      <c r="K748" t="s">
        <v>25</v>
      </c>
      <c r="L748">
        <v>54</v>
      </c>
      <c r="M748">
        <v>1</v>
      </c>
      <c r="N748">
        <v>30</v>
      </c>
      <c r="O748" t="s">
        <v>2016</v>
      </c>
      <c r="P748" t="s">
        <v>75</v>
      </c>
      <c r="Q748" t="s">
        <v>70</v>
      </c>
      <c r="R748" t="s">
        <v>62</v>
      </c>
      <c r="S748" t="s">
        <v>69</v>
      </c>
      <c r="T748">
        <v>4</v>
      </c>
      <c r="U748">
        <v>915.52</v>
      </c>
      <c r="V748">
        <v>351.82</v>
      </c>
      <c r="W748">
        <v>2</v>
      </c>
      <c r="X748" t="str">
        <f>TEXT(cleaneddata[[#This Row],[Order Date]],"mmm")</f>
        <v>Dec</v>
      </c>
      <c r="Y748">
        <f>cleaneddata[[#This Row],[Unit Price]]*cleaneddata[[#This Row],[Quantity]]*(1-cleaneddata[[#This Row],[Discount %]]/100)</f>
        <v>640.86399999999992</v>
      </c>
      <c r="Z748">
        <f>cleaneddata[[#This Row],[sales]]-cleaneddata[[#This Row],[Cost]]</f>
        <v>289.04399999999993</v>
      </c>
    </row>
    <row r="749" spans="1:26" x14ac:dyDescent="0.3">
      <c r="A749" t="s">
        <v>2039</v>
      </c>
      <c r="B749" s="1">
        <v>46114</v>
      </c>
      <c r="C749" t="s">
        <v>2040</v>
      </c>
      <c r="D749" t="s">
        <v>2739</v>
      </c>
      <c r="E749" s="1">
        <v>46119</v>
      </c>
      <c r="F749" t="s">
        <v>29</v>
      </c>
      <c r="G749" t="s">
        <v>27</v>
      </c>
      <c r="H749" t="s">
        <v>28</v>
      </c>
      <c r="I749" t="s">
        <v>2675</v>
      </c>
      <c r="J749" t="s">
        <v>2710</v>
      </c>
      <c r="K749" t="s">
        <v>52</v>
      </c>
      <c r="L749">
        <v>58</v>
      </c>
      <c r="M749">
        <v>3</v>
      </c>
      <c r="N749">
        <v>15</v>
      </c>
      <c r="O749" t="s">
        <v>319</v>
      </c>
      <c r="P749" t="s">
        <v>44</v>
      </c>
      <c r="Q749" t="s">
        <v>31</v>
      </c>
      <c r="R749" t="s">
        <v>43</v>
      </c>
      <c r="S749" t="s">
        <v>30</v>
      </c>
      <c r="T749">
        <v>3</v>
      </c>
      <c r="U749">
        <v>709.15</v>
      </c>
      <c r="V749">
        <v>1229.8900000000001</v>
      </c>
      <c r="W749">
        <v>5</v>
      </c>
      <c r="X749" t="str">
        <f>TEXT(cleaneddata[[#This Row],[Order Date]],"mmm")</f>
        <v>Apr</v>
      </c>
      <c r="Y749">
        <f>cleaneddata[[#This Row],[Unit Price]]*cleaneddata[[#This Row],[Quantity]]*(1-cleaneddata[[#This Row],[Discount %]]/100)</f>
        <v>1808.3324999999998</v>
      </c>
      <c r="Z749">
        <f>cleaneddata[[#This Row],[sales]]-cleaneddata[[#This Row],[Cost]]</f>
        <v>578.44249999999965</v>
      </c>
    </row>
    <row r="750" spans="1:26" x14ac:dyDescent="0.3">
      <c r="A750" t="s">
        <v>2041</v>
      </c>
      <c r="B750" s="1">
        <v>45855</v>
      </c>
      <c r="C750" t="s">
        <v>2042</v>
      </c>
      <c r="D750" t="s">
        <v>3033</v>
      </c>
      <c r="E750" s="1">
        <v>45862</v>
      </c>
      <c r="F750" t="s">
        <v>29</v>
      </c>
      <c r="G750" t="s">
        <v>27</v>
      </c>
      <c r="H750" t="s">
        <v>28</v>
      </c>
      <c r="I750" t="s">
        <v>2623</v>
      </c>
      <c r="J750" t="s">
        <v>2691</v>
      </c>
      <c r="K750" t="s">
        <v>25</v>
      </c>
      <c r="L750">
        <v>30</v>
      </c>
      <c r="M750">
        <v>2</v>
      </c>
      <c r="N750">
        <v>30</v>
      </c>
      <c r="O750" t="s">
        <v>1041</v>
      </c>
      <c r="P750" t="s">
        <v>44</v>
      </c>
      <c r="Q750" t="s">
        <v>117</v>
      </c>
      <c r="R750" t="s">
        <v>71</v>
      </c>
      <c r="S750" t="s">
        <v>30</v>
      </c>
      <c r="T750">
        <v>5</v>
      </c>
      <c r="U750">
        <v>987.79</v>
      </c>
      <c r="V750">
        <v>869.32</v>
      </c>
      <c r="W750">
        <v>7</v>
      </c>
      <c r="X750" t="str">
        <f>TEXT(cleaneddata[[#This Row],[Order Date]],"mmm")</f>
        <v>Jul</v>
      </c>
      <c r="Y750">
        <f>cleaneddata[[#This Row],[Unit Price]]*cleaneddata[[#This Row],[Quantity]]*(1-cleaneddata[[#This Row],[Discount %]]/100)</f>
        <v>1382.9059999999999</v>
      </c>
      <c r="Z750">
        <f>cleaneddata[[#This Row],[sales]]-cleaneddata[[#This Row],[Cost]]</f>
        <v>513.5859999999999</v>
      </c>
    </row>
    <row r="751" spans="1:26" x14ac:dyDescent="0.3">
      <c r="A751" t="s">
        <v>2043</v>
      </c>
      <c r="B751" s="1">
        <v>45499</v>
      </c>
      <c r="C751" t="s">
        <v>2044</v>
      </c>
      <c r="D751" t="s">
        <v>3032</v>
      </c>
      <c r="E751" s="1">
        <v>45503</v>
      </c>
      <c r="F751" t="s">
        <v>56</v>
      </c>
      <c r="G751" t="s">
        <v>54</v>
      </c>
      <c r="H751" t="s">
        <v>55</v>
      </c>
      <c r="I751" t="s">
        <v>2633</v>
      </c>
      <c r="J751" t="s">
        <v>2678</v>
      </c>
      <c r="K751" t="s">
        <v>25</v>
      </c>
      <c r="L751">
        <v>19</v>
      </c>
      <c r="M751">
        <v>3</v>
      </c>
      <c r="N751">
        <v>10</v>
      </c>
      <c r="O751" t="s">
        <v>2045</v>
      </c>
      <c r="P751" t="s">
        <v>75</v>
      </c>
      <c r="Q751" t="s">
        <v>58</v>
      </c>
      <c r="R751" t="s">
        <v>62</v>
      </c>
      <c r="S751" t="s">
        <v>57</v>
      </c>
      <c r="T751">
        <v>1</v>
      </c>
      <c r="U751">
        <v>627.92999999999995</v>
      </c>
      <c r="V751">
        <v>1366.15</v>
      </c>
      <c r="W751">
        <v>4</v>
      </c>
      <c r="X751" t="str">
        <f>TEXT(cleaneddata[[#This Row],[Order Date]],"mmm")</f>
        <v>Jul</v>
      </c>
      <c r="Y751">
        <f>cleaneddata[[#This Row],[Unit Price]]*cleaneddata[[#This Row],[Quantity]]*(1-cleaneddata[[#This Row],[Discount %]]/100)</f>
        <v>1695.4110000000001</v>
      </c>
      <c r="Z751">
        <f>cleaneddata[[#This Row],[sales]]-cleaneddata[[#This Row],[Cost]]</f>
        <v>329.26099999999997</v>
      </c>
    </row>
    <row r="752" spans="1:26" x14ac:dyDescent="0.3">
      <c r="A752" t="s">
        <v>2046</v>
      </c>
      <c r="B752" s="1">
        <v>45991</v>
      </c>
      <c r="C752" t="s">
        <v>1688</v>
      </c>
      <c r="D752" t="s">
        <v>3031</v>
      </c>
      <c r="E752" s="1">
        <v>45992</v>
      </c>
      <c r="F752" t="s">
        <v>56</v>
      </c>
      <c r="G752" t="s">
        <v>54</v>
      </c>
      <c r="H752" t="s">
        <v>55</v>
      </c>
      <c r="I752" t="s">
        <v>2672</v>
      </c>
      <c r="J752" t="s">
        <v>2716</v>
      </c>
      <c r="K752" t="s">
        <v>52</v>
      </c>
      <c r="L752">
        <v>56</v>
      </c>
      <c r="M752">
        <v>5</v>
      </c>
      <c r="N752">
        <v>15</v>
      </c>
      <c r="O752" t="s">
        <v>78</v>
      </c>
      <c r="P752" t="s">
        <v>44</v>
      </c>
      <c r="Q752" t="s">
        <v>42</v>
      </c>
      <c r="R752" t="s">
        <v>62</v>
      </c>
      <c r="S752" t="s">
        <v>57</v>
      </c>
      <c r="T752">
        <v>5</v>
      </c>
      <c r="U752">
        <v>597.07000000000005</v>
      </c>
      <c r="V752">
        <v>1894.15</v>
      </c>
      <c r="W752">
        <v>1</v>
      </c>
      <c r="X752" t="str">
        <f>TEXT(cleaneddata[[#This Row],[Order Date]],"mmm")</f>
        <v>Nov</v>
      </c>
      <c r="Y752">
        <f>cleaneddata[[#This Row],[Unit Price]]*cleaneddata[[#This Row],[Quantity]]*(1-cleaneddata[[#This Row],[Discount %]]/100)</f>
        <v>2537.5475000000001</v>
      </c>
      <c r="Z752">
        <f>cleaneddata[[#This Row],[sales]]-cleaneddata[[#This Row],[Cost]]</f>
        <v>643.39750000000004</v>
      </c>
    </row>
    <row r="753" spans="1:26" x14ac:dyDescent="0.3">
      <c r="A753" t="s">
        <v>2047</v>
      </c>
      <c r="B753" s="1">
        <v>45645</v>
      </c>
      <c r="C753" t="s">
        <v>2048</v>
      </c>
      <c r="D753" t="s">
        <v>3030</v>
      </c>
      <c r="E753" s="1">
        <v>45652</v>
      </c>
      <c r="F753" t="s">
        <v>100</v>
      </c>
      <c r="G753" t="s">
        <v>98</v>
      </c>
      <c r="H753" t="s">
        <v>99</v>
      </c>
      <c r="I753" t="s">
        <v>2625</v>
      </c>
      <c r="J753" t="s">
        <v>2651</v>
      </c>
      <c r="K753" t="s">
        <v>52</v>
      </c>
      <c r="L753">
        <v>25</v>
      </c>
      <c r="M753">
        <v>4</v>
      </c>
      <c r="N753">
        <v>30</v>
      </c>
      <c r="O753" t="s">
        <v>81</v>
      </c>
      <c r="P753" t="s">
        <v>33</v>
      </c>
      <c r="Q753" t="s">
        <v>42</v>
      </c>
      <c r="R753" t="s">
        <v>32</v>
      </c>
      <c r="S753" t="s">
        <v>101</v>
      </c>
      <c r="T753">
        <v>3</v>
      </c>
      <c r="U753">
        <v>215.61</v>
      </c>
      <c r="V753">
        <v>505.12</v>
      </c>
      <c r="W753">
        <v>7</v>
      </c>
      <c r="X753" t="str">
        <f>TEXT(cleaneddata[[#This Row],[Order Date]],"mmm")</f>
        <v>Dec</v>
      </c>
      <c r="Y753">
        <f>cleaneddata[[#This Row],[Unit Price]]*cleaneddata[[#This Row],[Quantity]]*(1-cleaneddata[[#This Row],[Discount %]]/100)</f>
        <v>603.70799999999997</v>
      </c>
      <c r="Z753">
        <f>cleaneddata[[#This Row],[sales]]-cleaneddata[[#This Row],[Cost]]</f>
        <v>98.587999999999965</v>
      </c>
    </row>
    <row r="754" spans="1:26" x14ac:dyDescent="0.3">
      <c r="A754" t="s">
        <v>2049</v>
      </c>
      <c r="B754" s="1">
        <v>45994</v>
      </c>
      <c r="C754" t="s">
        <v>2050</v>
      </c>
      <c r="D754" t="s">
        <v>3029</v>
      </c>
      <c r="E754" s="1">
        <v>45995</v>
      </c>
      <c r="F754" t="s">
        <v>128</v>
      </c>
      <c r="G754" t="s">
        <v>98</v>
      </c>
      <c r="H754" t="s">
        <v>127</v>
      </c>
      <c r="I754" t="s">
        <v>2625</v>
      </c>
      <c r="J754" t="s">
        <v>2703</v>
      </c>
      <c r="K754" t="s">
        <v>52</v>
      </c>
      <c r="L754">
        <v>22</v>
      </c>
      <c r="M754">
        <v>1</v>
      </c>
      <c r="N754">
        <v>10</v>
      </c>
      <c r="O754" t="s">
        <v>841</v>
      </c>
      <c r="P754" t="s">
        <v>44</v>
      </c>
      <c r="Q754" t="s">
        <v>58</v>
      </c>
      <c r="R754" t="s">
        <v>32</v>
      </c>
      <c r="S754" t="s">
        <v>129</v>
      </c>
      <c r="T754">
        <v>1</v>
      </c>
      <c r="U754">
        <v>945.95</v>
      </c>
      <c r="V754">
        <v>663.63</v>
      </c>
      <c r="W754">
        <v>1</v>
      </c>
      <c r="X754" t="str">
        <f>TEXT(cleaneddata[[#This Row],[Order Date]],"mmm")</f>
        <v>Dec</v>
      </c>
      <c r="Y754">
        <f>cleaneddata[[#This Row],[Unit Price]]*cleaneddata[[#This Row],[Quantity]]*(1-cleaneddata[[#This Row],[Discount %]]/100)</f>
        <v>851.35500000000002</v>
      </c>
      <c r="Z754">
        <f>cleaneddata[[#This Row],[sales]]-cleaneddata[[#This Row],[Cost]]</f>
        <v>187.72500000000002</v>
      </c>
    </row>
    <row r="755" spans="1:26" x14ac:dyDescent="0.3">
      <c r="A755" t="s">
        <v>2051</v>
      </c>
      <c r="B755" s="1">
        <v>46085</v>
      </c>
      <c r="C755" t="s">
        <v>2052</v>
      </c>
      <c r="D755" t="s">
        <v>3028</v>
      </c>
      <c r="E755" s="1">
        <v>46090</v>
      </c>
      <c r="F755" t="s">
        <v>68</v>
      </c>
      <c r="G755" t="s">
        <v>66</v>
      </c>
      <c r="H755" t="s">
        <v>67</v>
      </c>
      <c r="I755" t="s">
        <v>2634</v>
      </c>
      <c r="J755" t="s">
        <v>2714</v>
      </c>
      <c r="K755" t="s">
        <v>52</v>
      </c>
      <c r="L755">
        <v>50</v>
      </c>
      <c r="M755">
        <v>3</v>
      </c>
      <c r="N755">
        <v>15</v>
      </c>
      <c r="O755" t="s">
        <v>862</v>
      </c>
      <c r="P755" t="s">
        <v>75</v>
      </c>
      <c r="Q755" t="s">
        <v>31</v>
      </c>
      <c r="R755" t="s">
        <v>71</v>
      </c>
      <c r="S755" t="s">
        <v>69</v>
      </c>
      <c r="T755">
        <v>5</v>
      </c>
      <c r="U755">
        <v>373.08</v>
      </c>
      <c r="V755">
        <v>497.4</v>
      </c>
      <c r="W755">
        <v>5</v>
      </c>
      <c r="X755" t="str">
        <f>TEXT(cleaneddata[[#This Row],[Order Date]],"mmm")</f>
        <v>Mar</v>
      </c>
      <c r="Y755">
        <f>cleaneddata[[#This Row],[Unit Price]]*cleaneddata[[#This Row],[Quantity]]*(1-cleaneddata[[#This Row],[Discount %]]/100)</f>
        <v>951.35399999999993</v>
      </c>
      <c r="Z755">
        <f>cleaneddata[[#This Row],[sales]]-cleaneddata[[#This Row],[Cost]]</f>
        <v>453.95399999999995</v>
      </c>
    </row>
    <row r="756" spans="1:26" x14ac:dyDescent="0.3">
      <c r="A756" t="s">
        <v>2053</v>
      </c>
      <c r="B756" s="1">
        <v>45883</v>
      </c>
      <c r="C756" t="s">
        <v>2054</v>
      </c>
      <c r="D756" t="s">
        <v>3027</v>
      </c>
      <c r="E756" s="1">
        <v>45884</v>
      </c>
      <c r="F756" t="s">
        <v>140</v>
      </c>
      <c r="G756" t="s">
        <v>38</v>
      </c>
      <c r="H756" t="s">
        <v>139</v>
      </c>
      <c r="I756" t="s">
        <v>2633</v>
      </c>
      <c r="J756" t="s">
        <v>2636</v>
      </c>
      <c r="K756" t="s">
        <v>25</v>
      </c>
      <c r="L756">
        <v>23</v>
      </c>
      <c r="M756">
        <v>3</v>
      </c>
      <c r="N756">
        <v>15</v>
      </c>
      <c r="O756" t="s">
        <v>1375</v>
      </c>
      <c r="P756" t="s">
        <v>75</v>
      </c>
      <c r="Q756" t="s">
        <v>42</v>
      </c>
      <c r="R756" t="s">
        <v>32</v>
      </c>
      <c r="S756" t="s">
        <v>141</v>
      </c>
      <c r="T756">
        <v>5</v>
      </c>
      <c r="U756">
        <v>534.32000000000005</v>
      </c>
      <c r="V756">
        <v>888.93</v>
      </c>
      <c r="W756">
        <v>1</v>
      </c>
      <c r="X756" t="str">
        <f>TEXT(cleaneddata[[#This Row],[Order Date]],"mmm")</f>
        <v>Aug</v>
      </c>
      <c r="Y756">
        <f>cleaneddata[[#This Row],[Unit Price]]*cleaneddata[[#This Row],[Quantity]]*(1-cleaneddata[[#This Row],[Discount %]]/100)</f>
        <v>1362.5160000000001</v>
      </c>
      <c r="Z756">
        <f>cleaneddata[[#This Row],[sales]]-cleaneddata[[#This Row],[Cost]]</f>
        <v>473.58600000000013</v>
      </c>
    </row>
    <row r="757" spans="1:26" x14ac:dyDescent="0.3">
      <c r="A757" t="s">
        <v>2055</v>
      </c>
      <c r="B757" s="1">
        <v>45451</v>
      </c>
      <c r="C757" t="s">
        <v>2056</v>
      </c>
      <c r="D757" t="s">
        <v>3026</v>
      </c>
      <c r="E757" s="1">
        <v>45456</v>
      </c>
      <c r="F757" t="s">
        <v>29</v>
      </c>
      <c r="G757" t="s">
        <v>27</v>
      </c>
      <c r="H757" t="s">
        <v>28</v>
      </c>
      <c r="I757" t="s">
        <v>2633</v>
      </c>
      <c r="J757" t="s">
        <v>2636</v>
      </c>
      <c r="K757" t="s">
        <v>25</v>
      </c>
      <c r="L757">
        <v>31</v>
      </c>
      <c r="M757">
        <v>4</v>
      </c>
      <c r="N757">
        <v>15</v>
      </c>
      <c r="O757" t="s">
        <v>189</v>
      </c>
      <c r="P757" t="s">
        <v>33</v>
      </c>
      <c r="Q757" t="s">
        <v>31</v>
      </c>
      <c r="R757" t="s">
        <v>62</v>
      </c>
      <c r="S757" t="s">
        <v>30</v>
      </c>
      <c r="T757">
        <v>2</v>
      </c>
      <c r="U757">
        <v>38.28</v>
      </c>
      <c r="V757">
        <v>79.489999999999995</v>
      </c>
      <c r="W757">
        <v>5</v>
      </c>
      <c r="X757" t="str">
        <f>TEXT(cleaneddata[[#This Row],[Order Date]],"mmm")</f>
        <v>Jun</v>
      </c>
      <c r="Y757">
        <f>cleaneddata[[#This Row],[Unit Price]]*cleaneddata[[#This Row],[Quantity]]*(1-cleaneddata[[#This Row],[Discount %]]/100)</f>
        <v>130.15199999999999</v>
      </c>
      <c r="Z757">
        <f>cleaneddata[[#This Row],[sales]]-cleaneddata[[#This Row],[Cost]]</f>
        <v>50.661999999999992</v>
      </c>
    </row>
    <row r="758" spans="1:26" x14ac:dyDescent="0.3">
      <c r="A758" t="s">
        <v>2057</v>
      </c>
      <c r="B758" s="1">
        <v>45567</v>
      </c>
      <c r="C758" t="s">
        <v>2058</v>
      </c>
      <c r="D758" t="s">
        <v>3025</v>
      </c>
      <c r="E758" s="1">
        <v>45570</v>
      </c>
      <c r="F758" t="s">
        <v>29</v>
      </c>
      <c r="G758" t="s">
        <v>27</v>
      </c>
      <c r="H758" t="s">
        <v>28</v>
      </c>
      <c r="I758" t="s">
        <v>2627</v>
      </c>
      <c r="J758" t="s">
        <v>2698</v>
      </c>
      <c r="K758" t="s">
        <v>25</v>
      </c>
      <c r="L758">
        <v>29</v>
      </c>
      <c r="M758">
        <v>4</v>
      </c>
      <c r="N758">
        <v>10</v>
      </c>
      <c r="O758" t="s">
        <v>1681</v>
      </c>
      <c r="P758" t="s">
        <v>33</v>
      </c>
      <c r="Q758" t="s">
        <v>58</v>
      </c>
      <c r="R758" t="s">
        <v>62</v>
      </c>
      <c r="S758" t="s">
        <v>30</v>
      </c>
      <c r="T758">
        <v>5</v>
      </c>
      <c r="U758">
        <v>522.19000000000005</v>
      </c>
      <c r="V758">
        <v>968.07</v>
      </c>
      <c r="W758">
        <v>3</v>
      </c>
      <c r="X758" t="str">
        <f>TEXT(cleaneddata[[#This Row],[Order Date]],"mmm")</f>
        <v>Oct</v>
      </c>
      <c r="Y758">
        <f>cleaneddata[[#This Row],[Unit Price]]*cleaneddata[[#This Row],[Quantity]]*(1-cleaneddata[[#This Row],[Discount %]]/100)</f>
        <v>1879.8840000000002</v>
      </c>
      <c r="Z758">
        <f>cleaneddata[[#This Row],[sales]]-cleaneddata[[#This Row],[Cost]]</f>
        <v>911.81400000000019</v>
      </c>
    </row>
    <row r="759" spans="1:26" x14ac:dyDescent="0.3">
      <c r="A759" t="s">
        <v>2059</v>
      </c>
      <c r="B759" s="1">
        <v>45763</v>
      </c>
      <c r="C759" t="s">
        <v>2060</v>
      </c>
      <c r="D759" t="s">
        <v>3024</v>
      </c>
      <c r="E759" s="1">
        <v>45768</v>
      </c>
      <c r="F759" t="s">
        <v>140</v>
      </c>
      <c r="G759" t="s">
        <v>38</v>
      </c>
      <c r="H759" t="s">
        <v>139</v>
      </c>
      <c r="I759" t="s">
        <v>2652</v>
      </c>
      <c r="J759" t="s">
        <v>2688</v>
      </c>
      <c r="K759" t="s">
        <v>25</v>
      </c>
      <c r="L759">
        <v>48</v>
      </c>
      <c r="M759">
        <v>4</v>
      </c>
      <c r="N759">
        <v>15</v>
      </c>
      <c r="O759" t="s">
        <v>808</v>
      </c>
      <c r="P759" t="s">
        <v>33</v>
      </c>
      <c r="Q759" t="s">
        <v>42</v>
      </c>
      <c r="R759" t="s">
        <v>71</v>
      </c>
      <c r="S759" t="s">
        <v>141</v>
      </c>
      <c r="T759">
        <v>4</v>
      </c>
      <c r="U759">
        <v>836.31</v>
      </c>
      <c r="V759">
        <v>1788.78</v>
      </c>
      <c r="W759">
        <v>5</v>
      </c>
      <c r="X759" t="str">
        <f>TEXT(cleaneddata[[#This Row],[Order Date]],"mmm")</f>
        <v>Apr</v>
      </c>
      <c r="Y759">
        <f>cleaneddata[[#This Row],[Unit Price]]*cleaneddata[[#This Row],[Quantity]]*(1-cleaneddata[[#This Row],[Discount %]]/100)</f>
        <v>2843.4539999999997</v>
      </c>
      <c r="Z759">
        <f>cleaneddata[[#This Row],[sales]]-cleaneddata[[#This Row],[Cost]]</f>
        <v>1054.6739999999998</v>
      </c>
    </row>
    <row r="760" spans="1:26" x14ac:dyDescent="0.3">
      <c r="A760" t="s">
        <v>2061</v>
      </c>
      <c r="B760" s="1">
        <v>46003</v>
      </c>
      <c r="C760" t="s">
        <v>2062</v>
      </c>
      <c r="D760" t="s">
        <v>3023</v>
      </c>
      <c r="E760" s="1">
        <v>46004</v>
      </c>
      <c r="F760" t="s">
        <v>122</v>
      </c>
      <c r="G760" t="s">
        <v>120</v>
      </c>
      <c r="H760" t="s">
        <v>121</v>
      </c>
      <c r="I760" t="s">
        <v>2668</v>
      </c>
      <c r="J760" t="s">
        <v>2708</v>
      </c>
      <c r="K760" t="s">
        <v>52</v>
      </c>
      <c r="L760">
        <v>46</v>
      </c>
      <c r="M760">
        <v>2</v>
      </c>
      <c r="N760">
        <v>30</v>
      </c>
      <c r="O760" t="s">
        <v>1477</v>
      </c>
      <c r="P760" t="s">
        <v>44</v>
      </c>
      <c r="Q760" t="s">
        <v>117</v>
      </c>
      <c r="R760" t="s">
        <v>32</v>
      </c>
      <c r="S760" t="s">
        <v>123</v>
      </c>
      <c r="T760">
        <v>4</v>
      </c>
      <c r="U760">
        <v>466.18</v>
      </c>
      <c r="V760">
        <v>490.53</v>
      </c>
      <c r="W760">
        <v>1</v>
      </c>
      <c r="X760" t="str">
        <f>TEXT(cleaneddata[[#This Row],[Order Date]],"mmm")</f>
        <v>Dec</v>
      </c>
      <c r="Y760">
        <f>cleaneddata[[#This Row],[Unit Price]]*cleaneddata[[#This Row],[Quantity]]*(1-cleaneddata[[#This Row],[Discount %]]/100)</f>
        <v>652.65199999999993</v>
      </c>
      <c r="Z760">
        <f>cleaneddata[[#This Row],[sales]]-cleaneddata[[#This Row],[Cost]]</f>
        <v>162.12199999999996</v>
      </c>
    </row>
    <row r="761" spans="1:26" x14ac:dyDescent="0.3">
      <c r="A761" t="s">
        <v>2063</v>
      </c>
      <c r="B761" s="1">
        <v>45630</v>
      </c>
      <c r="C761" t="s">
        <v>2064</v>
      </c>
      <c r="D761" t="s">
        <v>3022</v>
      </c>
      <c r="E761" s="1">
        <v>45637</v>
      </c>
      <c r="F761" t="s">
        <v>40</v>
      </c>
      <c r="G761" t="s">
        <v>38</v>
      </c>
      <c r="H761" t="s">
        <v>39</v>
      </c>
      <c r="I761" t="s">
        <v>2631</v>
      </c>
      <c r="J761" t="s">
        <v>2674</v>
      </c>
      <c r="K761" t="s">
        <v>25</v>
      </c>
      <c r="L761">
        <v>54</v>
      </c>
      <c r="M761">
        <v>5</v>
      </c>
      <c r="N761">
        <v>10</v>
      </c>
      <c r="O761" t="s">
        <v>2065</v>
      </c>
      <c r="P761" t="s">
        <v>75</v>
      </c>
      <c r="Q761" t="s">
        <v>42</v>
      </c>
      <c r="R761" t="s">
        <v>32</v>
      </c>
      <c r="S761" t="s">
        <v>41</v>
      </c>
      <c r="T761">
        <v>4</v>
      </c>
      <c r="U761">
        <v>857.85</v>
      </c>
      <c r="V761">
        <v>2109.0300000000002</v>
      </c>
      <c r="W761">
        <v>7</v>
      </c>
      <c r="X761" t="str">
        <f>TEXT(cleaneddata[[#This Row],[Order Date]],"mmm")</f>
        <v>Dec</v>
      </c>
      <c r="Y761">
        <f>cleaneddata[[#This Row],[Unit Price]]*cleaneddata[[#This Row],[Quantity]]*(1-cleaneddata[[#This Row],[Discount %]]/100)</f>
        <v>3860.3250000000003</v>
      </c>
      <c r="Z761">
        <f>cleaneddata[[#This Row],[sales]]-cleaneddata[[#This Row],[Cost]]</f>
        <v>1751.2950000000001</v>
      </c>
    </row>
    <row r="762" spans="1:26" x14ac:dyDescent="0.3">
      <c r="A762" t="s">
        <v>2066</v>
      </c>
      <c r="B762" s="1">
        <v>45549</v>
      </c>
      <c r="C762" t="s">
        <v>2067</v>
      </c>
      <c r="D762" t="s">
        <v>3021</v>
      </c>
      <c r="E762" s="1">
        <v>45555</v>
      </c>
      <c r="F762" t="s">
        <v>29</v>
      </c>
      <c r="G762" t="s">
        <v>27</v>
      </c>
      <c r="H762" t="s">
        <v>28</v>
      </c>
      <c r="I762" t="s">
        <v>2625</v>
      </c>
      <c r="J762" t="s">
        <v>2667</v>
      </c>
      <c r="K762" t="s">
        <v>52</v>
      </c>
      <c r="L762">
        <v>55</v>
      </c>
      <c r="M762">
        <v>4</v>
      </c>
      <c r="N762">
        <v>10</v>
      </c>
      <c r="O762" t="s">
        <v>2068</v>
      </c>
      <c r="P762" t="s">
        <v>75</v>
      </c>
      <c r="Q762" t="s">
        <v>58</v>
      </c>
      <c r="R762" t="s">
        <v>43</v>
      </c>
      <c r="S762" t="s">
        <v>30</v>
      </c>
      <c r="T762">
        <v>3</v>
      </c>
      <c r="U762">
        <v>532.64</v>
      </c>
      <c r="V762">
        <v>1571.34</v>
      </c>
      <c r="W762">
        <v>6</v>
      </c>
      <c r="X762" t="str">
        <f>TEXT(cleaneddata[[#This Row],[Order Date]],"mmm")</f>
        <v>Sep</v>
      </c>
      <c r="Y762">
        <f>cleaneddata[[#This Row],[Unit Price]]*cleaneddata[[#This Row],[Quantity]]*(1-cleaneddata[[#This Row],[Discount %]]/100)</f>
        <v>1917.5039999999999</v>
      </c>
      <c r="Z762">
        <f>cleaneddata[[#This Row],[sales]]-cleaneddata[[#This Row],[Cost]]</f>
        <v>346.16399999999999</v>
      </c>
    </row>
    <row r="763" spans="1:26" x14ac:dyDescent="0.3">
      <c r="A763" t="s">
        <v>2069</v>
      </c>
      <c r="B763" s="1">
        <v>45771</v>
      </c>
      <c r="C763" t="s">
        <v>2070</v>
      </c>
      <c r="D763" t="s">
        <v>3020</v>
      </c>
      <c r="E763" s="1">
        <v>45773</v>
      </c>
      <c r="F763" t="s">
        <v>40</v>
      </c>
      <c r="G763" t="s">
        <v>38</v>
      </c>
      <c r="H763" t="s">
        <v>39</v>
      </c>
      <c r="I763" t="s">
        <v>2622</v>
      </c>
      <c r="J763" t="s">
        <v>2705</v>
      </c>
      <c r="K763" t="s">
        <v>25</v>
      </c>
      <c r="L763">
        <v>46</v>
      </c>
      <c r="M763">
        <v>4</v>
      </c>
      <c r="N763">
        <v>10</v>
      </c>
      <c r="O763" t="s">
        <v>1073</v>
      </c>
      <c r="P763" t="s">
        <v>75</v>
      </c>
      <c r="Q763" t="s">
        <v>58</v>
      </c>
      <c r="R763" t="s">
        <v>62</v>
      </c>
      <c r="S763" t="s">
        <v>41</v>
      </c>
      <c r="T763">
        <v>1</v>
      </c>
      <c r="U763">
        <v>906.86</v>
      </c>
      <c r="V763">
        <v>2230.65</v>
      </c>
      <c r="W763">
        <v>2</v>
      </c>
      <c r="X763" t="str">
        <f>TEXT(cleaneddata[[#This Row],[Order Date]],"mmm")</f>
        <v>Apr</v>
      </c>
      <c r="Y763">
        <f>cleaneddata[[#This Row],[Unit Price]]*cleaneddata[[#This Row],[Quantity]]*(1-cleaneddata[[#This Row],[Discount %]]/100)</f>
        <v>3264.6959999999999</v>
      </c>
      <c r="Z763">
        <f>cleaneddata[[#This Row],[sales]]-cleaneddata[[#This Row],[Cost]]</f>
        <v>1034.0459999999998</v>
      </c>
    </row>
    <row r="764" spans="1:26" x14ac:dyDescent="0.3">
      <c r="A764" t="s">
        <v>2071</v>
      </c>
      <c r="B764" s="1">
        <v>46068</v>
      </c>
      <c r="C764" t="s">
        <v>2072</v>
      </c>
      <c r="D764" t="s">
        <v>3019</v>
      </c>
      <c r="E764" s="1">
        <v>46071</v>
      </c>
      <c r="F764" t="s">
        <v>100</v>
      </c>
      <c r="G764" t="s">
        <v>98</v>
      </c>
      <c r="H764" t="s">
        <v>99</v>
      </c>
      <c r="I764" t="s">
        <v>2622</v>
      </c>
      <c r="J764" t="s">
        <v>2622</v>
      </c>
      <c r="K764" t="s">
        <v>25</v>
      </c>
      <c r="L764">
        <v>20</v>
      </c>
      <c r="M764">
        <v>2</v>
      </c>
      <c r="N764">
        <v>5</v>
      </c>
      <c r="O764" t="s">
        <v>2073</v>
      </c>
      <c r="P764" t="s">
        <v>44</v>
      </c>
      <c r="Q764" t="s">
        <v>31</v>
      </c>
      <c r="R764" t="s">
        <v>43</v>
      </c>
      <c r="S764" t="s">
        <v>101</v>
      </c>
      <c r="T764">
        <v>1</v>
      </c>
      <c r="U764">
        <v>218.73</v>
      </c>
      <c r="V764">
        <v>210.56</v>
      </c>
      <c r="W764">
        <v>3</v>
      </c>
      <c r="X764" t="str">
        <f>TEXT(cleaneddata[[#This Row],[Order Date]],"mmm")</f>
        <v>Feb</v>
      </c>
      <c r="Y764">
        <f>cleaneddata[[#This Row],[Unit Price]]*cleaneddata[[#This Row],[Quantity]]*(1-cleaneddata[[#This Row],[Discount %]]/100)</f>
        <v>415.58699999999999</v>
      </c>
      <c r="Z764">
        <f>cleaneddata[[#This Row],[sales]]-cleaneddata[[#This Row],[Cost]]</f>
        <v>205.02699999999999</v>
      </c>
    </row>
    <row r="765" spans="1:26" x14ac:dyDescent="0.3">
      <c r="A765" t="s">
        <v>2074</v>
      </c>
      <c r="B765" s="1">
        <v>45312</v>
      </c>
      <c r="C765" t="s">
        <v>2075</v>
      </c>
      <c r="D765" t="s">
        <v>3018</v>
      </c>
      <c r="E765" s="1">
        <v>45317</v>
      </c>
      <c r="F765" t="s">
        <v>56</v>
      </c>
      <c r="G765" t="s">
        <v>54</v>
      </c>
      <c r="H765" t="s">
        <v>55</v>
      </c>
      <c r="I765" t="s">
        <v>2672</v>
      </c>
      <c r="J765" t="s">
        <v>2716</v>
      </c>
      <c r="K765" t="s">
        <v>52</v>
      </c>
      <c r="L765">
        <v>23</v>
      </c>
      <c r="M765">
        <v>4</v>
      </c>
      <c r="N765">
        <v>5</v>
      </c>
      <c r="O765" t="s">
        <v>2076</v>
      </c>
      <c r="P765" t="s">
        <v>33</v>
      </c>
      <c r="Q765" t="s">
        <v>42</v>
      </c>
      <c r="R765" t="s">
        <v>43</v>
      </c>
      <c r="S765" t="s">
        <v>57</v>
      </c>
      <c r="T765">
        <v>1</v>
      </c>
      <c r="U765">
        <v>681.14</v>
      </c>
      <c r="V765">
        <v>1552.43</v>
      </c>
      <c r="W765">
        <v>5</v>
      </c>
      <c r="X765" t="str">
        <f>TEXT(cleaneddata[[#This Row],[Order Date]],"mmm")</f>
        <v>Jan</v>
      </c>
      <c r="Y765">
        <f>cleaneddata[[#This Row],[Unit Price]]*cleaneddata[[#This Row],[Quantity]]*(1-cleaneddata[[#This Row],[Discount %]]/100)</f>
        <v>2588.3319999999999</v>
      </c>
      <c r="Z765">
        <f>cleaneddata[[#This Row],[sales]]-cleaneddata[[#This Row],[Cost]]</f>
        <v>1035.9019999999998</v>
      </c>
    </row>
    <row r="766" spans="1:26" x14ac:dyDescent="0.3">
      <c r="A766" t="s">
        <v>2077</v>
      </c>
      <c r="B766" s="1">
        <v>46180</v>
      </c>
      <c r="C766" t="s">
        <v>2078</v>
      </c>
      <c r="D766" t="s">
        <v>3017</v>
      </c>
      <c r="E766" s="1">
        <v>46182</v>
      </c>
      <c r="F766" t="s">
        <v>140</v>
      </c>
      <c r="G766" t="s">
        <v>38</v>
      </c>
      <c r="H766" t="s">
        <v>139</v>
      </c>
      <c r="I766" t="s">
        <v>2679</v>
      </c>
      <c r="J766" t="s">
        <v>2685</v>
      </c>
      <c r="K766" t="s">
        <v>25</v>
      </c>
      <c r="L766">
        <v>63</v>
      </c>
      <c r="M766">
        <v>2</v>
      </c>
      <c r="N766">
        <v>15</v>
      </c>
      <c r="O766" t="s">
        <v>368</v>
      </c>
      <c r="P766" t="s">
        <v>44</v>
      </c>
      <c r="Q766" t="s">
        <v>42</v>
      </c>
      <c r="R766" t="s">
        <v>43</v>
      </c>
      <c r="S766" t="s">
        <v>141</v>
      </c>
      <c r="T766">
        <v>4</v>
      </c>
      <c r="U766">
        <v>725.94</v>
      </c>
      <c r="V766">
        <v>834.49</v>
      </c>
      <c r="W766">
        <v>2</v>
      </c>
      <c r="X766" t="str">
        <f>TEXT(cleaneddata[[#This Row],[Order Date]],"mmm")</f>
        <v>Jun</v>
      </c>
      <c r="Y766">
        <f>cleaneddata[[#This Row],[Unit Price]]*cleaneddata[[#This Row],[Quantity]]*(1-cleaneddata[[#This Row],[Discount %]]/100)</f>
        <v>1234.098</v>
      </c>
      <c r="Z766">
        <f>cleaneddata[[#This Row],[sales]]-cleaneddata[[#This Row],[Cost]]</f>
        <v>399.60799999999995</v>
      </c>
    </row>
    <row r="767" spans="1:26" x14ac:dyDescent="0.3">
      <c r="A767" t="s">
        <v>2079</v>
      </c>
      <c r="B767" s="1">
        <v>45671</v>
      </c>
      <c r="C767" t="s">
        <v>2080</v>
      </c>
      <c r="D767" t="s">
        <v>3016</v>
      </c>
      <c r="E767" s="1">
        <v>45678</v>
      </c>
      <c r="F767" t="s">
        <v>122</v>
      </c>
      <c r="G767" t="s">
        <v>120</v>
      </c>
      <c r="H767" t="s">
        <v>121</v>
      </c>
      <c r="I767" t="s">
        <v>2639</v>
      </c>
      <c r="J767" t="s">
        <v>2704</v>
      </c>
      <c r="K767" t="s">
        <v>52</v>
      </c>
      <c r="L767">
        <v>41</v>
      </c>
      <c r="M767">
        <v>1</v>
      </c>
      <c r="N767">
        <v>0</v>
      </c>
      <c r="O767" t="s">
        <v>2081</v>
      </c>
      <c r="P767" t="s">
        <v>33</v>
      </c>
      <c r="Q767" t="s">
        <v>31</v>
      </c>
      <c r="R767" t="s">
        <v>62</v>
      </c>
      <c r="S767" t="s">
        <v>123</v>
      </c>
      <c r="T767">
        <v>5</v>
      </c>
      <c r="U767">
        <v>449.6</v>
      </c>
      <c r="V767">
        <v>237.08</v>
      </c>
      <c r="W767">
        <v>7</v>
      </c>
      <c r="X767" t="str">
        <f>TEXT(cleaneddata[[#This Row],[Order Date]],"mmm")</f>
        <v>Jan</v>
      </c>
      <c r="Y767">
        <f>cleaneddata[[#This Row],[Unit Price]]*cleaneddata[[#This Row],[Quantity]]*(1-cleaneddata[[#This Row],[Discount %]]/100)</f>
        <v>449.6</v>
      </c>
      <c r="Z767">
        <f>cleaneddata[[#This Row],[sales]]-cleaneddata[[#This Row],[Cost]]</f>
        <v>212.52</v>
      </c>
    </row>
    <row r="768" spans="1:26" x14ac:dyDescent="0.3">
      <c r="A768" t="s">
        <v>2082</v>
      </c>
      <c r="B768" s="1">
        <v>45911</v>
      </c>
      <c r="C768" t="s">
        <v>2083</v>
      </c>
      <c r="D768" t="s">
        <v>3015</v>
      </c>
      <c r="E768" s="1">
        <v>45913</v>
      </c>
      <c r="F768" t="s">
        <v>140</v>
      </c>
      <c r="G768" t="s">
        <v>38</v>
      </c>
      <c r="H768" t="s">
        <v>139</v>
      </c>
      <c r="I768" t="s">
        <v>2632</v>
      </c>
      <c r="J768" t="s">
        <v>2715</v>
      </c>
      <c r="K768" t="s">
        <v>25</v>
      </c>
      <c r="L768">
        <v>40</v>
      </c>
      <c r="M768">
        <v>1</v>
      </c>
      <c r="N768">
        <v>15</v>
      </c>
      <c r="O768" t="s">
        <v>671</v>
      </c>
      <c r="P768" t="s">
        <v>75</v>
      </c>
      <c r="Q768" t="s">
        <v>31</v>
      </c>
      <c r="R768" t="s">
        <v>71</v>
      </c>
      <c r="S768" t="s">
        <v>141</v>
      </c>
      <c r="T768">
        <v>5</v>
      </c>
      <c r="U768">
        <v>784.38</v>
      </c>
      <c r="V768">
        <v>497.44</v>
      </c>
      <c r="W768">
        <v>2</v>
      </c>
      <c r="X768" t="str">
        <f>TEXT(cleaneddata[[#This Row],[Order Date]],"mmm")</f>
        <v>Sep</v>
      </c>
      <c r="Y768">
        <f>cleaneddata[[#This Row],[Unit Price]]*cleaneddata[[#This Row],[Quantity]]*(1-cleaneddata[[#This Row],[Discount %]]/100)</f>
        <v>666.72299999999996</v>
      </c>
      <c r="Z768">
        <f>cleaneddata[[#This Row],[sales]]-cleaneddata[[#This Row],[Cost]]</f>
        <v>169.28299999999996</v>
      </c>
    </row>
    <row r="769" spans="1:26" x14ac:dyDescent="0.3">
      <c r="A769" t="s">
        <v>2084</v>
      </c>
      <c r="B769" s="1">
        <v>45653</v>
      </c>
      <c r="C769" t="s">
        <v>2085</v>
      </c>
      <c r="D769" t="s">
        <v>3014</v>
      </c>
      <c r="E769" s="1">
        <v>45658</v>
      </c>
      <c r="F769" t="s">
        <v>68</v>
      </c>
      <c r="G769" t="s">
        <v>66</v>
      </c>
      <c r="H769" t="s">
        <v>67</v>
      </c>
      <c r="I769" t="s">
        <v>2639</v>
      </c>
      <c r="J769" t="s">
        <v>2640</v>
      </c>
      <c r="K769" t="s">
        <v>25</v>
      </c>
      <c r="L769">
        <v>60</v>
      </c>
      <c r="M769">
        <v>1</v>
      </c>
      <c r="N769">
        <v>15</v>
      </c>
      <c r="O769" t="s">
        <v>449</v>
      </c>
      <c r="P769" t="s">
        <v>75</v>
      </c>
      <c r="Q769" t="s">
        <v>117</v>
      </c>
      <c r="R769" t="s">
        <v>32</v>
      </c>
      <c r="S769" t="s">
        <v>69</v>
      </c>
      <c r="T769">
        <v>1</v>
      </c>
      <c r="U769">
        <v>302.27</v>
      </c>
      <c r="V769">
        <v>194.97</v>
      </c>
      <c r="W769">
        <v>5</v>
      </c>
      <c r="X769" t="str">
        <f>TEXT(cleaneddata[[#This Row],[Order Date]],"mmm")</f>
        <v>Dec</v>
      </c>
      <c r="Y769">
        <f>cleaneddata[[#This Row],[Unit Price]]*cleaneddata[[#This Row],[Quantity]]*(1-cleaneddata[[#This Row],[Discount %]]/100)</f>
        <v>256.92949999999996</v>
      </c>
      <c r="Z769">
        <f>cleaneddata[[#This Row],[sales]]-cleaneddata[[#This Row],[Cost]]</f>
        <v>61.959499999999963</v>
      </c>
    </row>
    <row r="770" spans="1:26" x14ac:dyDescent="0.3">
      <c r="A770" t="s">
        <v>2086</v>
      </c>
      <c r="B770" s="1">
        <v>45386</v>
      </c>
      <c r="C770" t="s">
        <v>2087</v>
      </c>
      <c r="D770" t="s">
        <v>3013</v>
      </c>
      <c r="E770" s="1">
        <v>45390</v>
      </c>
      <c r="F770" t="s">
        <v>56</v>
      </c>
      <c r="G770" t="s">
        <v>54</v>
      </c>
      <c r="H770" t="s">
        <v>55</v>
      </c>
      <c r="I770" t="s">
        <v>2622</v>
      </c>
      <c r="J770" t="s">
        <v>2686</v>
      </c>
      <c r="K770" t="s">
        <v>52</v>
      </c>
      <c r="L770">
        <v>61</v>
      </c>
      <c r="M770">
        <v>3</v>
      </c>
      <c r="N770">
        <v>0</v>
      </c>
      <c r="O770" t="s">
        <v>479</v>
      </c>
      <c r="P770" t="s">
        <v>33</v>
      </c>
      <c r="Q770" t="s">
        <v>117</v>
      </c>
      <c r="R770" t="s">
        <v>62</v>
      </c>
      <c r="S770" t="s">
        <v>57</v>
      </c>
      <c r="T770">
        <v>3</v>
      </c>
      <c r="U770">
        <v>741.58</v>
      </c>
      <c r="V770">
        <v>1387.83</v>
      </c>
      <c r="W770">
        <v>4</v>
      </c>
      <c r="X770" t="str">
        <f>TEXT(cleaneddata[[#This Row],[Order Date]],"mmm")</f>
        <v>Apr</v>
      </c>
      <c r="Y770">
        <f>cleaneddata[[#This Row],[Unit Price]]*cleaneddata[[#This Row],[Quantity]]*(1-cleaneddata[[#This Row],[Discount %]]/100)</f>
        <v>2224.7400000000002</v>
      </c>
      <c r="Z770">
        <f>cleaneddata[[#This Row],[sales]]-cleaneddata[[#This Row],[Cost]]</f>
        <v>836.91000000000031</v>
      </c>
    </row>
    <row r="771" spans="1:26" x14ac:dyDescent="0.3">
      <c r="A771" t="s">
        <v>2088</v>
      </c>
      <c r="B771" s="1">
        <v>45430</v>
      </c>
      <c r="C771" t="s">
        <v>2089</v>
      </c>
      <c r="D771" t="s">
        <v>3012</v>
      </c>
      <c r="E771" s="1">
        <v>45435</v>
      </c>
      <c r="F771" t="s">
        <v>40</v>
      </c>
      <c r="G771" t="s">
        <v>38</v>
      </c>
      <c r="H771" t="s">
        <v>39</v>
      </c>
      <c r="I771" t="s">
        <v>2654</v>
      </c>
      <c r="J771" t="s">
        <v>2684</v>
      </c>
      <c r="K771" t="s">
        <v>25</v>
      </c>
      <c r="L771">
        <v>31</v>
      </c>
      <c r="M771">
        <v>3</v>
      </c>
      <c r="N771">
        <v>25</v>
      </c>
      <c r="O771" t="s">
        <v>2090</v>
      </c>
      <c r="P771" t="s">
        <v>75</v>
      </c>
      <c r="Q771" t="s">
        <v>58</v>
      </c>
      <c r="R771" t="s">
        <v>43</v>
      </c>
      <c r="S771" t="s">
        <v>41</v>
      </c>
      <c r="T771">
        <v>2</v>
      </c>
      <c r="U771">
        <v>684.94</v>
      </c>
      <c r="V771">
        <v>830.23</v>
      </c>
      <c r="W771">
        <v>5</v>
      </c>
      <c r="X771" t="str">
        <f>TEXT(cleaneddata[[#This Row],[Order Date]],"mmm")</f>
        <v>May</v>
      </c>
      <c r="Y771">
        <f>cleaneddata[[#This Row],[Unit Price]]*cleaneddata[[#This Row],[Quantity]]*(1-cleaneddata[[#This Row],[Discount %]]/100)</f>
        <v>1541.1150000000002</v>
      </c>
      <c r="Z771">
        <f>cleaneddata[[#This Row],[sales]]-cleaneddata[[#This Row],[Cost]]</f>
        <v>710.88500000000022</v>
      </c>
    </row>
    <row r="772" spans="1:26" x14ac:dyDescent="0.3">
      <c r="A772" t="s">
        <v>2091</v>
      </c>
      <c r="B772" s="1">
        <v>45724</v>
      </c>
      <c r="C772" t="s">
        <v>2092</v>
      </c>
      <c r="D772" t="s">
        <v>3011</v>
      </c>
      <c r="E772" s="1">
        <v>45726</v>
      </c>
      <c r="F772" t="s">
        <v>56</v>
      </c>
      <c r="G772" t="s">
        <v>54</v>
      </c>
      <c r="H772" t="s">
        <v>55</v>
      </c>
      <c r="I772" t="s">
        <v>2665</v>
      </c>
      <c r="J772" t="s">
        <v>2719</v>
      </c>
      <c r="K772" t="s">
        <v>25</v>
      </c>
      <c r="L772">
        <v>49</v>
      </c>
      <c r="M772">
        <v>2</v>
      </c>
      <c r="N772">
        <v>15</v>
      </c>
      <c r="O772" t="s">
        <v>414</v>
      </c>
      <c r="P772" t="s">
        <v>44</v>
      </c>
      <c r="Q772" t="s">
        <v>70</v>
      </c>
      <c r="R772" t="s">
        <v>62</v>
      </c>
      <c r="S772" t="s">
        <v>57</v>
      </c>
      <c r="T772">
        <v>3</v>
      </c>
      <c r="U772">
        <v>670.93</v>
      </c>
      <c r="V772">
        <v>812.43</v>
      </c>
      <c r="W772">
        <v>2</v>
      </c>
      <c r="X772" t="str">
        <f>TEXT(cleaneddata[[#This Row],[Order Date]],"mmm")</f>
        <v>Mar</v>
      </c>
      <c r="Y772">
        <f>cleaneddata[[#This Row],[Unit Price]]*cleaneddata[[#This Row],[Quantity]]*(1-cleaneddata[[#This Row],[Discount %]]/100)</f>
        <v>1140.5809999999999</v>
      </c>
      <c r="Z772">
        <f>cleaneddata[[#This Row],[sales]]-cleaneddata[[#This Row],[Cost]]</f>
        <v>328.15099999999995</v>
      </c>
    </row>
    <row r="773" spans="1:26" x14ac:dyDescent="0.3">
      <c r="A773" t="s">
        <v>2093</v>
      </c>
      <c r="B773" s="1">
        <v>45433</v>
      </c>
      <c r="C773" t="s">
        <v>2094</v>
      </c>
      <c r="D773" t="s">
        <v>3010</v>
      </c>
      <c r="E773" s="1">
        <v>45438</v>
      </c>
      <c r="F773" t="s">
        <v>115</v>
      </c>
      <c r="G773" t="s">
        <v>66</v>
      </c>
      <c r="H773" t="s">
        <v>114</v>
      </c>
      <c r="I773" t="s">
        <v>2623</v>
      </c>
      <c r="J773" t="s">
        <v>2696</v>
      </c>
      <c r="K773" t="s">
        <v>52</v>
      </c>
      <c r="L773">
        <v>43</v>
      </c>
      <c r="M773">
        <v>2</v>
      </c>
      <c r="N773">
        <v>30</v>
      </c>
      <c r="O773" t="s">
        <v>1265</v>
      </c>
      <c r="P773" t="s">
        <v>33</v>
      </c>
      <c r="Q773" t="s">
        <v>117</v>
      </c>
      <c r="R773" t="s">
        <v>43</v>
      </c>
      <c r="S773" t="s">
        <v>116</v>
      </c>
      <c r="T773">
        <v>1</v>
      </c>
      <c r="U773">
        <v>104.77</v>
      </c>
      <c r="V773">
        <v>83.62</v>
      </c>
      <c r="W773">
        <v>5</v>
      </c>
      <c r="X773" t="str">
        <f>TEXT(cleaneddata[[#This Row],[Order Date]],"mmm")</f>
        <v>May</v>
      </c>
      <c r="Y773">
        <f>cleaneddata[[#This Row],[Unit Price]]*cleaneddata[[#This Row],[Quantity]]*(1-cleaneddata[[#This Row],[Discount %]]/100)</f>
        <v>146.678</v>
      </c>
      <c r="Z773">
        <f>cleaneddata[[#This Row],[sales]]-cleaneddata[[#This Row],[Cost]]</f>
        <v>63.057999999999993</v>
      </c>
    </row>
    <row r="774" spans="1:26" x14ac:dyDescent="0.3">
      <c r="A774" t="s">
        <v>2095</v>
      </c>
      <c r="B774" s="1">
        <v>45841</v>
      </c>
      <c r="C774" t="s">
        <v>2096</v>
      </c>
      <c r="D774" t="s">
        <v>3009</v>
      </c>
      <c r="E774" s="1">
        <v>45845</v>
      </c>
      <c r="F774" t="s">
        <v>140</v>
      </c>
      <c r="G774" t="s">
        <v>38</v>
      </c>
      <c r="H774" t="s">
        <v>139</v>
      </c>
      <c r="I774" t="s">
        <v>2627</v>
      </c>
      <c r="J774" t="s">
        <v>2698</v>
      </c>
      <c r="K774" t="s">
        <v>25</v>
      </c>
      <c r="L774">
        <v>24</v>
      </c>
      <c r="M774">
        <v>2</v>
      </c>
      <c r="N774">
        <v>25</v>
      </c>
      <c r="O774" t="s">
        <v>1359</v>
      </c>
      <c r="P774" t="s">
        <v>33</v>
      </c>
      <c r="Q774" t="s">
        <v>70</v>
      </c>
      <c r="R774" t="s">
        <v>71</v>
      </c>
      <c r="S774" t="s">
        <v>141</v>
      </c>
      <c r="T774">
        <v>5</v>
      </c>
      <c r="U774">
        <v>321.02999999999997</v>
      </c>
      <c r="V774">
        <v>365.1</v>
      </c>
      <c r="W774">
        <v>4</v>
      </c>
      <c r="X774" t="str">
        <f>TEXT(cleaneddata[[#This Row],[Order Date]],"mmm")</f>
        <v>Jul</v>
      </c>
      <c r="Y774">
        <f>cleaneddata[[#This Row],[Unit Price]]*cleaneddata[[#This Row],[Quantity]]*(1-cleaneddata[[#This Row],[Discount %]]/100)</f>
        <v>481.54499999999996</v>
      </c>
      <c r="Z774">
        <f>cleaneddata[[#This Row],[sales]]-cleaneddata[[#This Row],[Cost]]</f>
        <v>116.44499999999994</v>
      </c>
    </row>
    <row r="775" spans="1:26" x14ac:dyDescent="0.3">
      <c r="A775" t="s">
        <v>2097</v>
      </c>
      <c r="B775" s="1">
        <v>45429</v>
      </c>
      <c r="C775" t="s">
        <v>2098</v>
      </c>
      <c r="D775" t="s">
        <v>3008</v>
      </c>
      <c r="E775" s="1">
        <v>45433</v>
      </c>
      <c r="F775" t="s">
        <v>100</v>
      </c>
      <c r="G775" t="s">
        <v>98</v>
      </c>
      <c r="H775" t="s">
        <v>99</v>
      </c>
      <c r="I775" t="s">
        <v>2634</v>
      </c>
      <c r="J775" t="s">
        <v>2714</v>
      </c>
      <c r="K775" t="s">
        <v>52</v>
      </c>
      <c r="L775">
        <v>38</v>
      </c>
      <c r="M775">
        <v>2</v>
      </c>
      <c r="N775">
        <v>25</v>
      </c>
      <c r="O775" t="s">
        <v>700</v>
      </c>
      <c r="P775" t="s">
        <v>44</v>
      </c>
      <c r="Q775" t="s">
        <v>58</v>
      </c>
      <c r="R775" t="s">
        <v>32</v>
      </c>
      <c r="S775" t="s">
        <v>101</v>
      </c>
      <c r="T775">
        <v>1</v>
      </c>
      <c r="U775">
        <v>762.03</v>
      </c>
      <c r="V775">
        <v>793.07</v>
      </c>
      <c r="W775">
        <v>4</v>
      </c>
      <c r="X775" t="str">
        <f>TEXT(cleaneddata[[#This Row],[Order Date]],"mmm")</f>
        <v>May</v>
      </c>
      <c r="Y775">
        <f>cleaneddata[[#This Row],[Unit Price]]*cleaneddata[[#This Row],[Quantity]]*(1-cleaneddata[[#This Row],[Discount %]]/100)</f>
        <v>1143.0450000000001</v>
      </c>
      <c r="Z775">
        <f>cleaneddata[[#This Row],[sales]]-cleaneddata[[#This Row],[Cost]]</f>
        <v>349.97500000000002</v>
      </c>
    </row>
    <row r="776" spans="1:26" x14ac:dyDescent="0.3">
      <c r="A776" t="s">
        <v>2099</v>
      </c>
      <c r="B776" s="1">
        <v>46099</v>
      </c>
      <c r="C776" t="s">
        <v>2100</v>
      </c>
      <c r="D776" t="s">
        <v>3007</v>
      </c>
      <c r="E776" s="1">
        <v>46102</v>
      </c>
      <c r="F776" t="s">
        <v>115</v>
      </c>
      <c r="G776" t="s">
        <v>66</v>
      </c>
      <c r="H776" t="s">
        <v>114</v>
      </c>
      <c r="I776" t="s">
        <v>2668</v>
      </c>
      <c r="J776" t="s">
        <v>2682</v>
      </c>
      <c r="K776" t="s">
        <v>52</v>
      </c>
      <c r="L776">
        <v>54</v>
      </c>
      <c r="M776">
        <v>4</v>
      </c>
      <c r="N776">
        <v>0</v>
      </c>
      <c r="O776" t="s">
        <v>1344</v>
      </c>
      <c r="P776" t="s">
        <v>75</v>
      </c>
      <c r="Q776" t="s">
        <v>31</v>
      </c>
      <c r="R776" t="s">
        <v>71</v>
      </c>
      <c r="S776" t="s">
        <v>116</v>
      </c>
      <c r="T776">
        <v>1</v>
      </c>
      <c r="U776">
        <v>753.43</v>
      </c>
      <c r="V776">
        <v>1725.27</v>
      </c>
      <c r="W776">
        <v>3</v>
      </c>
      <c r="X776" t="str">
        <f>TEXT(cleaneddata[[#This Row],[Order Date]],"mmm")</f>
        <v>Mar</v>
      </c>
      <c r="Y776">
        <f>cleaneddata[[#This Row],[Unit Price]]*cleaneddata[[#This Row],[Quantity]]*(1-cleaneddata[[#This Row],[Discount %]]/100)</f>
        <v>3013.72</v>
      </c>
      <c r="Z776">
        <f>cleaneddata[[#This Row],[sales]]-cleaneddata[[#This Row],[Cost]]</f>
        <v>1288.4499999999998</v>
      </c>
    </row>
    <row r="777" spans="1:26" x14ac:dyDescent="0.3">
      <c r="A777" t="s">
        <v>2101</v>
      </c>
      <c r="B777" s="1">
        <v>46115</v>
      </c>
      <c r="C777" t="s">
        <v>2102</v>
      </c>
      <c r="D777" t="s">
        <v>3006</v>
      </c>
      <c r="E777" s="1">
        <v>46116</v>
      </c>
      <c r="F777" t="s">
        <v>122</v>
      </c>
      <c r="G777" t="s">
        <v>120</v>
      </c>
      <c r="H777" t="s">
        <v>121</v>
      </c>
      <c r="I777" t="s">
        <v>2679</v>
      </c>
      <c r="J777" t="s">
        <v>2685</v>
      </c>
      <c r="K777" t="s">
        <v>52</v>
      </c>
      <c r="L777">
        <v>50</v>
      </c>
      <c r="M777">
        <v>1</v>
      </c>
      <c r="N777">
        <v>5</v>
      </c>
      <c r="O777" t="s">
        <v>385</v>
      </c>
      <c r="P777" t="s">
        <v>44</v>
      </c>
      <c r="Q777" t="s">
        <v>58</v>
      </c>
      <c r="R777" t="s">
        <v>32</v>
      </c>
      <c r="S777" t="s">
        <v>123</v>
      </c>
      <c r="T777">
        <v>2</v>
      </c>
      <c r="U777">
        <v>138.65</v>
      </c>
      <c r="V777">
        <v>110.37</v>
      </c>
      <c r="W777">
        <v>1</v>
      </c>
      <c r="X777" t="str">
        <f>TEXT(cleaneddata[[#This Row],[Order Date]],"mmm")</f>
        <v>Apr</v>
      </c>
      <c r="Y777">
        <f>cleaneddata[[#This Row],[Unit Price]]*cleaneddata[[#This Row],[Quantity]]*(1-cleaneddata[[#This Row],[Discount %]]/100)</f>
        <v>131.7175</v>
      </c>
      <c r="Z777">
        <f>cleaneddata[[#This Row],[sales]]-cleaneddata[[#This Row],[Cost]]</f>
        <v>21.347499999999997</v>
      </c>
    </row>
    <row r="778" spans="1:26" x14ac:dyDescent="0.3">
      <c r="A778" t="s">
        <v>2103</v>
      </c>
      <c r="B778" s="1">
        <v>45292</v>
      </c>
      <c r="C778" t="s">
        <v>2104</v>
      </c>
      <c r="D778" t="s">
        <v>3005</v>
      </c>
      <c r="E778" s="1">
        <v>45295</v>
      </c>
      <c r="F778" t="s">
        <v>56</v>
      </c>
      <c r="G778" t="s">
        <v>54</v>
      </c>
      <c r="H778" t="s">
        <v>55</v>
      </c>
      <c r="I778" t="s">
        <v>2659</v>
      </c>
      <c r="J778" t="s">
        <v>2718</v>
      </c>
      <c r="K778" t="s">
        <v>52</v>
      </c>
      <c r="L778">
        <v>28</v>
      </c>
      <c r="M778">
        <v>3</v>
      </c>
      <c r="N778">
        <v>25</v>
      </c>
      <c r="O778" t="s">
        <v>484</v>
      </c>
      <c r="P778" t="s">
        <v>75</v>
      </c>
      <c r="Q778" t="s">
        <v>117</v>
      </c>
      <c r="R778" t="s">
        <v>71</v>
      </c>
      <c r="S778" t="s">
        <v>57</v>
      </c>
      <c r="T778">
        <v>2</v>
      </c>
      <c r="U778">
        <v>248.31</v>
      </c>
      <c r="V778">
        <v>333.26</v>
      </c>
      <c r="W778">
        <v>3</v>
      </c>
      <c r="X778" t="str">
        <f>TEXT(cleaneddata[[#This Row],[Order Date]],"mmm")</f>
        <v>Jan</v>
      </c>
      <c r="Y778">
        <f>cleaneddata[[#This Row],[Unit Price]]*cleaneddata[[#This Row],[Quantity]]*(1-cleaneddata[[#This Row],[Discount %]]/100)</f>
        <v>558.69749999999999</v>
      </c>
      <c r="Z778">
        <f>cleaneddata[[#This Row],[sales]]-cleaneddata[[#This Row],[Cost]]</f>
        <v>225.4375</v>
      </c>
    </row>
    <row r="779" spans="1:26" x14ac:dyDescent="0.3">
      <c r="A779" t="s">
        <v>2105</v>
      </c>
      <c r="B779" s="1">
        <v>46082</v>
      </c>
      <c r="C779" t="s">
        <v>2106</v>
      </c>
      <c r="D779" t="s">
        <v>3004</v>
      </c>
      <c r="E779" s="1">
        <v>46085</v>
      </c>
      <c r="F779" t="s">
        <v>122</v>
      </c>
      <c r="G779" t="s">
        <v>120</v>
      </c>
      <c r="H779" t="s">
        <v>121</v>
      </c>
      <c r="I779" t="s">
        <v>2634</v>
      </c>
      <c r="J779" t="s">
        <v>2714</v>
      </c>
      <c r="K779" t="s">
        <v>52</v>
      </c>
      <c r="L779">
        <v>34</v>
      </c>
      <c r="M779">
        <v>1</v>
      </c>
      <c r="N779">
        <v>10</v>
      </c>
      <c r="O779" t="s">
        <v>552</v>
      </c>
      <c r="P779" t="s">
        <v>44</v>
      </c>
      <c r="Q779" t="s">
        <v>31</v>
      </c>
      <c r="R779" t="s">
        <v>43</v>
      </c>
      <c r="S779" t="s">
        <v>123</v>
      </c>
      <c r="T779">
        <v>5</v>
      </c>
      <c r="U779">
        <v>629.63</v>
      </c>
      <c r="V779">
        <v>393.35</v>
      </c>
      <c r="W779">
        <v>3</v>
      </c>
      <c r="X779" t="str">
        <f>TEXT(cleaneddata[[#This Row],[Order Date]],"mmm")</f>
        <v>Mar</v>
      </c>
      <c r="Y779">
        <f>cleaneddata[[#This Row],[Unit Price]]*cleaneddata[[#This Row],[Quantity]]*(1-cleaneddata[[#This Row],[Discount %]]/100)</f>
        <v>566.66700000000003</v>
      </c>
      <c r="Z779">
        <f>cleaneddata[[#This Row],[sales]]-cleaneddata[[#This Row],[Cost]]</f>
        <v>173.31700000000001</v>
      </c>
    </row>
    <row r="780" spans="1:26" x14ac:dyDescent="0.3">
      <c r="A780" t="s">
        <v>2107</v>
      </c>
      <c r="B780" s="1">
        <v>45343</v>
      </c>
      <c r="C780" t="s">
        <v>2108</v>
      </c>
      <c r="D780" t="s">
        <v>3003</v>
      </c>
      <c r="E780" s="1">
        <v>45346</v>
      </c>
      <c r="F780" t="s">
        <v>115</v>
      </c>
      <c r="G780" t="s">
        <v>66</v>
      </c>
      <c r="H780" t="s">
        <v>114</v>
      </c>
      <c r="I780" t="s">
        <v>2623</v>
      </c>
      <c r="J780" t="s">
        <v>2696</v>
      </c>
      <c r="K780" t="s">
        <v>52</v>
      </c>
      <c r="L780">
        <v>40</v>
      </c>
      <c r="M780">
        <v>1</v>
      </c>
      <c r="N780">
        <v>0</v>
      </c>
      <c r="O780" t="s">
        <v>2109</v>
      </c>
      <c r="P780" t="s">
        <v>33</v>
      </c>
      <c r="Q780" t="s">
        <v>58</v>
      </c>
      <c r="R780" t="s">
        <v>71</v>
      </c>
      <c r="S780" t="s">
        <v>116</v>
      </c>
      <c r="T780">
        <v>3</v>
      </c>
      <c r="U780">
        <v>223.79</v>
      </c>
      <c r="V780">
        <v>128.07</v>
      </c>
      <c r="W780">
        <v>3</v>
      </c>
      <c r="X780" t="str">
        <f>TEXT(cleaneddata[[#This Row],[Order Date]],"mmm")</f>
        <v>Feb</v>
      </c>
      <c r="Y780">
        <f>cleaneddata[[#This Row],[Unit Price]]*cleaneddata[[#This Row],[Quantity]]*(1-cleaneddata[[#This Row],[Discount %]]/100)</f>
        <v>223.79</v>
      </c>
      <c r="Z780">
        <f>cleaneddata[[#This Row],[sales]]-cleaneddata[[#This Row],[Cost]]</f>
        <v>95.72</v>
      </c>
    </row>
    <row r="781" spans="1:26" x14ac:dyDescent="0.3">
      <c r="A781" t="s">
        <v>2110</v>
      </c>
      <c r="B781" s="1">
        <v>45932</v>
      </c>
      <c r="C781" t="s">
        <v>2111</v>
      </c>
      <c r="D781" t="s">
        <v>3002</v>
      </c>
      <c r="E781" s="1">
        <v>45939</v>
      </c>
      <c r="F781" t="s">
        <v>29</v>
      </c>
      <c r="G781" t="s">
        <v>27</v>
      </c>
      <c r="H781" t="s">
        <v>28</v>
      </c>
      <c r="I781" t="s">
        <v>2623</v>
      </c>
      <c r="J781" t="s">
        <v>2691</v>
      </c>
      <c r="K781" t="s">
        <v>25</v>
      </c>
      <c r="L781">
        <v>56</v>
      </c>
      <c r="M781">
        <v>3</v>
      </c>
      <c r="N781">
        <v>25</v>
      </c>
      <c r="O781" t="s">
        <v>1320</v>
      </c>
      <c r="P781" t="s">
        <v>75</v>
      </c>
      <c r="Q781" t="s">
        <v>42</v>
      </c>
      <c r="R781" t="s">
        <v>32</v>
      </c>
      <c r="S781" t="s">
        <v>30</v>
      </c>
      <c r="T781">
        <v>4</v>
      </c>
      <c r="U781">
        <v>54.3</v>
      </c>
      <c r="V781">
        <v>75.03</v>
      </c>
      <c r="W781">
        <v>7</v>
      </c>
      <c r="X781" t="str">
        <f>TEXT(cleaneddata[[#This Row],[Order Date]],"mmm")</f>
        <v>Oct</v>
      </c>
      <c r="Y781">
        <f>cleaneddata[[#This Row],[Unit Price]]*cleaneddata[[#This Row],[Quantity]]*(1-cleaneddata[[#This Row],[Discount %]]/100)</f>
        <v>122.17499999999998</v>
      </c>
      <c r="Z781">
        <f>cleaneddata[[#This Row],[sales]]-cleaneddata[[#This Row],[Cost]]</f>
        <v>47.144999999999982</v>
      </c>
    </row>
    <row r="782" spans="1:26" x14ac:dyDescent="0.3">
      <c r="A782" t="s">
        <v>2112</v>
      </c>
      <c r="B782" s="1">
        <v>45818</v>
      </c>
      <c r="C782" t="s">
        <v>2113</v>
      </c>
      <c r="D782" t="s">
        <v>3001</v>
      </c>
      <c r="E782" s="1">
        <v>45822</v>
      </c>
      <c r="F782" t="s">
        <v>115</v>
      </c>
      <c r="G782" t="s">
        <v>66</v>
      </c>
      <c r="H782" t="s">
        <v>114</v>
      </c>
      <c r="I782" t="s">
        <v>2623</v>
      </c>
      <c r="J782" t="s">
        <v>2696</v>
      </c>
      <c r="K782" t="s">
        <v>52</v>
      </c>
      <c r="L782">
        <v>61</v>
      </c>
      <c r="M782">
        <v>4</v>
      </c>
      <c r="N782">
        <v>15</v>
      </c>
      <c r="O782" t="s">
        <v>2114</v>
      </c>
      <c r="P782" t="s">
        <v>44</v>
      </c>
      <c r="Q782" t="s">
        <v>31</v>
      </c>
      <c r="R782" t="s">
        <v>43</v>
      </c>
      <c r="S782" t="s">
        <v>116</v>
      </c>
      <c r="T782">
        <v>1</v>
      </c>
      <c r="U782">
        <v>655.53</v>
      </c>
      <c r="V782">
        <v>1646.53</v>
      </c>
      <c r="W782">
        <v>4</v>
      </c>
      <c r="X782" t="str">
        <f>TEXT(cleaneddata[[#This Row],[Order Date]],"mmm")</f>
        <v>Jun</v>
      </c>
      <c r="Y782">
        <f>cleaneddata[[#This Row],[Unit Price]]*cleaneddata[[#This Row],[Quantity]]*(1-cleaneddata[[#This Row],[Discount %]]/100)</f>
        <v>2228.8019999999997</v>
      </c>
      <c r="Z782">
        <f>cleaneddata[[#This Row],[sales]]-cleaneddata[[#This Row],[Cost]]</f>
        <v>582.27199999999971</v>
      </c>
    </row>
    <row r="783" spans="1:26" x14ac:dyDescent="0.3">
      <c r="A783" t="s">
        <v>2115</v>
      </c>
      <c r="B783" s="1">
        <v>45797</v>
      </c>
      <c r="C783" t="s">
        <v>2116</v>
      </c>
      <c r="D783" t="s">
        <v>3000</v>
      </c>
      <c r="E783" s="1">
        <v>45799</v>
      </c>
      <c r="F783" t="s">
        <v>115</v>
      </c>
      <c r="G783" t="s">
        <v>66</v>
      </c>
      <c r="H783" t="s">
        <v>114</v>
      </c>
      <c r="I783" t="s">
        <v>2629</v>
      </c>
      <c r="J783" t="s">
        <v>2630</v>
      </c>
      <c r="K783" t="s">
        <v>52</v>
      </c>
      <c r="L783">
        <v>26</v>
      </c>
      <c r="M783">
        <v>4</v>
      </c>
      <c r="N783">
        <v>0</v>
      </c>
      <c r="O783" t="s">
        <v>2117</v>
      </c>
      <c r="P783" t="s">
        <v>33</v>
      </c>
      <c r="Q783" t="s">
        <v>42</v>
      </c>
      <c r="R783" t="s">
        <v>62</v>
      </c>
      <c r="S783" t="s">
        <v>116</v>
      </c>
      <c r="T783">
        <v>5</v>
      </c>
      <c r="U783">
        <v>854.77</v>
      </c>
      <c r="V783">
        <v>1764.3</v>
      </c>
      <c r="W783">
        <v>2</v>
      </c>
      <c r="X783" t="str">
        <f>TEXT(cleaneddata[[#This Row],[Order Date]],"mmm")</f>
        <v>May</v>
      </c>
      <c r="Y783">
        <f>cleaneddata[[#This Row],[Unit Price]]*cleaneddata[[#This Row],[Quantity]]*(1-cleaneddata[[#This Row],[Discount %]]/100)</f>
        <v>3419.08</v>
      </c>
      <c r="Z783">
        <f>cleaneddata[[#This Row],[sales]]-cleaneddata[[#This Row],[Cost]]</f>
        <v>1654.78</v>
      </c>
    </row>
    <row r="784" spans="1:26" x14ac:dyDescent="0.3">
      <c r="A784" t="s">
        <v>2118</v>
      </c>
      <c r="B784" s="1">
        <v>45733</v>
      </c>
      <c r="C784" t="s">
        <v>2119</v>
      </c>
      <c r="D784" t="s">
        <v>2999</v>
      </c>
      <c r="E784" s="1">
        <v>45735</v>
      </c>
      <c r="F784" t="s">
        <v>100</v>
      </c>
      <c r="G784" t="s">
        <v>98</v>
      </c>
      <c r="H784" t="s">
        <v>99</v>
      </c>
      <c r="I784" t="s">
        <v>2668</v>
      </c>
      <c r="J784" t="s">
        <v>2669</v>
      </c>
      <c r="K784" t="s">
        <v>52</v>
      </c>
      <c r="L784">
        <v>52</v>
      </c>
      <c r="M784">
        <v>3</v>
      </c>
      <c r="N784">
        <v>25</v>
      </c>
      <c r="O784" t="s">
        <v>2120</v>
      </c>
      <c r="P784" t="s">
        <v>33</v>
      </c>
      <c r="Q784" t="s">
        <v>31</v>
      </c>
      <c r="R784" t="s">
        <v>62</v>
      </c>
      <c r="S784" t="s">
        <v>101</v>
      </c>
      <c r="T784">
        <v>3</v>
      </c>
      <c r="U784">
        <v>334.16</v>
      </c>
      <c r="V784">
        <v>414.43</v>
      </c>
      <c r="W784">
        <v>2</v>
      </c>
      <c r="X784" t="str">
        <f>TEXT(cleaneddata[[#This Row],[Order Date]],"mmm")</f>
        <v>Mar</v>
      </c>
      <c r="Y784">
        <f>cleaneddata[[#This Row],[Unit Price]]*cleaneddata[[#This Row],[Quantity]]*(1-cleaneddata[[#This Row],[Discount %]]/100)</f>
        <v>751.86</v>
      </c>
      <c r="Z784">
        <f>cleaneddata[[#This Row],[sales]]-cleaneddata[[#This Row],[Cost]]</f>
        <v>337.43</v>
      </c>
    </row>
    <row r="785" spans="1:26" x14ac:dyDescent="0.3">
      <c r="A785" t="s">
        <v>2121</v>
      </c>
      <c r="B785" s="1">
        <v>46186</v>
      </c>
      <c r="C785" t="s">
        <v>2122</v>
      </c>
      <c r="D785" t="s">
        <v>2998</v>
      </c>
      <c r="E785" s="1">
        <v>46192</v>
      </c>
      <c r="F785" t="s">
        <v>40</v>
      </c>
      <c r="G785" t="s">
        <v>38</v>
      </c>
      <c r="H785" t="s">
        <v>39</v>
      </c>
      <c r="I785" t="s">
        <v>2631</v>
      </c>
      <c r="J785" t="s">
        <v>2694</v>
      </c>
      <c r="K785" t="s">
        <v>52</v>
      </c>
      <c r="L785">
        <v>55</v>
      </c>
      <c r="M785">
        <v>3</v>
      </c>
      <c r="N785">
        <v>25</v>
      </c>
      <c r="O785" t="s">
        <v>458</v>
      </c>
      <c r="P785" t="s">
        <v>33</v>
      </c>
      <c r="Q785" t="s">
        <v>42</v>
      </c>
      <c r="R785" t="s">
        <v>32</v>
      </c>
      <c r="S785" t="s">
        <v>41</v>
      </c>
      <c r="T785">
        <v>5</v>
      </c>
      <c r="U785">
        <v>946.01</v>
      </c>
      <c r="V785">
        <v>1269.75</v>
      </c>
      <c r="W785">
        <v>6</v>
      </c>
      <c r="X785" t="str">
        <f>TEXT(cleaneddata[[#This Row],[Order Date]],"mmm")</f>
        <v>Jun</v>
      </c>
      <c r="Y785">
        <f>cleaneddata[[#This Row],[Unit Price]]*cleaneddata[[#This Row],[Quantity]]*(1-cleaneddata[[#This Row],[Discount %]]/100)</f>
        <v>2128.5225</v>
      </c>
      <c r="Z785">
        <f>cleaneddata[[#This Row],[sales]]-cleaneddata[[#This Row],[Cost]]</f>
        <v>858.77250000000004</v>
      </c>
    </row>
    <row r="786" spans="1:26" x14ac:dyDescent="0.3">
      <c r="A786" t="s">
        <v>2123</v>
      </c>
      <c r="B786" s="1">
        <v>45742</v>
      </c>
      <c r="C786" t="s">
        <v>2124</v>
      </c>
      <c r="D786" t="s">
        <v>2997</v>
      </c>
      <c r="E786" s="1">
        <v>45746</v>
      </c>
      <c r="F786" t="s">
        <v>115</v>
      </c>
      <c r="G786" t="s">
        <v>66</v>
      </c>
      <c r="H786" t="s">
        <v>114</v>
      </c>
      <c r="I786" t="s">
        <v>2622</v>
      </c>
      <c r="J786" t="s">
        <v>2622</v>
      </c>
      <c r="K786" t="s">
        <v>25</v>
      </c>
      <c r="L786">
        <v>24</v>
      </c>
      <c r="M786">
        <v>2</v>
      </c>
      <c r="N786">
        <v>0</v>
      </c>
      <c r="O786" t="s">
        <v>666</v>
      </c>
      <c r="P786" t="s">
        <v>44</v>
      </c>
      <c r="Q786" t="s">
        <v>42</v>
      </c>
      <c r="R786" t="s">
        <v>62</v>
      </c>
      <c r="S786" t="s">
        <v>116</v>
      </c>
      <c r="T786">
        <v>4</v>
      </c>
      <c r="U786">
        <v>648.78</v>
      </c>
      <c r="V786">
        <v>908.94</v>
      </c>
      <c r="W786">
        <v>4</v>
      </c>
      <c r="X786" t="str">
        <f>TEXT(cleaneddata[[#This Row],[Order Date]],"mmm")</f>
        <v>Mar</v>
      </c>
      <c r="Y786">
        <f>cleaneddata[[#This Row],[Unit Price]]*cleaneddata[[#This Row],[Quantity]]*(1-cleaneddata[[#This Row],[Discount %]]/100)</f>
        <v>1297.56</v>
      </c>
      <c r="Z786">
        <f>cleaneddata[[#This Row],[sales]]-cleaneddata[[#This Row],[Cost]]</f>
        <v>388.61999999999989</v>
      </c>
    </row>
    <row r="787" spans="1:26" x14ac:dyDescent="0.3">
      <c r="A787" t="s">
        <v>2125</v>
      </c>
      <c r="B787" s="1">
        <v>45734</v>
      </c>
      <c r="C787" t="s">
        <v>2126</v>
      </c>
      <c r="D787" t="s">
        <v>2996</v>
      </c>
      <c r="E787" s="1">
        <v>45736</v>
      </c>
      <c r="F787" t="s">
        <v>128</v>
      </c>
      <c r="G787" t="s">
        <v>98</v>
      </c>
      <c r="H787" t="s">
        <v>127</v>
      </c>
      <c r="I787" t="s">
        <v>2625</v>
      </c>
      <c r="J787" t="s">
        <v>2651</v>
      </c>
      <c r="K787" t="s">
        <v>52</v>
      </c>
      <c r="L787">
        <v>41</v>
      </c>
      <c r="M787">
        <v>3</v>
      </c>
      <c r="N787">
        <v>25</v>
      </c>
      <c r="O787" t="s">
        <v>2127</v>
      </c>
      <c r="P787" t="s">
        <v>33</v>
      </c>
      <c r="Q787" t="s">
        <v>70</v>
      </c>
      <c r="R787" t="s">
        <v>71</v>
      </c>
      <c r="S787" t="s">
        <v>129</v>
      </c>
      <c r="T787">
        <v>2</v>
      </c>
      <c r="U787">
        <v>314</v>
      </c>
      <c r="V787">
        <v>586.62</v>
      </c>
      <c r="W787">
        <v>2</v>
      </c>
      <c r="X787" t="str">
        <f>TEXT(cleaneddata[[#This Row],[Order Date]],"mmm")</f>
        <v>Mar</v>
      </c>
      <c r="Y787">
        <f>cleaneddata[[#This Row],[Unit Price]]*cleaneddata[[#This Row],[Quantity]]*(1-cleaneddata[[#This Row],[Discount %]]/100)</f>
        <v>706.5</v>
      </c>
      <c r="Z787">
        <f>cleaneddata[[#This Row],[sales]]-cleaneddata[[#This Row],[Cost]]</f>
        <v>119.88</v>
      </c>
    </row>
    <row r="788" spans="1:26" x14ac:dyDescent="0.3">
      <c r="A788" t="s">
        <v>2128</v>
      </c>
      <c r="B788" s="1">
        <v>45972</v>
      </c>
      <c r="C788" t="s">
        <v>2129</v>
      </c>
      <c r="D788" t="s">
        <v>2995</v>
      </c>
      <c r="E788" s="1">
        <v>45974</v>
      </c>
      <c r="F788" t="s">
        <v>68</v>
      </c>
      <c r="G788" t="s">
        <v>66</v>
      </c>
      <c r="H788" t="s">
        <v>67</v>
      </c>
      <c r="I788" t="s">
        <v>2679</v>
      </c>
      <c r="J788" t="s">
        <v>2685</v>
      </c>
      <c r="K788" t="s">
        <v>25</v>
      </c>
      <c r="L788">
        <v>63</v>
      </c>
      <c r="M788">
        <v>5</v>
      </c>
      <c r="N788">
        <v>0</v>
      </c>
      <c r="O788" t="s">
        <v>2130</v>
      </c>
      <c r="P788" t="s">
        <v>44</v>
      </c>
      <c r="Q788" t="s">
        <v>70</v>
      </c>
      <c r="R788" t="s">
        <v>71</v>
      </c>
      <c r="S788" t="s">
        <v>69</v>
      </c>
      <c r="T788">
        <v>4</v>
      </c>
      <c r="U788">
        <v>237.64</v>
      </c>
      <c r="V788">
        <v>735.58</v>
      </c>
      <c r="W788">
        <v>2</v>
      </c>
      <c r="X788" t="str">
        <f>TEXT(cleaneddata[[#This Row],[Order Date]],"mmm")</f>
        <v>Nov</v>
      </c>
      <c r="Y788">
        <f>cleaneddata[[#This Row],[Unit Price]]*cleaneddata[[#This Row],[Quantity]]*(1-cleaneddata[[#This Row],[Discount %]]/100)</f>
        <v>1188.1999999999998</v>
      </c>
      <c r="Z788">
        <f>cleaneddata[[#This Row],[sales]]-cleaneddata[[#This Row],[Cost]]</f>
        <v>452.61999999999978</v>
      </c>
    </row>
    <row r="789" spans="1:26" x14ac:dyDescent="0.3">
      <c r="A789" t="s">
        <v>2131</v>
      </c>
      <c r="B789" s="1">
        <v>45883</v>
      </c>
      <c r="C789" t="s">
        <v>2132</v>
      </c>
      <c r="D789" t="s">
        <v>2994</v>
      </c>
      <c r="E789" s="1">
        <v>45888</v>
      </c>
      <c r="F789" t="s">
        <v>56</v>
      </c>
      <c r="G789" t="s">
        <v>54</v>
      </c>
      <c r="H789" t="s">
        <v>55</v>
      </c>
      <c r="I789" t="s">
        <v>2633</v>
      </c>
      <c r="J789" t="s">
        <v>2636</v>
      </c>
      <c r="K789" t="s">
        <v>25</v>
      </c>
      <c r="L789">
        <v>60</v>
      </c>
      <c r="M789">
        <v>1</v>
      </c>
      <c r="N789">
        <v>25</v>
      </c>
      <c r="O789" t="s">
        <v>783</v>
      </c>
      <c r="P789" t="s">
        <v>75</v>
      </c>
      <c r="Q789" t="s">
        <v>117</v>
      </c>
      <c r="R789" t="s">
        <v>43</v>
      </c>
      <c r="S789" t="s">
        <v>57</v>
      </c>
      <c r="T789">
        <v>5</v>
      </c>
      <c r="U789">
        <v>491.41</v>
      </c>
      <c r="V789">
        <v>310.47000000000003</v>
      </c>
      <c r="W789">
        <v>5</v>
      </c>
      <c r="X789" t="str">
        <f>TEXT(cleaneddata[[#This Row],[Order Date]],"mmm")</f>
        <v>Aug</v>
      </c>
      <c r="Y789">
        <f>cleaneddata[[#This Row],[Unit Price]]*cleaneddata[[#This Row],[Quantity]]*(1-cleaneddata[[#This Row],[Discount %]]/100)</f>
        <v>368.5575</v>
      </c>
      <c r="Z789">
        <f>cleaneddata[[#This Row],[sales]]-cleaneddata[[#This Row],[Cost]]</f>
        <v>58.087499999999977</v>
      </c>
    </row>
    <row r="790" spans="1:26" x14ac:dyDescent="0.3">
      <c r="A790" t="s">
        <v>2133</v>
      </c>
      <c r="B790" s="1">
        <v>45676</v>
      </c>
      <c r="C790" t="s">
        <v>2134</v>
      </c>
      <c r="D790" t="s">
        <v>2993</v>
      </c>
      <c r="E790" s="1">
        <v>45677</v>
      </c>
      <c r="F790" t="s">
        <v>140</v>
      </c>
      <c r="G790" t="s">
        <v>38</v>
      </c>
      <c r="H790" t="s">
        <v>139</v>
      </c>
      <c r="I790" t="s">
        <v>2635</v>
      </c>
      <c r="J790" t="s">
        <v>2643</v>
      </c>
      <c r="K790" t="s">
        <v>52</v>
      </c>
      <c r="L790">
        <v>34</v>
      </c>
      <c r="M790">
        <v>2</v>
      </c>
      <c r="N790">
        <v>0</v>
      </c>
      <c r="O790" t="s">
        <v>2135</v>
      </c>
      <c r="P790" t="s">
        <v>44</v>
      </c>
      <c r="Q790" t="s">
        <v>70</v>
      </c>
      <c r="R790" t="s">
        <v>71</v>
      </c>
      <c r="S790" t="s">
        <v>141</v>
      </c>
      <c r="T790">
        <v>1</v>
      </c>
      <c r="U790">
        <v>920.81</v>
      </c>
      <c r="V790">
        <v>1215.23</v>
      </c>
      <c r="W790">
        <v>1</v>
      </c>
      <c r="X790" t="str">
        <f>TEXT(cleaneddata[[#This Row],[Order Date]],"mmm")</f>
        <v>Jan</v>
      </c>
      <c r="Y790">
        <f>cleaneddata[[#This Row],[Unit Price]]*cleaneddata[[#This Row],[Quantity]]*(1-cleaneddata[[#This Row],[Discount %]]/100)</f>
        <v>1841.62</v>
      </c>
      <c r="Z790">
        <f>cleaneddata[[#This Row],[sales]]-cleaneddata[[#This Row],[Cost]]</f>
        <v>626.38999999999987</v>
      </c>
    </row>
    <row r="791" spans="1:26" x14ac:dyDescent="0.3">
      <c r="A791" t="s">
        <v>2136</v>
      </c>
      <c r="B791" s="1">
        <v>46084</v>
      </c>
      <c r="C791" t="s">
        <v>2137</v>
      </c>
      <c r="D791" t="s">
        <v>2992</v>
      </c>
      <c r="E791" s="1">
        <v>46087</v>
      </c>
      <c r="F791" t="s">
        <v>29</v>
      </c>
      <c r="G791" t="s">
        <v>27</v>
      </c>
      <c r="H791" t="s">
        <v>28</v>
      </c>
      <c r="I791" t="s">
        <v>2631</v>
      </c>
      <c r="J791" t="s">
        <v>2711</v>
      </c>
      <c r="K791" t="s">
        <v>52</v>
      </c>
      <c r="L791">
        <v>55</v>
      </c>
      <c r="M791">
        <v>3</v>
      </c>
      <c r="N791">
        <v>0</v>
      </c>
      <c r="O791" t="s">
        <v>238</v>
      </c>
      <c r="P791" t="s">
        <v>33</v>
      </c>
      <c r="Q791" t="s">
        <v>42</v>
      </c>
      <c r="R791" t="s">
        <v>32</v>
      </c>
      <c r="S791" t="s">
        <v>30</v>
      </c>
      <c r="T791">
        <v>5</v>
      </c>
      <c r="U791">
        <v>490.78</v>
      </c>
      <c r="V791">
        <v>879.96</v>
      </c>
      <c r="W791">
        <v>3</v>
      </c>
      <c r="X791" t="str">
        <f>TEXT(cleaneddata[[#This Row],[Order Date]],"mmm")</f>
        <v>Mar</v>
      </c>
      <c r="Y791">
        <f>cleaneddata[[#This Row],[Unit Price]]*cleaneddata[[#This Row],[Quantity]]*(1-cleaneddata[[#This Row],[Discount %]]/100)</f>
        <v>1472.34</v>
      </c>
      <c r="Z791">
        <f>cleaneddata[[#This Row],[sales]]-cleaneddata[[#This Row],[Cost]]</f>
        <v>592.37999999999988</v>
      </c>
    </row>
    <row r="792" spans="1:26" x14ac:dyDescent="0.3">
      <c r="A792" t="s">
        <v>2138</v>
      </c>
      <c r="B792" s="1">
        <v>45786</v>
      </c>
      <c r="C792" t="s">
        <v>2139</v>
      </c>
      <c r="D792" t="s">
        <v>2991</v>
      </c>
      <c r="E792" s="1">
        <v>45793</v>
      </c>
      <c r="F792" t="s">
        <v>56</v>
      </c>
      <c r="G792" t="s">
        <v>54</v>
      </c>
      <c r="H792" t="s">
        <v>55</v>
      </c>
      <c r="I792" t="s">
        <v>2635</v>
      </c>
      <c r="J792" t="s">
        <v>2643</v>
      </c>
      <c r="K792" t="s">
        <v>52</v>
      </c>
      <c r="L792">
        <v>56</v>
      </c>
      <c r="M792">
        <v>5</v>
      </c>
      <c r="N792">
        <v>0</v>
      </c>
      <c r="O792" t="s">
        <v>1777</v>
      </c>
      <c r="P792" t="s">
        <v>44</v>
      </c>
      <c r="Q792" t="s">
        <v>70</v>
      </c>
      <c r="R792" t="s">
        <v>43</v>
      </c>
      <c r="S792" t="s">
        <v>57</v>
      </c>
      <c r="T792">
        <v>3</v>
      </c>
      <c r="U792">
        <v>978.52</v>
      </c>
      <c r="V792">
        <v>3725.16</v>
      </c>
      <c r="W792">
        <v>7</v>
      </c>
      <c r="X792" t="str">
        <f>TEXT(cleaneddata[[#This Row],[Order Date]],"mmm")</f>
        <v>May</v>
      </c>
      <c r="Y792">
        <f>cleaneddata[[#This Row],[Unit Price]]*cleaneddata[[#This Row],[Quantity]]*(1-cleaneddata[[#This Row],[Discount %]]/100)</f>
        <v>4892.6000000000004</v>
      </c>
      <c r="Z792">
        <f>cleaneddata[[#This Row],[sales]]-cleaneddata[[#This Row],[Cost]]</f>
        <v>1167.4400000000005</v>
      </c>
    </row>
    <row r="793" spans="1:26" x14ac:dyDescent="0.3">
      <c r="A793" t="s">
        <v>2140</v>
      </c>
      <c r="B793" s="1">
        <v>45695</v>
      </c>
      <c r="C793" t="s">
        <v>2022</v>
      </c>
      <c r="D793" t="s">
        <v>2990</v>
      </c>
      <c r="E793" s="1">
        <v>45696</v>
      </c>
      <c r="F793" t="s">
        <v>29</v>
      </c>
      <c r="G793" t="s">
        <v>27</v>
      </c>
      <c r="H793" t="s">
        <v>28</v>
      </c>
      <c r="I793" t="s">
        <v>2639</v>
      </c>
      <c r="J793" t="s">
        <v>2687</v>
      </c>
      <c r="K793" t="s">
        <v>52</v>
      </c>
      <c r="L793">
        <v>30</v>
      </c>
      <c r="M793">
        <v>4</v>
      </c>
      <c r="N793">
        <v>20</v>
      </c>
      <c r="O793" t="s">
        <v>2141</v>
      </c>
      <c r="P793" t="s">
        <v>75</v>
      </c>
      <c r="Q793" t="s">
        <v>58</v>
      </c>
      <c r="R793" t="s">
        <v>62</v>
      </c>
      <c r="S793" t="s">
        <v>30</v>
      </c>
      <c r="T793">
        <v>2</v>
      </c>
      <c r="U793">
        <v>28.03</v>
      </c>
      <c r="V793">
        <v>52.94</v>
      </c>
      <c r="W793">
        <v>1</v>
      </c>
      <c r="X793" t="str">
        <f>TEXT(cleaneddata[[#This Row],[Order Date]],"mmm")</f>
        <v>Feb</v>
      </c>
      <c r="Y793">
        <f>cleaneddata[[#This Row],[Unit Price]]*cleaneddata[[#This Row],[Quantity]]*(1-cleaneddata[[#This Row],[Discount %]]/100)</f>
        <v>89.696000000000012</v>
      </c>
      <c r="Z793">
        <f>cleaneddata[[#This Row],[sales]]-cleaneddata[[#This Row],[Cost]]</f>
        <v>36.756000000000014</v>
      </c>
    </row>
    <row r="794" spans="1:26" x14ac:dyDescent="0.3">
      <c r="A794" t="s">
        <v>2142</v>
      </c>
      <c r="B794" s="1">
        <v>45618</v>
      </c>
      <c r="C794" t="s">
        <v>2143</v>
      </c>
      <c r="D794" t="s">
        <v>2989</v>
      </c>
      <c r="E794" s="1">
        <v>45619</v>
      </c>
      <c r="F794" t="s">
        <v>122</v>
      </c>
      <c r="G794" t="s">
        <v>120</v>
      </c>
      <c r="H794" t="s">
        <v>121</v>
      </c>
      <c r="I794" t="s">
        <v>2656</v>
      </c>
      <c r="J794" t="s">
        <v>2657</v>
      </c>
      <c r="K794" t="s">
        <v>52</v>
      </c>
      <c r="L794">
        <v>37</v>
      </c>
      <c r="M794">
        <v>2</v>
      </c>
      <c r="N794">
        <v>30</v>
      </c>
      <c r="O794" t="s">
        <v>989</v>
      </c>
      <c r="P794" t="s">
        <v>33</v>
      </c>
      <c r="Q794" t="s">
        <v>117</v>
      </c>
      <c r="R794" t="s">
        <v>43</v>
      </c>
      <c r="S794" t="s">
        <v>123</v>
      </c>
      <c r="T794">
        <v>5</v>
      </c>
      <c r="U794">
        <v>564.74</v>
      </c>
      <c r="V794">
        <v>491.73</v>
      </c>
      <c r="W794">
        <v>1</v>
      </c>
      <c r="X794" t="str">
        <f>TEXT(cleaneddata[[#This Row],[Order Date]],"mmm")</f>
        <v>Nov</v>
      </c>
      <c r="Y794">
        <f>cleaneddata[[#This Row],[Unit Price]]*cleaneddata[[#This Row],[Quantity]]*(1-cleaneddata[[#This Row],[Discount %]]/100)</f>
        <v>790.63599999999997</v>
      </c>
      <c r="Z794">
        <f>cleaneddata[[#This Row],[sales]]-cleaneddata[[#This Row],[Cost]]</f>
        <v>298.90599999999995</v>
      </c>
    </row>
    <row r="795" spans="1:26" x14ac:dyDescent="0.3">
      <c r="A795" t="s">
        <v>2144</v>
      </c>
      <c r="B795" s="1">
        <v>46050</v>
      </c>
      <c r="C795" t="s">
        <v>2145</v>
      </c>
      <c r="D795" t="s">
        <v>2988</v>
      </c>
      <c r="E795" s="1">
        <v>46052</v>
      </c>
      <c r="F795" t="s">
        <v>56</v>
      </c>
      <c r="G795" t="s">
        <v>54</v>
      </c>
      <c r="H795" t="s">
        <v>55</v>
      </c>
      <c r="I795" t="s">
        <v>2623</v>
      </c>
      <c r="J795" t="s">
        <v>2624</v>
      </c>
      <c r="K795" t="s">
        <v>52</v>
      </c>
      <c r="L795">
        <v>29</v>
      </c>
      <c r="M795">
        <v>3</v>
      </c>
      <c r="N795">
        <v>5</v>
      </c>
      <c r="O795" t="s">
        <v>1295</v>
      </c>
      <c r="P795" t="s">
        <v>33</v>
      </c>
      <c r="Q795" t="s">
        <v>31</v>
      </c>
      <c r="R795" t="s">
        <v>62</v>
      </c>
      <c r="S795" t="s">
        <v>57</v>
      </c>
      <c r="T795">
        <v>3</v>
      </c>
      <c r="U795">
        <v>141.54</v>
      </c>
      <c r="V795">
        <v>217.38</v>
      </c>
      <c r="W795">
        <v>2</v>
      </c>
      <c r="X795" t="str">
        <f>TEXT(cleaneddata[[#This Row],[Order Date]],"mmm")</f>
        <v>Jan</v>
      </c>
      <c r="Y795">
        <f>cleaneddata[[#This Row],[Unit Price]]*cleaneddata[[#This Row],[Quantity]]*(1-cleaneddata[[#This Row],[Discount %]]/100)</f>
        <v>403.38900000000001</v>
      </c>
      <c r="Z795">
        <f>cleaneddata[[#This Row],[sales]]-cleaneddata[[#This Row],[Cost]]</f>
        <v>186.00900000000001</v>
      </c>
    </row>
    <row r="796" spans="1:26" x14ac:dyDescent="0.3">
      <c r="A796" t="s">
        <v>2146</v>
      </c>
      <c r="B796" s="1">
        <v>46014</v>
      </c>
      <c r="C796" t="s">
        <v>639</v>
      </c>
      <c r="D796" t="s">
        <v>2987</v>
      </c>
      <c r="E796" s="1">
        <v>46020</v>
      </c>
      <c r="F796" t="s">
        <v>40</v>
      </c>
      <c r="G796" t="s">
        <v>38</v>
      </c>
      <c r="H796" t="s">
        <v>39</v>
      </c>
      <c r="I796" t="s">
        <v>2625</v>
      </c>
      <c r="J796" t="s">
        <v>2703</v>
      </c>
      <c r="K796" t="s">
        <v>52</v>
      </c>
      <c r="L796">
        <v>55</v>
      </c>
      <c r="M796">
        <v>5</v>
      </c>
      <c r="N796">
        <v>0</v>
      </c>
      <c r="O796" t="s">
        <v>2147</v>
      </c>
      <c r="P796" t="s">
        <v>33</v>
      </c>
      <c r="Q796" t="s">
        <v>70</v>
      </c>
      <c r="R796" t="s">
        <v>43</v>
      </c>
      <c r="S796" t="s">
        <v>41</v>
      </c>
      <c r="T796">
        <v>2</v>
      </c>
      <c r="U796">
        <v>540.08000000000004</v>
      </c>
      <c r="V796">
        <v>1568.68</v>
      </c>
      <c r="W796">
        <v>6</v>
      </c>
      <c r="X796" t="str">
        <f>TEXT(cleaneddata[[#This Row],[Order Date]],"mmm")</f>
        <v>Dec</v>
      </c>
      <c r="Y796">
        <f>cleaneddata[[#This Row],[Unit Price]]*cleaneddata[[#This Row],[Quantity]]*(1-cleaneddata[[#This Row],[Discount %]]/100)</f>
        <v>2700.4</v>
      </c>
      <c r="Z796">
        <f>cleaneddata[[#This Row],[sales]]-cleaneddata[[#This Row],[Cost]]</f>
        <v>1131.72</v>
      </c>
    </row>
    <row r="797" spans="1:26" x14ac:dyDescent="0.3">
      <c r="A797" t="s">
        <v>2148</v>
      </c>
      <c r="B797" s="1">
        <v>45646</v>
      </c>
      <c r="C797" t="s">
        <v>2149</v>
      </c>
      <c r="D797" t="s">
        <v>2986</v>
      </c>
      <c r="E797" s="1">
        <v>45647</v>
      </c>
      <c r="F797" t="s">
        <v>29</v>
      </c>
      <c r="G797" t="s">
        <v>27</v>
      </c>
      <c r="H797" t="s">
        <v>28</v>
      </c>
      <c r="I797" t="s">
        <v>2634</v>
      </c>
      <c r="J797" t="s">
        <v>2644</v>
      </c>
      <c r="K797" t="s">
        <v>52</v>
      </c>
      <c r="L797">
        <v>39</v>
      </c>
      <c r="M797">
        <v>3</v>
      </c>
      <c r="N797">
        <v>25</v>
      </c>
      <c r="O797" t="s">
        <v>397</v>
      </c>
      <c r="P797" t="s">
        <v>44</v>
      </c>
      <c r="Q797" t="s">
        <v>31</v>
      </c>
      <c r="R797" t="s">
        <v>71</v>
      </c>
      <c r="S797" t="s">
        <v>30</v>
      </c>
      <c r="T797">
        <v>2</v>
      </c>
      <c r="U797">
        <v>641.91999999999996</v>
      </c>
      <c r="V797">
        <v>1139.46</v>
      </c>
      <c r="W797">
        <v>1</v>
      </c>
      <c r="X797" t="str">
        <f>TEXT(cleaneddata[[#This Row],[Order Date]],"mmm")</f>
        <v>Dec</v>
      </c>
      <c r="Y797">
        <f>cleaneddata[[#This Row],[Unit Price]]*cleaneddata[[#This Row],[Quantity]]*(1-cleaneddata[[#This Row],[Discount %]]/100)</f>
        <v>1444.3199999999997</v>
      </c>
      <c r="Z797">
        <f>cleaneddata[[#This Row],[sales]]-cleaneddata[[#This Row],[Cost]]</f>
        <v>304.85999999999967</v>
      </c>
    </row>
    <row r="798" spans="1:26" x14ac:dyDescent="0.3">
      <c r="A798" t="s">
        <v>2150</v>
      </c>
      <c r="B798" s="1">
        <v>45534</v>
      </c>
      <c r="C798" t="s">
        <v>2151</v>
      </c>
      <c r="D798" t="s">
        <v>2985</v>
      </c>
      <c r="E798" s="1">
        <v>45535</v>
      </c>
      <c r="F798" t="s">
        <v>56</v>
      </c>
      <c r="G798" t="s">
        <v>54</v>
      </c>
      <c r="H798" t="s">
        <v>55</v>
      </c>
      <c r="I798" t="s">
        <v>2652</v>
      </c>
      <c r="J798" t="s">
        <v>2688</v>
      </c>
      <c r="K798" t="s">
        <v>52</v>
      </c>
      <c r="L798">
        <v>35</v>
      </c>
      <c r="M798">
        <v>4</v>
      </c>
      <c r="N798">
        <v>20</v>
      </c>
      <c r="O798" t="s">
        <v>845</v>
      </c>
      <c r="P798" t="s">
        <v>33</v>
      </c>
      <c r="Q798" t="s">
        <v>58</v>
      </c>
      <c r="R798" t="s">
        <v>71</v>
      </c>
      <c r="S798" t="s">
        <v>57</v>
      </c>
      <c r="T798">
        <v>5</v>
      </c>
      <c r="U798">
        <v>304.68</v>
      </c>
      <c r="V798">
        <v>711.82</v>
      </c>
      <c r="W798">
        <v>1</v>
      </c>
      <c r="X798" t="str">
        <f>TEXT(cleaneddata[[#This Row],[Order Date]],"mmm")</f>
        <v>Aug</v>
      </c>
      <c r="Y798">
        <f>cleaneddata[[#This Row],[Unit Price]]*cleaneddata[[#This Row],[Quantity]]*(1-cleaneddata[[#This Row],[Discount %]]/100)</f>
        <v>974.97600000000011</v>
      </c>
      <c r="Z798">
        <f>cleaneddata[[#This Row],[sales]]-cleaneddata[[#This Row],[Cost]]</f>
        <v>263.15600000000006</v>
      </c>
    </row>
    <row r="799" spans="1:26" x14ac:dyDescent="0.3">
      <c r="A799" t="s">
        <v>2152</v>
      </c>
      <c r="B799" s="1">
        <v>45686</v>
      </c>
      <c r="C799" t="s">
        <v>2153</v>
      </c>
      <c r="D799" t="s">
        <v>2984</v>
      </c>
      <c r="E799" s="1">
        <v>45687</v>
      </c>
      <c r="F799" t="s">
        <v>115</v>
      </c>
      <c r="G799" t="s">
        <v>66</v>
      </c>
      <c r="H799" t="s">
        <v>114</v>
      </c>
      <c r="I799" t="s">
        <v>2659</v>
      </c>
      <c r="J799" t="s">
        <v>2718</v>
      </c>
      <c r="K799" t="s">
        <v>25</v>
      </c>
      <c r="L799">
        <v>19</v>
      </c>
      <c r="M799">
        <v>3</v>
      </c>
      <c r="N799">
        <v>15</v>
      </c>
      <c r="O799" t="s">
        <v>2147</v>
      </c>
      <c r="P799" t="s">
        <v>33</v>
      </c>
      <c r="Q799" t="s">
        <v>31</v>
      </c>
      <c r="R799" t="s">
        <v>62</v>
      </c>
      <c r="S799" t="s">
        <v>116</v>
      </c>
      <c r="T799">
        <v>4</v>
      </c>
      <c r="U799">
        <v>364.24</v>
      </c>
      <c r="V799">
        <v>634.04999999999995</v>
      </c>
      <c r="W799">
        <v>1</v>
      </c>
      <c r="X799" t="str">
        <f>TEXT(cleaneddata[[#This Row],[Order Date]],"mmm")</f>
        <v>Jan</v>
      </c>
      <c r="Y799">
        <f>cleaneddata[[#This Row],[Unit Price]]*cleaneddata[[#This Row],[Quantity]]*(1-cleaneddata[[#This Row],[Discount %]]/100)</f>
        <v>928.81200000000001</v>
      </c>
      <c r="Z799">
        <f>cleaneddata[[#This Row],[sales]]-cleaneddata[[#This Row],[Cost]]</f>
        <v>294.76200000000006</v>
      </c>
    </row>
    <row r="800" spans="1:26" x14ac:dyDescent="0.3">
      <c r="A800" t="s">
        <v>2154</v>
      </c>
      <c r="B800" s="1">
        <v>46165</v>
      </c>
      <c r="C800" t="s">
        <v>2155</v>
      </c>
      <c r="D800" t="s">
        <v>2983</v>
      </c>
      <c r="E800" s="1">
        <v>46169</v>
      </c>
      <c r="F800" t="s">
        <v>29</v>
      </c>
      <c r="G800" t="s">
        <v>27</v>
      </c>
      <c r="H800" t="s">
        <v>28</v>
      </c>
      <c r="I800" t="s">
        <v>2622</v>
      </c>
      <c r="J800" t="s">
        <v>2622</v>
      </c>
      <c r="K800" t="s">
        <v>52</v>
      </c>
      <c r="L800">
        <v>32</v>
      </c>
      <c r="M800">
        <v>1</v>
      </c>
      <c r="N800">
        <v>25</v>
      </c>
      <c r="O800" t="s">
        <v>2156</v>
      </c>
      <c r="P800" t="s">
        <v>75</v>
      </c>
      <c r="Q800" t="s">
        <v>117</v>
      </c>
      <c r="R800" t="s">
        <v>32</v>
      </c>
      <c r="S800" t="s">
        <v>30</v>
      </c>
      <c r="T800">
        <v>1</v>
      </c>
      <c r="U800">
        <v>349.01</v>
      </c>
      <c r="V800">
        <v>132.62</v>
      </c>
      <c r="W800">
        <v>4</v>
      </c>
      <c r="X800" t="str">
        <f>TEXT(cleaneddata[[#This Row],[Order Date]],"mmm")</f>
        <v>May</v>
      </c>
      <c r="Y800">
        <f>cleaneddata[[#This Row],[Unit Price]]*cleaneddata[[#This Row],[Quantity]]*(1-cleaneddata[[#This Row],[Discount %]]/100)</f>
        <v>261.75749999999999</v>
      </c>
      <c r="Z800">
        <f>cleaneddata[[#This Row],[sales]]-cleaneddata[[#This Row],[Cost]]</f>
        <v>129.13749999999999</v>
      </c>
    </row>
    <row r="801" spans="1:26" x14ac:dyDescent="0.3">
      <c r="A801" t="s">
        <v>2157</v>
      </c>
      <c r="B801" s="1">
        <v>46034</v>
      </c>
      <c r="C801" t="s">
        <v>2158</v>
      </c>
      <c r="D801" t="s">
        <v>2982</v>
      </c>
      <c r="E801" s="1">
        <v>46040</v>
      </c>
      <c r="F801" t="s">
        <v>56</v>
      </c>
      <c r="G801" t="s">
        <v>54</v>
      </c>
      <c r="H801" t="s">
        <v>55</v>
      </c>
      <c r="I801" t="s">
        <v>2665</v>
      </c>
      <c r="J801" t="s">
        <v>2719</v>
      </c>
      <c r="K801" t="s">
        <v>25</v>
      </c>
      <c r="L801">
        <v>25</v>
      </c>
      <c r="M801">
        <v>1</v>
      </c>
      <c r="N801">
        <v>30</v>
      </c>
      <c r="O801" t="s">
        <v>198</v>
      </c>
      <c r="P801" t="s">
        <v>44</v>
      </c>
      <c r="Q801" t="s">
        <v>31</v>
      </c>
      <c r="R801" t="s">
        <v>32</v>
      </c>
      <c r="S801" t="s">
        <v>57</v>
      </c>
      <c r="T801">
        <v>3</v>
      </c>
      <c r="U801">
        <v>276.8</v>
      </c>
      <c r="V801">
        <v>120.44</v>
      </c>
      <c r="W801">
        <v>6</v>
      </c>
      <c r="X801" t="str">
        <f>TEXT(cleaneddata[[#This Row],[Order Date]],"mmm")</f>
        <v>Jan</v>
      </c>
      <c r="Y801">
        <f>cleaneddata[[#This Row],[Unit Price]]*cleaneddata[[#This Row],[Quantity]]*(1-cleaneddata[[#This Row],[Discount %]]/100)</f>
        <v>193.76</v>
      </c>
      <c r="Z801">
        <f>cleaneddata[[#This Row],[sales]]-cleaneddata[[#This Row],[Cost]]</f>
        <v>73.319999999999993</v>
      </c>
    </row>
    <row r="802" spans="1:26" x14ac:dyDescent="0.3">
      <c r="A802" t="s">
        <v>2159</v>
      </c>
      <c r="B802" s="1">
        <v>46002</v>
      </c>
      <c r="C802" t="s">
        <v>2160</v>
      </c>
      <c r="D802" t="s">
        <v>2981</v>
      </c>
      <c r="E802" s="1">
        <v>46005</v>
      </c>
      <c r="F802" t="s">
        <v>115</v>
      </c>
      <c r="G802" t="s">
        <v>66</v>
      </c>
      <c r="H802" t="s">
        <v>114</v>
      </c>
      <c r="I802" t="s">
        <v>2623</v>
      </c>
      <c r="J802" t="s">
        <v>2701</v>
      </c>
      <c r="K802" t="s">
        <v>25</v>
      </c>
      <c r="L802">
        <v>53</v>
      </c>
      <c r="M802">
        <v>2</v>
      </c>
      <c r="N802">
        <v>25</v>
      </c>
      <c r="O802" t="s">
        <v>335</v>
      </c>
      <c r="P802" t="s">
        <v>44</v>
      </c>
      <c r="Q802" t="s">
        <v>31</v>
      </c>
      <c r="R802" t="s">
        <v>43</v>
      </c>
      <c r="S802" t="s">
        <v>116</v>
      </c>
      <c r="T802">
        <v>5</v>
      </c>
      <c r="U802">
        <v>845.23</v>
      </c>
      <c r="V802">
        <v>881.94</v>
      </c>
      <c r="W802">
        <v>3</v>
      </c>
      <c r="X802" t="str">
        <f>TEXT(cleaneddata[[#This Row],[Order Date]],"mmm")</f>
        <v>Dec</v>
      </c>
      <c r="Y802">
        <f>cleaneddata[[#This Row],[Unit Price]]*cleaneddata[[#This Row],[Quantity]]*(1-cleaneddata[[#This Row],[Discount %]]/100)</f>
        <v>1267.845</v>
      </c>
      <c r="Z802">
        <f>cleaneddata[[#This Row],[sales]]-cleaneddata[[#This Row],[Cost]]</f>
        <v>385.90499999999997</v>
      </c>
    </row>
    <row r="803" spans="1:26" x14ac:dyDescent="0.3">
      <c r="A803" t="s">
        <v>2161</v>
      </c>
      <c r="B803" s="1">
        <v>45453</v>
      </c>
      <c r="C803" t="s">
        <v>2162</v>
      </c>
      <c r="D803" t="s">
        <v>2980</v>
      </c>
      <c r="E803" s="1">
        <v>45454</v>
      </c>
      <c r="F803" t="s">
        <v>56</v>
      </c>
      <c r="G803" t="s">
        <v>54</v>
      </c>
      <c r="H803" t="s">
        <v>55</v>
      </c>
      <c r="I803" t="s">
        <v>2641</v>
      </c>
      <c r="J803" t="s">
        <v>2642</v>
      </c>
      <c r="K803" t="s">
        <v>25</v>
      </c>
      <c r="L803">
        <v>21</v>
      </c>
      <c r="M803">
        <v>1</v>
      </c>
      <c r="N803">
        <v>30</v>
      </c>
      <c r="O803" t="s">
        <v>1383</v>
      </c>
      <c r="P803" t="s">
        <v>33</v>
      </c>
      <c r="Q803" t="s">
        <v>31</v>
      </c>
      <c r="R803" t="s">
        <v>71</v>
      </c>
      <c r="S803" t="s">
        <v>57</v>
      </c>
      <c r="T803">
        <v>5</v>
      </c>
      <c r="U803">
        <v>642.27</v>
      </c>
      <c r="V803">
        <v>278.87</v>
      </c>
      <c r="W803">
        <v>1</v>
      </c>
      <c r="X803" t="str">
        <f>TEXT(cleaneddata[[#This Row],[Order Date]],"mmm")</f>
        <v>Jun</v>
      </c>
      <c r="Y803">
        <f>cleaneddata[[#This Row],[Unit Price]]*cleaneddata[[#This Row],[Quantity]]*(1-cleaneddata[[#This Row],[Discount %]]/100)</f>
        <v>449.58899999999994</v>
      </c>
      <c r="Z803">
        <f>cleaneddata[[#This Row],[sales]]-cleaneddata[[#This Row],[Cost]]</f>
        <v>170.71899999999994</v>
      </c>
    </row>
    <row r="804" spans="1:26" x14ac:dyDescent="0.3">
      <c r="A804" t="s">
        <v>2163</v>
      </c>
      <c r="B804" s="1">
        <v>46095</v>
      </c>
      <c r="C804" t="s">
        <v>2164</v>
      </c>
      <c r="D804" t="s">
        <v>2979</v>
      </c>
      <c r="E804" s="1">
        <v>46100</v>
      </c>
      <c r="F804" t="s">
        <v>122</v>
      </c>
      <c r="G804" t="s">
        <v>120</v>
      </c>
      <c r="H804" t="s">
        <v>121</v>
      </c>
      <c r="I804" t="s">
        <v>2633</v>
      </c>
      <c r="J804" t="s">
        <v>2695</v>
      </c>
      <c r="K804" t="s">
        <v>25</v>
      </c>
      <c r="L804">
        <v>42</v>
      </c>
      <c r="M804">
        <v>1</v>
      </c>
      <c r="N804">
        <v>20</v>
      </c>
      <c r="O804" t="s">
        <v>2165</v>
      </c>
      <c r="P804" t="s">
        <v>75</v>
      </c>
      <c r="Q804" t="s">
        <v>31</v>
      </c>
      <c r="R804" t="s">
        <v>62</v>
      </c>
      <c r="S804" t="s">
        <v>123</v>
      </c>
      <c r="T804">
        <v>2</v>
      </c>
      <c r="U804">
        <v>782.93</v>
      </c>
      <c r="V804">
        <v>498.34</v>
      </c>
      <c r="W804">
        <v>5</v>
      </c>
      <c r="X804" t="str">
        <f>TEXT(cleaneddata[[#This Row],[Order Date]],"mmm")</f>
        <v>Mar</v>
      </c>
      <c r="Y804">
        <f>cleaneddata[[#This Row],[Unit Price]]*cleaneddata[[#This Row],[Quantity]]*(1-cleaneddata[[#This Row],[Discount %]]/100)</f>
        <v>626.34400000000005</v>
      </c>
      <c r="Z804">
        <f>cleaneddata[[#This Row],[sales]]-cleaneddata[[#This Row],[Cost]]</f>
        <v>128.00400000000008</v>
      </c>
    </row>
    <row r="805" spans="1:26" x14ac:dyDescent="0.3">
      <c r="A805" t="s">
        <v>2166</v>
      </c>
      <c r="B805" s="1">
        <v>45893</v>
      </c>
      <c r="C805" t="s">
        <v>2167</v>
      </c>
      <c r="D805" t="s">
        <v>2978</v>
      </c>
      <c r="E805" s="1">
        <v>45896</v>
      </c>
      <c r="F805" t="s">
        <v>56</v>
      </c>
      <c r="G805" t="s">
        <v>54</v>
      </c>
      <c r="H805" t="s">
        <v>55</v>
      </c>
      <c r="I805" t="s">
        <v>2637</v>
      </c>
      <c r="J805" t="s">
        <v>2649</v>
      </c>
      <c r="K805" t="s">
        <v>25</v>
      </c>
      <c r="L805">
        <v>51</v>
      </c>
      <c r="M805">
        <v>1</v>
      </c>
      <c r="N805">
        <v>10</v>
      </c>
      <c r="O805" t="s">
        <v>1359</v>
      </c>
      <c r="P805" t="s">
        <v>75</v>
      </c>
      <c r="Q805" t="s">
        <v>31</v>
      </c>
      <c r="R805" t="s">
        <v>43</v>
      </c>
      <c r="S805" t="s">
        <v>57</v>
      </c>
      <c r="T805">
        <v>5</v>
      </c>
      <c r="U805">
        <v>279.91000000000003</v>
      </c>
      <c r="V805">
        <v>177.61</v>
      </c>
      <c r="W805">
        <v>3</v>
      </c>
      <c r="X805" t="str">
        <f>TEXT(cleaneddata[[#This Row],[Order Date]],"mmm")</f>
        <v>Aug</v>
      </c>
      <c r="Y805">
        <f>cleaneddata[[#This Row],[Unit Price]]*cleaneddata[[#This Row],[Quantity]]*(1-cleaneddata[[#This Row],[Discount %]]/100)</f>
        <v>251.91900000000004</v>
      </c>
      <c r="Z805">
        <f>cleaneddata[[#This Row],[sales]]-cleaneddata[[#This Row],[Cost]]</f>
        <v>74.309000000000026</v>
      </c>
    </row>
    <row r="806" spans="1:26" x14ac:dyDescent="0.3">
      <c r="A806" t="s">
        <v>2168</v>
      </c>
      <c r="B806" s="1">
        <v>46044</v>
      </c>
      <c r="C806" t="s">
        <v>2169</v>
      </c>
      <c r="D806" t="s">
        <v>2977</v>
      </c>
      <c r="E806" s="1">
        <v>46045</v>
      </c>
      <c r="F806" t="s">
        <v>40</v>
      </c>
      <c r="G806" t="s">
        <v>38</v>
      </c>
      <c r="H806" t="s">
        <v>39</v>
      </c>
      <c r="I806" t="s">
        <v>2675</v>
      </c>
      <c r="J806" t="s">
        <v>2710</v>
      </c>
      <c r="K806" t="s">
        <v>52</v>
      </c>
      <c r="L806">
        <v>55</v>
      </c>
      <c r="M806">
        <v>5</v>
      </c>
      <c r="N806">
        <v>20</v>
      </c>
      <c r="O806" t="s">
        <v>296</v>
      </c>
      <c r="P806" t="s">
        <v>33</v>
      </c>
      <c r="Q806" t="s">
        <v>31</v>
      </c>
      <c r="R806" t="s">
        <v>71</v>
      </c>
      <c r="S806" t="s">
        <v>41</v>
      </c>
      <c r="T806">
        <v>1</v>
      </c>
      <c r="U806">
        <v>63.74</v>
      </c>
      <c r="V806">
        <v>156.87</v>
      </c>
      <c r="W806">
        <v>1</v>
      </c>
      <c r="X806" t="str">
        <f>TEXT(cleaneddata[[#This Row],[Order Date]],"mmm")</f>
        <v>Jan</v>
      </c>
      <c r="Y806">
        <f>cleaneddata[[#This Row],[Unit Price]]*cleaneddata[[#This Row],[Quantity]]*(1-cleaneddata[[#This Row],[Discount %]]/100)</f>
        <v>254.96</v>
      </c>
      <c r="Z806">
        <f>cleaneddata[[#This Row],[sales]]-cleaneddata[[#This Row],[Cost]]</f>
        <v>98.09</v>
      </c>
    </row>
    <row r="807" spans="1:26" x14ac:dyDescent="0.3">
      <c r="A807" t="s">
        <v>2170</v>
      </c>
      <c r="B807" s="1">
        <v>45371</v>
      </c>
      <c r="C807" t="s">
        <v>1119</v>
      </c>
      <c r="D807" t="s">
        <v>2976</v>
      </c>
      <c r="E807" s="1">
        <v>45373</v>
      </c>
      <c r="F807" t="s">
        <v>40</v>
      </c>
      <c r="G807" t="s">
        <v>38</v>
      </c>
      <c r="H807" t="s">
        <v>39</v>
      </c>
      <c r="I807" t="s">
        <v>2632</v>
      </c>
      <c r="J807" t="s">
        <v>2645</v>
      </c>
      <c r="K807" t="s">
        <v>25</v>
      </c>
      <c r="L807">
        <v>27</v>
      </c>
      <c r="M807">
        <v>1</v>
      </c>
      <c r="N807">
        <v>10</v>
      </c>
      <c r="O807" t="s">
        <v>989</v>
      </c>
      <c r="P807" t="s">
        <v>75</v>
      </c>
      <c r="Q807" t="s">
        <v>117</v>
      </c>
      <c r="R807" t="s">
        <v>71</v>
      </c>
      <c r="S807" t="s">
        <v>41</v>
      </c>
      <c r="T807">
        <v>3</v>
      </c>
      <c r="U807">
        <v>962.54</v>
      </c>
      <c r="V807">
        <v>520.92999999999995</v>
      </c>
      <c r="W807">
        <v>2</v>
      </c>
      <c r="X807" t="str">
        <f>TEXT(cleaneddata[[#This Row],[Order Date]],"mmm")</f>
        <v>Mar</v>
      </c>
      <c r="Y807">
        <f>cleaneddata[[#This Row],[Unit Price]]*cleaneddata[[#This Row],[Quantity]]*(1-cleaneddata[[#This Row],[Discount %]]/100)</f>
        <v>866.28599999999994</v>
      </c>
      <c r="Z807">
        <f>cleaneddata[[#This Row],[sales]]-cleaneddata[[#This Row],[Cost]]</f>
        <v>345.35599999999999</v>
      </c>
    </row>
    <row r="808" spans="1:26" x14ac:dyDescent="0.3">
      <c r="A808" t="s">
        <v>2171</v>
      </c>
      <c r="B808" s="1">
        <v>45474</v>
      </c>
      <c r="C808" t="s">
        <v>2172</v>
      </c>
      <c r="D808" t="s">
        <v>2975</v>
      </c>
      <c r="E808" s="1">
        <v>45479</v>
      </c>
      <c r="F808" t="s">
        <v>68</v>
      </c>
      <c r="G808" t="s">
        <v>66</v>
      </c>
      <c r="H808" t="s">
        <v>67</v>
      </c>
      <c r="I808" t="s">
        <v>2652</v>
      </c>
      <c r="J808" t="s">
        <v>2688</v>
      </c>
      <c r="K808" t="s">
        <v>25</v>
      </c>
      <c r="L808">
        <v>36</v>
      </c>
      <c r="M808">
        <v>4</v>
      </c>
      <c r="N808">
        <v>25</v>
      </c>
      <c r="O808" t="s">
        <v>2173</v>
      </c>
      <c r="P808" t="s">
        <v>75</v>
      </c>
      <c r="Q808" t="s">
        <v>117</v>
      </c>
      <c r="R808" t="s">
        <v>32</v>
      </c>
      <c r="S808" t="s">
        <v>69</v>
      </c>
      <c r="T808">
        <v>4</v>
      </c>
      <c r="U808">
        <v>815.52</v>
      </c>
      <c r="V808">
        <v>1926.55</v>
      </c>
      <c r="W808">
        <v>5</v>
      </c>
      <c r="X808" t="str">
        <f>TEXT(cleaneddata[[#This Row],[Order Date]],"mmm")</f>
        <v>Jul</v>
      </c>
      <c r="Y808">
        <f>cleaneddata[[#This Row],[Unit Price]]*cleaneddata[[#This Row],[Quantity]]*(1-cleaneddata[[#This Row],[Discount %]]/100)</f>
        <v>2446.56</v>
      </c>
      <c r="Z808">
        <f>cleaneddata[[#This Row],[sales]]-cleaneddata[[#This Row],[Cost]]</f>
        <v>520.01</v>
      </c>
    </row>
    <row r="809" spans="1:26" x14ac:dyDescent="0.3">
      <c r="A809" t="s">
        <v>2174</v>
      </c>
      <c r="B809" s="1">
        <v>45296</v>
      </c>
      <c r="C809" t="s">
        <v>2175</v>
      </c>
      <c r="D809" t="s">
        <v>2974</v>
      </c>
      <c r="E809" s="1">
        <v>45297</v>
      </c>
      <c r="F809" t="s">
        <v>29</v>
      </c>
      <c r="G809" t="s">
        <v>27</v>
      </c>
      <c r="H809" t="s">
        <v>28</v>
      </c>
      <c r="I809" t="s">
        <v>2652</v>
      </c>
      <c r="J809" t="s">
        <v>2706</v>
      </c>
      <c r="K809" t="s">
        <v>52</v>
      </c>
      <c r="L809">
        <v>49</v>
      </c>
      <c r="M809">
        <v>3</v>
      </c>
      <c r="N809">
        <v>20</v>
      </c>
      <c r="O809" t="s">
        <v>1689</v>
      </c>
      <c r="P809" t="s">
        <v>44</v>
      </c>
      <c r="Q809" t="s">
        <v>58</v>
      </c>
      <c r="R809" t="s">
        <v>62</v>
      </c>
      <c r="S809" t="s">
        <v>30</v>
      </c>
      <c r="T809">
        <v>2</v>
      </c>
      <c r="U809">
        <v>185.9</v>
      </c>
      <c r="V809">
        <v>243.33</v>
      </c>
      <c r="W809">
        <v>1</v>
      </c>
      <c r="X809" t="str">
        <f>TEXT(cleaneddata[[#This Row],[Order Date]],"mmm")</f>
        <v>Jan</v>
      </c>
      <c r="Y809">
        <f>cleaneddata[[#This Row],[Unit Price]]*cleaneddata[[#This Row],[Quantity]]*(1-cleaneddata[[#This Row],[Discount %]]/100)</f>
        <v>446.16000000000008</v>
      </c>
      <c r="Z809">
        <f>cleaneddata[[#This Row],[sales]]-cleaneddata[[#This Row],[Cost]]</f>
        <v>202.83000000000007</v>
      </c>
    </row>
    <row r="810" spans="1:26" x14ac:dyDescent="0.3">
      <c r="A810" t="s">
        <v>2176</v>
      </c>
      <c r="B810" s="1">
        <v>46083</v>
      </c>
      <c r="C810" t="s">
        <v>2177</v>
      </c>
      <c r="D810" t="s">
        <v>2973</v>
      </c>
      <c r="E810" s="1">
        <v>46088</v>
      </c>
      <c r="F810" t="s">
        <v>128</v>
      </c>
      <c r="G810" t="s">
        <v>98</v>
      </c>
      <c r="H810" t="s">
        <v>127</v>
      </c>
      <c r="I810" t="s">
        <v>2623</v>
      </c>
      <c r="J810" t="s">
        <v>2624</v>
      </c>
      <c r="K810" t="s">
        <v>25</v>
      </c>
      <c r="L810">
        <v>39</v>
      </c>
      <c r="M810">
        <v>5</v>
      </c>
      <c r="N810">
        <v>5</v>
      </c>
      <c r="O810" t="s">
        <v>637</v>
      </c>
      <c r="P810" t="s">
        <v>75</v>
      </c>
      <c r="Q810" t="s">
        <v>70</v>
      </c>
      <c r="R810" t="s">
        <v>32</v>
      </c>
      <c r="S810" t="s">
        <v>129</v>
      </c>
      <c r="T810">
        <v>4</v>
      </c>
      <c r="U810">
        <v>355.27</v>
      </c>
      <c r="V810">
        <v>1246.6400000000001</v>
      </c>
      <c r="W810">
        <v>5</v>
      </c>
      <c r="X810" t="str">
        <f>TEXT(cleaneddata[[#This Row],[Order Date]],"mmm")</f>
        <v>Mar</v>
      </c>
      <c r="Y810">
        <f>cleaneddata[[#This Row],[Unit Price]]*cleaneddata[[#This Row],[Quantity]]*(1-cleaneddata[[#This Row],[Discount %]]/100)</f>
        <v>1687.5324999999998</v>
      </c>
      <c r="Z810">
        <f>cleaneddata[[#This Row],[sales]]-cleaneddata[[#This Row],[Cost]]</f>
        <v>440.8924999999997</v>
      </c>
    </row>
    <row r="811" spans="1:26" x14ac:dyDescent="0.3">
      <c r="A811" t="s">
        <v>2178</v>
      </c>
      <c r="B811" s="1">
        <v>45868</v>
      </c>
      <c r="C811" t="s">
        <v>2179</v>
      </c>
      <c r="D811" t="s">
        <v>2972</v>
      </c>
      <c r="E811" s="1">
        <v>45869</v>
      </c>
      <c r="F811" t="s">
        <v>56</v>
      </c>
      <c r="G811" t="s">
        <v>54</v>
      </c>
      <c r="H811" t="s">
        <v>55</v>
      </c>
      <c r="I811" t="s">
        <v>2631</v>
      </c>
      <c r="J811" t="s">
        <v>2711</v>
      </c>
      <c r="K811" t="s">
        <v>52</v>
      </c>
      <c r="L811">
        <v>31</v>
      </c>
      <c r="M811">
        <v>3</v>
      </c>
      <c r="N811">
        <v>5</v>
      </c>
      <c r="O811" t="s">
        <v>2127</v>
      </c>
      <c r="P811" t="s">
        <v>44</v>
      </c>
      <c r="Q811" t="s">
        <v>31</v>
      </c>
      <c r="R811" t="s">
        <v>62</v>
      </c>
      <c r="S811" t="s">
        <v>57</v>
      </c>
      <c r="T811">
        <v>3</v>
      </c>
      <c r="U811">
        <v>852.7</v>
      </c>
      <c r="V811">
        <v>1944.86</v>
      </c>
      <c r="W811">
        <v>1</v>
      </c>
      <c r="X811" t="str">
        <f>TEXT(cleaneddata[[#This Row],[Order Date]],"mmm")</f>
        <v>Jul</v>
      </c>
      <c r="Y811">
        <f>cleaneddata[[#This Row],[Unit Price]]*cleaneddata[[#This Row],[Quantity]]*(1-cleaneddata[[#This Row],[Discount %]]/100)</f>
        <v>2430.1950000000002</v>
      </c>
      <c r="Z811">
        <f>cleaneddata[[#This Row],[sales]]-cleaneddata[[#This Row],[Cost]]</f>
        <v>485.33500000000026</v>
      </c>
    </row>
    <row r="812" spans="1:26" x14ac:dyDescent="0.3">
      <c r="A812" t="s">
        <v>2180</v>
      </c>
      <c r="B812" s="1">
        <v>46115</v>
      </c>
      <c r="C812" t="s">
        <v>2181</v>
      </c>
      <c r="D812" t="s">
        <v>2971</v>
      </c>
      <c r="E812" s="1">
        <v>46116</v>
      </c>
      <c r="F812" t="s">
        <v>56</v>
      </c>
      <c r="G812" t="s">
        <v>54</v>
      </c>
      <c r="H812" t="s">
        <v>55</v>
      </c>
      <c r="I812" t="s">
        <v>2679</v>
      </c>
      <c r="J812" t="s">
        <v>2680</v>
      </c>
      <c r="K812" t="s">
        <v>25</v>
      </c>
      <c r="L812">
        <v>32</v>
      </c>
      <c r="M812">
        <v>3</v>
      </c>
      <c r="N812">
        <v>25</v>
      </c>
      <c r="O812" t="s">
        <v>2065</v>
      </c>
      <c r="P812" t="s">
        <v>33</v>
      </c>
      <c r="Q812" t="s">
        <v>42</v>
      </c>
      <c r="R812" t="s">
        <v>32</v>
      </c>
      <c r="S812" t="s">
        <v>57</v>
      </c>
      <c r="T812">
        <v>1</v>
      </c>
      <c r="U812">
        <v>555.61</v>
      </c>
      <c r="V812">
        <v>660.9</v>
      </c>
      <c r="W812">
        <v>1</v>
      </c>
      <c r="X812" t="str">
        <f>TEXT(cleaneddata[[#This Row],[Order Date]],"mmm")</f>
        <v>Apr</v>
      </c>
      <c r="Y812">
        <f>cleaneddata[[#This Row],[Unit Price]]*cleaneddata[[#This Row],[Quantity]]*(1-cleaneddata[[#This Row],[Discount %]]/100)</f>
        <v>1250.1224999999999</v>
      </c>
      <c r="Z812">
        <f>cleaneddata[[#This Row],[sales]]-cleaneddata[[#This Row],[Cost]]</f>
        <v>589.22249999999997</v>
      </c>
    </row>
    <row r="813" spans="1:26" x14ac:dyDescent="0.3">
      <c r="A813" t="s">
        <v>2182</v>
      </c>
      <c r="B813" s="1">
        <v>45572</v>
      </c>
      <c r="C813" t="s">
        <v>2183</v>
      </c>
      <c r="D813" t="s">
        <v>2970</v>
      </c>
      <c r="E813" s="1">
        <v>45579</v>
      </c>
      <c r="F813" t="s">
        <v>68</v>
      </c>
      <c r="G813" t="s">
        <v>66</v>
      </c>
      <c r="H813" t="s">
        <v>67</v>
      </c>
      <c r="I813" t="s">
        <v>2629</v>
      </c>
      <c r="J813" t="s">
        <v>2697</v>
      </c>
      <c r="K813" t="s">
        <v>52</v>
      </c>
      <c r="L813">
        <v>21</v>
      </c>
      <c r="M813">
        <v>1</v>
      </c>
      <c r="N813">
        <v>20</v>
      </c>
      <c r="O813" t="s">
        <v>521</v>
      </c>
      <c r="P813" t="s">
        <v>75</v>
      </c>
      <c r="Q813" t="s">
        <v>70</v>
      </c>
      <c r="R813" t="s">
        <v>32</v>
      </c>
      <c r="S813" t="s">
        <v>69</v>
      </c>
      <c r="T813">
        <v>4</v>
      </c>
      <c r="U813">
        <v>257.57</v>
      </c>
      <c r="V813">
        <v>153.18</v>
      </c>
      <c r="W813">
        <v>7</v>
      </c>
      <c r="X813" t="str">
        <f>TEXT(cleaneddata[[#This Row],[Order Date]],"mmm")</f>
        <v>Oct</v>
      </c>
      <c r="Y813">
        <f>cleaneddata[[#This Row],[Unit Price]]*cleaneddata[[#This Row],[Quantity]]*(1-cleaneddata[[#This Row],[Discount %]]/100)</f>
        <v>206.05600000000001</v>
      </c>
      <c r="Z813">
        <f>cleaneddata[[#This Row],[sales]]-cleaneddata[[#This Row],[Cost]]</f>
        <v>52.876000000000005</v>
      </c>
    </row>
    <row r="814" spans="1:26" x14ac:dyDescent="0.3">
      <c r="A814" t="s">
        <v>2184</v>
      </c>
      <c r="B814" s="1">
        <v>45861</v>
      </c>
      <c r="C814" t="s">
        <v>2185</v>
      </c>
      <c r="D814" t="s">
        <v>2969</v>
      </c>
      <c r="E814" s="1">
        <v>45865</v>
      </c>
      <c r="F814" t="s">
        <v>122</v>
      </c>
      <c r="G814" t="s">
        <v>120</v>
      </c>
      <c r="H814" t="s">
        <v>121</v>
      </c>
      <c r="I814" t="s">
        <v>2629</v>
      </c>
      <c r="J814" t="s">
        <v>2697</v>
      </c>
      <c r="K814" t="s">
        <v>25</v>
      </c>
      <c r="L814">
        <v>40</v>
      </c>
      <c r="M814">
        <v>4</v>
      </c>
      <c r="N814">
        <v>25</v>
      </c>
      <c r="O814" t="s">
        <v>1482</v>
      </c>
      <c r="P814" t="s">
        <v>75</v>
      </c>
      <c r="Q814" t="s">
        <v>117</v>
      </c>
      <c r="R814" t="s">
        <v>43</v>
      </c>
      <c r="S814" t="s">
        <v>123</v>
      </c>
      <c r="T814">
        <v>3</v>
      </c>
      <c r="U814">
        <v>704.57</v>
      </c>
      <c r="V814">
        <v>1157.0899999999999</v>
      </c>
      <c r="W814">
        <v>4</v>
      </c>
      <c r="X814" t="str">
        <f>TEXT(cleaneddata[[#This Row],[Order Date]],"mmm")</f>
        <v>Jul</v>
      </c>
      <c r="Y814">
        <f>cleaneddata[[#This Row],[Unit Price]]*cleaneddata[[#This Row],[Quantity]]*(1-cleaneddata[[#This Row],[Discount %]]/100)</f>
        <v>2113.71</v>
      </c>
      <c r="Z814">
        <f>cleaneddata[[#This Row],[sales]]-cleaneddata[[#This Row],[Cost]]</f>
        <v>956.62000000000012</v>
      </c>
    </row>
    <row r="815" spans="1:26" x14ac:dyDescent="0.3">
      <c r="A815" t="s">
        <v>2186</v>
      </c>
      <c r="B815" s="1">
        <v>46124</v>
      </c>
      <c r="C815" t="s">
        <v>2187</v>
      </c>
      <c r="D815" t="s">
        <v>2968</v>
      </c>
      <c r="E815" s="1">
        <v>46129</v>
      </c>
      <c r="F815" t="s">
        <v>40</v>
      </c>
      <c r="G815" t="s">
        <v>38</v>
      </c>
      <c r="H815" t="s">
        <v>39</v>
      </c>
      <c r="I815" t="s">
        <v>2634</v>
      </c>
      <c r="J815" t="s">
        <v>2714</v>
      </c>
      <c r="K815" t="s">
        <v>52</v>
      </c>
      <c r="L815">
        <v>24</v>
      </c>
      <c r="M815">
        <v>5</v>
      </c>
      <c r="N815">
        <v>0</v>
      </c>
      <c r="O815" t="s">
        <v>1161</v>
      </c>
      <c r="P815" t="s">
        <v>33</v>
      </c>
      <c r="Q815" t="s">
        <v>70</v>
      </c>
      <c r="R815" t="s">
        <v>71</v>
      </c>
      <c r="S815" t="s">
        <v>41</v>
      </c>
      <c r="T815">
        <v>5</v>
      </c>
      <c r="U815">
        <v>973.07</v>
      </c>
      <c r="V815">
        <v>2724.53</v>
      </c>
      <c r="W815">
        <v>5</v>
      </c>
      <c r="X815" t="str">
        <f>TEXT(cleaneddata[[#This Row],[Order Date]],"mmm")</f>
        <v>Apr</v>
      </c>
      <c r="Y815">
        <f>cleaneddata[[#This Row],[Unit Price]]*cleaneddata[[#This Row],[Quantity]]*(1-cleaneddata[[#This Row],[Discount %]]/100)</f>
        <v>4865.3500000000004</v>
      </c>
      <c r="Z815">
        <f>cleaneddata[[#This Row],[sales]]-cleaneddata[[#This Row],[Cost]]</f>
        <v>2140.8200000000002</v>
      </c>
    </row>
    <row r="816" spans="1:26" x14ac:dyDescent="0.3">
      <c r="A816" t="s">
        <v>2188</v>
      </c>
      <c r="B816" s="1">
        <v>45839</v>
      </c>
      <c r="C816" t="s">
        <v>2189</v>
      </c>
      <c r="D816" t="s">
        <v>2967</v>
      </c>
      <c r="E816" s="1">
        <v>45842</v>
      </c>
      <c r="F816" t="s">
        <v>56</v>
      </c>
      <c r="G816" t="s">
        <v>54</v>
      </c>
      <c r="H816" t="s">
        <v>55</v>
      </c>
      <c r="I816" t="s">
        <v>2656</v>
      </c>
      <c r="J816" t="s">
        <v>2712</v>
      </c>
      <c r="K816" t="s">
        <v>52</v>
      </c>
      <c r="L816">
        <v>21</v>
      </c>
      <c r="M816">
        <v>3</v>
      </c>
      <c r="N816">
        <v>25</v>
      </c>
      <c r="O816" t="s">
        <v>771</v>
      </c>
      <c r="P816" t="s">
        <v>33</v>
      </c>
      <c r="Q816" t="s">
        <v>70</v>
      </c>
      <c r="R816" t="s">
        <v>43</v>
      </c>
      <c r="S816" t="s">
        <v>57</v>
      </c>
      <c r="T816">
        <v>2</v>
      </c>
      <c r="U816">
        <v>204.31</v>
      </c>
      <c r="V816">
        <v>242.68</v>
      </c>
      <c r="W816">
        <v>3</v>
      </c>
      <c r="X816" t="str">
        <f>TEXT(cleaneddata[[#This Row],[Order Date]],"mmm")</f>
        <v>Jul</v>
      </c>
      <c r="Y816">
        <f>cleaneddata[[#This Row],[Unit Price]]*cleaneddata[[#This Row],[Quantity]]*(1-cleaneddata[[#This Row],[Discount %]]/100)</f>
        <v>459.69750000000005</v>
      </c>
      <c r="Z816">
        <f>cleaneddata[[#This Row],[sales]]-cleaneddata[[#This Row],[Cost]]</f>
        <v>217.01750000000004</v>
      </c>
    </row>
    <row r="817" spans="1:26" x14ac:dyDescent="0.3">
      <c r="A817" t="s">
        <v>2190</v>
      </c>
      <c r="B817" s="1">
        <v>45988</v>
      </c>
      <c r="C817" t="s">
        <v>2191</v>
      </c>
      <c r="D817" t="s">
        <v>2966</v>
      </c>
      <c r="E817" s="1">
        <v>45995</v>
      </c>
      <c r="F817" t="s">
        <v>29</v>
      </c>
      <c r="G817" t="s">
        <v>27</v>
      </c>
      <c r="H817" t="s">
        <v>28</v>
      </c>
      <c r="I817" t="s">
        <v>2661</v>
      </c>
      <c r="J817" t="s">
        <v>2700</v>
      </c>
      <c r="K817" t="s">
        <v>52</v>
      </c>
      <c r="L817">
        <v>21</v>
      </c>
      <c r="M817">
        <v>2</v>
      </c>
      <c r="N817">
        <v>5</v>
      </c>
      <c r="O817" t="s">
        <v>2192</v>
      </c>
      <c r="P817" t="s">
        <v>33</v>
      </c>
      <c r="Q817" t="s">
        <v>42</v>
      </c>
      <c r="R817" t="s">
        <v>62</v>
      </c>
      <c r="S817" t="s">
        <v>30</v>
      </c>
      <c r="T817">
        <v>2</v>
      </c>
      <c r="U817">
        <v>980.59</v>
      </c>
      <c r="V817">
        <v>1042.8599999999999</v>
      </c>
      <c r="W817">
        <v>7</v>
      </c>
      <c r="X817" t="str">
        <f>TEXT(cleaneddata[[#This Row],[Order Date]],"mmm")</f>
        <v>Nov</v>
      </c>
      <c r="Y817">
        <f>cleaneddata[[#This Row],[Unit Price]]*cleaneddata[[#This Row],[Quantity]]*(1-cleaneddata[[#This Row],[Discount %]]/100)</f>
        <v>1863.1209999999999</v>
      </c>
      <c r="Z817">
        <f>cleaneddata[[#This Row],[sales]]-cleaneddata[[#This Row],[Cost]]</f>
        <v>820.26099999999997</v>
      </c>
    </row>
    <row r="818" spans="1:26" x14ac:dyDescent="0.3">
      <c r="A818" t="s">
        <v>2193</v>
      </c>
      <c r="B818" s="1">
        <v>45781</v>
      </c>
      <c r="C818" t="s">
        <v>2194</v>
      </c>
      <c r="D818" t="s">
        <v>2965</v>
      </c>
      <c r="E818" s="1">
        <v>45782</v>
      </c>
      <c r="F818" t="s">
        <v>29</v>
      </c>
      <c r="G818" t="s">
        <v>27</v>
      </c>
      <c r="H818" t="s">
        <v>28</v>
      </c>
      <c r="I818" t="s">
        <v>2679</v>
      </c>
      <c r="J818" t="s">
        <v>2707</v>
      </c>
      <c r="K818" t="s">
        <v>52</v>
      </c>
      <c r="L818">
        <v>25</v>
      </c>
      <c r="M818">
        <v>4</v>
      </c>
      <c r="N818">
        <v>10</v>
      </c>
      <c r="O818" t="s">
        <v>1055</v>
      </c>
      <c r="P818" t="s">
        <v>75</v>
      </c>
      <c r="Q818" t="s">
        <v>31</v>
      </c>
      <c r="R818" t="s">
        <v>71</v>
      </c>
      <c r="S818" t="s">
        <v>30</v>
      </c>
      <c r="T818">
        <v>2</v>
      </c>
      <c r="U818">
        <v>620.63</v>
      </c>
      <c r="V818">
        <v>1710.12</v>
      </c>
      <c r="W818">
        <v>1</v>
      </c>
      <c r="X818" t="str">
        <f>TEXT(cleaneddata[[#This Row],[Order Date]],"mmm")</f>
        <v>May</v>
      </c>
      <c r="Y818">
        <f>cleaneddata[[#This Row],[Unit Price]]*cleaneddata[[#This Row],[Quantity]]*(1-cleaneddata[[#This Row],[Discount %]]/100)</f>
        <v>2234.268</v>
      </c>
      <c r="Z818">
        <f>cleaneddata[[#This Row],[sales]]-cleaneddata[[#This Row],[Cost]]</f>
        <v>524.14800000000014</v>
      </c>
    </row>
    <row r="819" spans="1:26" x14ac:dyDescent="0.3">
      <c r="A819" t="s">
        <v>2195</v>
      </c>
      <c r="B819" s="1">
        <v>45907</v>
      </c>
      <c r="C819" t="s">
        <v>2196</v>
      </c>
      <c r="D819" t="s">
        <v>2964</v>
      </c>
      <c r="E819" s="1">
        <v>45910</v>
      </c>
      <c r="F819" t="s">
        <v>122</v>
      </c>
      <c r="G819" t="s">
        <v>120</v>
      </c>
      <c r="H819" t="s">
        <v>121</v>
      </c>
      <c r="I819" t="s">
        <v>2661</v>
      </c>
      <c r="J819" t="s">
        <v>2700</v>
      </c>
      <c r="K819" t="s">
        <v>52</v>
      </c>
      <c r="L819">
        <v>45</v>
      </c>
      <c r="M819">
        <v>4</v>
      </c>
      <c r="N819">
        <v>5</v>
      </c>
      <c r="O819" t="s">
        <v>2135</v>
      </c>
      <c r="P819" t="s">
        <v>33</v>
      </c>
      <c r="Q819" t="s">
        <v>31</v>
      </c>
      <c r="R819" t="s">
        <v>43</v>
      </c>
      <c r="S819" t="s">
        <v>123</v>
      </c>
      <c r="T819">
        <v>1</v>
      </c>
      <c r="U819">
        <v>560.63</v>
      </c>
      <c r="V819">
        <v>1491.85</v>
      </c>
      <c r="W819">
        <v>3</v>
      </c>
      <c r="X819" t="str">
        <f>TEXT(cleaneddata[[#This Row],[Order Date]],"mmm")</f>
        <v>Sep</v>
      </c>
      <c r="Y819">
        <f>cleaneddata[[#This Row],[Unit Price]]*cleaneddata[[#This Row],[Quantity]]*(1-cleaneddata[[#This Row],[Discount %]]/100)</f>
        <v>2130.3939999999998</v>
      </c>
      <c r="Z819">
        <f>cleaneddata[[#This Row],[sales]]-cleaneddata[[#This Row],[Cost]]</f>
        <v>638.54399999999987</v>
      </c>
    </row>
    <row r="820" spans="1:26" x14ac:dyDescent="0.3">
      <c r="A820" t="s">
        <v>2197</v>
      </c>
      <c r="B820" s="1">
        <v>45962</v>
      </c>
      <c r="C820" t="s">
        <v>2198</v>
      </c>
      <c r="D820" t="s">
        <v>2963</v>
      </c>
      <c r="E820" s="1">
        <v>45969</v>
      </c>
      <c r="F820" t="s">
        <v>140</v>
      </c>
      <c r="G820" t="s">
        <v>38</v>
      </c>
      <c r="H820" t="s">
        <v>139</v>
      </c>
      <c r="I820" t="s">
        <v>2625</v>
      </c>
      <c r="J820" t="s">
        <v>2667</v>
      </c>
      <c r="K820" t="s">
        <v>25</v>
      </c>
      <c r="L820">
        <v>57</v>
      </c>
      <c r="M820">
        <v>5</v>
      </c>
      <c r="N820">
        <v>0</v>
      </c>
      <c r="O820" t="s">
        <v>2199</v>
      </c>
      <c r="P820" t="s">
        <v>33</v>
      </c>
      <c r="Q820" t="s">
        <v>70</v>
      </c>
      <c r="R820" t="s">
        <v>62</v>
      </c>
      <c r="S820" t="s">
        <v>141</v>
      </c>
      <c r="T820">
        <v>2</v>
      </c>
      <c r="U820">
        <v>220.23</v>
      </c>
      <c r="V820">
        <v>660.56</v>
      </c>
      <c r="W820">
        <v>7</v>
      </c>
      <c r="X820" t="str">
        <f>TEXT(cleaneddata[[#This Row],[Order Date]],"mmm")</f>
        <v>Nov</v>
      </c>
      <c r="Y820">
        <f>cleaneddata[[#This Row],[Unit Price]]*cleaneddata[[#This Row],[Quantity]]*(1-cleaneddata[[#This Row],[Discount %]]/100)</f>
        <v>1101.1499999999999</v>
      </c>
      <c r="Z820">
        <f>cleaneddata[[#This Row],[sales]]-cleaneddata[[#This Row],[Cost]]</f>
        <v>440.58999999999992</v>
      </c>
    </row>
    <row r="821" spans="1:26" x14ac:dyDescent="0.3">
      <c r="A821" t="s">
        <v>2200</v>
      </c>
      <c r="B821" s="1">
        <v>45528</v>
      </c>
      <c r="C821" t="s">
        <v>2201</v>
      </c>
      <c r="D821" t="s">
        <v>2962</v>
      </c>
      <c r="E821" s="1">
        <v>45531</v>
      </c>
      <c r="F821" t="s">
        <v>29</v>
      </c>
      <c r="G821" t="s">
        <v>27</v>
      </c>
      <c r="H821" t="s">
        <v>28</v>
      </c>
      <c r="I821" t="s">
        <v>2622</v>
      </c>
      <c r="J821" t="s">
        <v>2686</v>
      </c>
      <c r="K821" t="s">
        <v>25</v>
      </c>
      <c r="L821">
        <v>64</v>
      </c>
      <c r="M821">
        <v>5</v>
      </c>
      <c r="N821">
        <v>5</v>
      </c>
      <c r="O821" t="s">
        <v>2202</v>
      </c>
      <c r="P821" t="s">
        <v>75</v>
      </c>
      <c r="Q821" t="s">
        <v>31</v>
      </c>
      <c r="R821" t="s">
        <v>32</v>
      </c>
      <c r="S821" t="s">
        <v>30</v>
      </c>
      <c r="T821">
        <v>3</v>
      </c>
      <c r="U821">
        <v>704.21</v>
      </c>
      <c r="V821">
        <v>2405.4699999999998</v>
      </c>
      <c r="W821">
        <v>3</v>
      </c>
      <c r="X821" t="str">
        <f>TEXT(cleaneddata[[#This Row],[Order Date]],"mmm")</f>
        <v>Aug</v>
      </c>
      <c r="Y821">
        <f>cleaneddata[[#This Row],[Unit Price]]*cleaneddata[[#This Row],[Quantity]]*(1-cleaneddata[[#This Row],[Discount %]]/100)</f>
        <v>3344.9974999999999</v>
      </c>
      <c r="Z821">
        <f>cleaneddata[[#This Row],[sales]]-cleaneddata[[#This Row],[Cost]]</f>
        <v>939.52750000000015</v>
      </c>
    </row>
    <row r="822" spans="1:26" x14ac:dyDescent="0.3">
      <c r="A822" t="s">
        <v>2203</v>
      </c>
      <c r="B822" s="1">
        <v>45413</v>
      </c>
      <c r="C822" t="s">
        <v>1002</v>
      </c>
      <c r="D822" t="s">
        <v>2961</v>
      </c>
      <c r="E822" s="1">
        <v>45419</v>
      </c>
      <c r="F822" t="s">
        <v>128</v>
      </c>
      <c r="G822" t="s">
        <v>98</v>
      </c>
      <c r="H822" t="s">
        <v>127</v>
      </c>
      <c r="I822" t="s">
        <v>2623</v>
      </c>
      <c r="J822" t="s">
        <v>2691</v>
      </c>
      <c r="K822" t="s">
        <v>52</v>
      </c>
      <c r="L822">
        <v>31</v>
      </c>
      <c r="M822">
        <v>3</v>
      </c>
      <c r="N822">
        <v>20</v>
      </c>
      <c r="O822" t="s">
        <v>2204</v>
      </c>
      <c r="P822" t="s">
        <v>44</v>
      </c>
      <c r="Q822" t="s">
        <v>70</v>
      </c>
      <c r="R822" t="s">
        <v>43</v>
      </c>
      <c r="S822" t="s">
        <v>129</v>
      </c>
      <c r="T822">
        <v>3</v>
      </c>
      <c r="U822">
        <v>500.85</v>
      </c>
      <c r="V822">
        <v>795.69</v>
      </c>
      <c r="W822">
        <v>6</v>
      </c>
      <c r="X822" t="str">
        <f>TEXT(cleaneddata[[#This Row],[Order Date]],"mmm")</f>
        <v>May</v>
      </c>
      <c r="Y822">
        <f>cleaneddata[[#This Row],[Unit Price]]*cleaneddata[[#This Row],[Quantity]]*(1-cleaneddata[[#This Row],[Discount %]]/100)</f>
        <v>1202.0400000000002</v>
      </c>
      <c r="Z822">
        <f>cleaneddata[[#This Row],[sales]]-cleaneddata[[#This Row],[Cost]]</f>
        <v>406.35000000000014</v>
      </c>
    </row>
    <row r="823" spans="1:26" x14ac:dyDescent="0.3">
      <c r="A823" t="s">
        <v>2205</v>
      </c>
      <c r="B823" s="1">
        <v>45405</v>
      </c>
      <c r="C823" t="s">
        <v>2206</v>
      </c>
      <c r="D823" t="s">
        <v>2960</v>
      </c>
      <c r="E823" s="1">
        <v>45407</v>
      </c>
      <c r="F823" t="s">
        <v>100</v>
      </c>
      <c r="G823" t="s">
        <v>98</v>
      </c>
      <c r="H823" t="s">
        <v>99</v>
      </c>
      <c r="I823" t="s">
        <v>2663</v>
      </c>
      <c r="J823" t="s">
        <v>2670</v>
      </c>
      <c r="K823" t="s">
        <v>25</v>
      </c>
      <c r="L823">
        <v>38</v>
      </c>
      <c r="M823">
        <v>5</v>
      </c>
      <c r="N823">
        <v>10</v>
      </c>
      <c r="O823" t="s">
        <v>1099</v>
      </c>
      <c r="P823" t="s">
        <v>44</v>
      </c>
      <c r="Q823" t="s">
        <v>117</v>
      </c>
      <c r="R823" t="s">
        <v>43</v>
      </c>
      <c r="S823" t="s">
        <v>101</v>
      </c>
      <c r="T823">
        <v>5</v>
      </c>
      <c r="U823">
        <v>751.5</v>
      </c>
      <c r="V823">
        <v>2151.2600000000002</v>
      </c>
      <c r="W823">
        <v>2</v>
      </c>
      <c r="X823" t="str">
        <f>TEXT(cleaneddata[[#This Row],[Order Date]],"mmm")</f>
        <v>Apr</v>
      </c>
      <c r="Y823">
        <f>cleaneddata[[#This Row],[Unit Price]]*cleaneddata[[#This Row],[Quantity]]*(1-cleaneddata[[#This Row],[Discount %]]/100)</f>
        <v>3381.75</v>
      </c>
      <c r="Z823">
        <f>cleaneddata[[#This Row],[sales]]-cleaneddata[[#This Row],[Cost]]</f>
        <v>1230.4899999999998</v>
      </c>
    </row>
    <row r="824" spans="1:26" x14ac:dyDescent="0.3">
      <c r="A824" t="s">
        <v>2207</v>
      </c>
      <c r="B824" s="1">
        <v>46188</v>
      </c>
      <c r="C824" t="s">
        <v>2208</v>
      </c>
      <c r="D824" t="s">
        <v>2959</v>
      </c>
      <c r="E824" s="1">
        <v>46191</v>
      </c>
      <c r="F824" t="s">
        <v>100</v>
      </c>
      <c r="G824" t="s">
        <v>98</v>
      </c>
      <c r="H824" t="s">
        <v>99</v>
      </c>
      <c r="I824" t="s">
        <v>2639</v>
      </c>
      <c r="J824" t="s">
        <v>2704</v>
      </c>
      <c r="K824" t="s">
        <v>25</v>
      </c>
      <c r="L824">
        <v>56</v>
      </c>
      <c r="M824">
        <v>2</v>
      </c>
      <c r="N824">
        <v>30</v>
      </c>
      <c r="O824" t="s">
        <v>1926</v>
      </c>
      <c r="P824" t="s">
        <v>75</v>
      </c>
      <c r="Q824" t="s">
        <v>117</v>
      </c>
      <c r="R824" t="s">
        <v>62</v>
      </c>
      <c r="S824" t="s">
        <v>101</v>
      </c>
      <c r="T824">
        <v>5</v>
      </c>
      <c r="U824">
        <v>441.65</v>
      </c>
      <c r="V824">
        <v>398.58</v>
      </c>
      <c r="W824">
        <v>3</v>
      </c>
      <c r="X824" t="str">
        <f>TEXT(cleaneddata[[#This Row],[Order Date]],"mmm")</f>
        <v>Jun</v>
      </c>
      <c r="Y824">
        <f>cleaneddata[[#This Row],[Unit Price]]*cleaneddata[[#This Row],[Quantity]]*(1-cleaneddata[[#This Row],[Discount %]]/100)</f>
        <v>618.30999999999995</v>
      </c>
      <c r="Z824">
        <f>cleaneddata[[#This Row],[sales]]-cleaneddata[[#This Row],[Cost]]</f>
        <v>219.72999999999996</v>
      </c>
    </row>
    <row r="825" spans="1:26" x14ac:dyDescent="0.3">
      <c r="A825" t="s">
        <v>2209</v>
      </c>
      <c r="B825" s="1">
        <v>45790</v>
      </c>
      <c r="C825" t="s">
        <v>1113</v>
      </c>
      <c r="D825" t="s">
        <v>2958</v>
      </c>
      <c r="E825" s="1">
        <v>45795</v>
      </c>
      <c r="F825" t="s">
        <v>56</v>
      </c>
      <c r="G825" t="s">
        <v>54</v>
      </c>
      <c r="H825" t="s">
        <v>55</v>
      </c>
      <c r="I825" t="s">
        <v>2663</v>
      </c>
      <c r="J825" t="s">
        <v>2664</v>
      </c>
      <c r="K825" t="s">
        <v>25</v>
      </c>
      <c r="L825">
        <v>56</v>
      </c>
      <c r="M825">
        <v>4</v>
      </c>
      <c r="N825">
        <v>0</v>
      </c>
      <c r="O825" t="s">
        <v>874</v>
      </c>
      <c r="P825" t="s">
        <v>33</v>
      </c>
      <c r="Q825" t="s">
        <v>70</v>
      </c>
      <c r="R825" t="s">
        <v>43</v>
      </c>
      <c r="S825" t="s">
        <v>57</v>
      </c>
      <c r="T825">
        <v>4</v>
      </c>
      <c r="U825">
        <v>984.22</v>
      </c>
      <c r="V825">
        <v>2004.19</v>
      </c>
      <c r="W825">
        <v>5</v>
      </c>
      <c r="X825" t="str">
        <f>TEXT(cleaneddata[[#This Row],[Order Date]],"mmm")</f>
        <v>May</v>
      </c>
      <c r="Y825">
        <f>cleaneddata[[#This Row],[Unit Price]]*cleaneddata[[#This Row],[Quantity]]*(1-cleaneddata[[#This Row],[Discount %]]/100)</f>
        <v>3936.88</v>
      </c>
      <c r="Z825">
        <f>cleaneddata[[#This Row],[sales]]-cleaneddata[[#This Row],[Cost]]</f>
        <v>1932.69</v>
      </c>
    </row>
    <row r="826" spans="1:26" x14ac:dyDescent="0.3">
      <c r="A826" t="s">
        <v>2210</v>
      </c>
      <c r="B826" s="1">
        <v>45295</v>
      </c>
      <c r="C826" t="s">
        <v>2211</v>
      </c>
      <c r="D826" t="s">
        <v>2737</v>
      </c>
      <c r="E826" s="1">
        <v>45297</v>
      </c>
      <c r="F826" t="s">
        <v>122</v>
      </c>
      <c r="G826" t="s">
        <v>120</v>
      </c>
      <c r="H826" t="s">
        <v>121</v>
      </c>
      <c r="I826" t="s">
        <v>2637</v>
      </c>
      <c r="J826" t="s">
        <v>2638</v>
      </c>
      <c r="K826" t="s">
        <v>52</v>
      </c>
      <c r="L826">
        <v>18</v>
      </c>
      <c r="M826">
        <v>5</v>
      </c>
      <c r="N826">
        <v>25</v>
      </c>
      <c r="O826" t="s">
        <v>515</v>
      </c>
      <c r="P826" t="s">
        <v>33</v>
      </c>
      <c r="Q826" t="s">
        <v>58</v>
      </c>
      <c r="R826" t="s">
        <v>71</v>
      </c>
      <c r="S826" t="s">
        <v>123</v>
      </c>
      <c r="T826">
        <v>1</v>
      </c>
      <c r="U826">
        <v>749.03</v>
      </c>
      <c r="V826">
        <v>2308.09</v>
      </c>
      <c r="W826">
        <v>2</v>
      </c>
      <c r="X826" t="str">
        <f>TEXT(cleaneddata[[#This Row],[Order Date]],"mmm")</f>
        <v>Jan</v>
      </c>
      <c r="Y826">
        <f>cleaneddata[[#This Row],[Unit Price]]*cleaneddata[[#This Row],[Quantity]]*(1-cleaneddata[[#This Row],[Discount %]]/100)</f>
        <v>2808.8624999999997</v>
      </c>
      <c r="Z826">
        <f>cleaneddata[[#This Row],[sales]]-cleaneddata[[#This Row],[Cost]]</f>
        <v>500.77249999999958</v>
      </c>
    </row>
    <row r="827" spans="1:26" x14ac:dyDescent="0.3">
      <c r="A827" t="s">
        <v>2212</v>
      </c>
      <c r="B827" s="1">
        <v>46089</v>
      </c>
      <c r="C827" t="s">
        <v>2213</v>
      </c>
      <c r="D827" t="s">
        <v>2736</v>
      </c>
      <c r="E827" s="1">
        <v>46093</v>
      </c>
      <c r="F827" t="s">
        <v>40</v>
      </c>
      <c r="G827" t="s">
        <v>38</v>
      </c>
      <c r="H827" t="s">
        <v>39</v>
      </c>
      <c r="I827" t="s">
        <v>2631</v>
      </c>
      <c r="J827" t="s">
        <v>2711</v>
      </c>
      <c r="K827" t="s">
        <v>25</v>
      </c>
      <c r="L827">
        <v>33</v>
      </c>
      <c r="M827">
        <v>5</v>
      </c>
      <c r="N827">
        <v>5</v>
      </c>
      <c r="O827" t="s">
        <v>2081</v>
      </c>
      <c r="P827" t="s">
        <v>75</v>
      </c>
      <c r="Q827" t="s">
        <v>70</v>
      </c>
      <c r="R827" t="s">
        <v>62</v>
      </c>
      <c r="S827" t="s">
        <v>41</v>
      </c>
      <c r="T827">
        <v>1</v>
      </c>
      <c r="U827">
        <v>601.1</v>
      </c>
      <c r="V827">
        <v>1949.41</v>
      </c>
      <c r="W827">
        <v>4</v>
      </c>
      <c r="X827" t="str">
        <f>TEXT(cleaneddata[[#This Row],[Order Date]],"mmm")</f>
        <v>Mar</v>
      </c>
      <c r="Y827">
        <f>cleaneddata[[#This Row],[Unit Price]]*cleaneddata[[#This Row],[Quantity]]*(1-cleaneddata[[#This Row],[Discount %]]/100)</f>
        <v>2855.2249999999999</v>
      </c>
      <c r="Z827">
        <f>cleaneddata[[#This Row],[sales]]-cleaneddata[[#This Row],[Cost]]</f>
        <v>905.81499999999983</v>
      </c>
    </row>
    <row r="828" spans="1:26" x14ac:dyDescent="0.3">
      <c r="A828" t="s">
        <v>2214</v>
      </c>
      <c r="B828" s="1">
        <v>45565</v>
      </c>
      <c r="C828" t="s">
        <v>2215</v>
      </c>
      <c r="D828" t="s">
        <v>2735</v>
      </c>
      <c r="E828" s="1">
        <v>45566</v>
      </c>
      <c r="F828" t="s">
        <v>115</v>
      </c>
      <c r="G828" t="s">
        <v>66</v>
      </c>
      <c r="H828" t="s">
        <v>114</v>
      </c>
      <c r="I828" t="s">
        <v>2654</v>
      </c>
      <c r="J828" t="s">
        <v>2702</v>
      </c>
      <c r="K828" t="s">
        <v>52</v>
      </c>
      <c r="L828">
        <v>56</v>
      </c>
      <c r="M828">
        <v>3</v>
      </c>
      <c r="N828">
        <v>5</v>
      </c>
      <c r="O828" t="s">
        <v>2216</v>
      </c>
      <c r="P828" t="s">
        <v>44</v>
      </c>
      <c r="Q828" t="s">
        <v>31</v>
      </c>
      <c r="R828" t="s">
        <v>62</v>
      </c>
      <c r="S828" t="s">
        <v>116</v>
      </c>
      <c r="T828">
        <v>1</v>
      </c>
      <c r="U828">
        <v>397.06</v>
      </c>
      <c r="V828">
        <v>878.77</v>
      </c>
      <c r="W828">
        <v>1</v>
      </c>
      <c r="X828" t="str">
        <f>TEXT(cleaneddata[[#This Row],[Order Date]],"mmm")</f>
        <v>Sep</v>
      </c>
      <c r="Y828">
        <f>cleaneddata[[#This Row],[Unit Price]]*cleaneddata[[#This Row],[Quantity]]*(1-cleaneddata[[#This Row],[Discount %]]/100)</f>
        <v>1131.6210000000001</v>
      </c>
      <c r="Z828">
        <f>cleaneddata[[#This Row],[sales]]-cleaneddata[[#This Row],[Cost]]</f>
        <v>252.85100000000011</v>
      </c>
    </row>
    <row r="829" spans="1:26" x14ac:dyDescent="0.3">
      <c r="A829" t="s">
        <v>2217</v>
      </c>
      <c r="B829" s="1">
        <v>45596</v>
      </c>
      <c r="C829" t="s">
        <v>2218</v>
      </c>
      <c r="D829" t="s">
        <v>2734</v>
      </c>
      <c r="E829" s="1">
        <v>45597</v>
      </c>
      <c r="F829" t="s">
        <v>128</v>
      </c>
      <c r="G829" t="s">
        <v>98</v>
      </c>
      <c r="H829" t="s">
        <v>127</v>
      </c>
      <c r="I829" t="s">
        <v>2654</v>
      </c>
      <c r="J829" t="s">
        <v>2655</v>
      </c>
      <c r="K829" t="s">
        <v>25</v>
      </c>
      <c r="L829">
        <v>51</v>
      </c>
      <c r="M829">
        <v>5</v>
      </c>
      <c r="N829">
        <v>0</v>
      </c>
      <c r="O829" t="s">
        <v>2219</v>
      </c>
      <c r="P829" t="s">
        <v>44</v>
      </c>
      <c r="Q829" t="s">
        <v>70</v>
      </c>
      <c r="R829" t="s">
        <v>43</v>
      </c>
      <c r="S829" t="s">
        <v>129</v>
      </c>
      <c r="T829">
        <v>1</v>
      </c>
      <c r="U829">
        <v>126.68</v>
      </c>
      <c r="V829">
        <v>362.03</v>
      </c>
      <c r="W829">
        <v>1</v>
      </c>
      <c r="X829" t="str">
        <f>TEXT(cleaneddata[[#This Row],[Order Date]],"mmm")</f>
        <v>Oct</v>
      </c>
      <c r="Y829">
        <f>cleaneddata[[#This Row],[Unit Price]]*cleaneddata[[#This Row],[Quantity]]*(1-cleaneddata[[#This Row],[Discount %]]/100)</f>
        <v>633.40000000000009</v>
      </c>
      <c r="Z829">
        <f>cleaneddata[[#This Row],[sales]]-cleaneddata[[#This Row],[Cost]]</f>
        <v>271.37000000000012</v>
      </c>
    </row>
    <row r="830" spans="1:26" x14ac:dyDescent="0.3">
      <c r="A830" t="s">
        <v>2220</v>
      </c>
      <c r="B830" s="1">
        <v>45868</v>
      </c>
      <c r="C830" t="s">
        <v>2221</v>
      </c>
      <c r="D830" t="s">
        <v>2957</v>
      </c>
      <c r="E830" s="1">
        <v>45872</v>
      </c>
      <c r="F830" t="s">
        <v>56</v>
      </c>
      <c r="G830" t="s">
        <v>54</v>
      </c>
      <c r="H830" t="s">
        <v>55</v>
      </c>
      <c r="I830" t="s">
        <v>2679</v>
      </c>
      <c r="J830" t="s">
        <v>2680</v>
      </c>
      <c r="K830" t="s">
        <v>25</v>
      </c>
      <c r="L830">
        <v>25</v>
      </c>
      <c r="M830">
        <v>5</v>
      </c>
      <c r="N830">
        <v>15</v>
      </c>
      <c r="O830" t="s">
        <v>945</v>
      </c>
      <c r="P830" t="s">
        <v>44</v>
      </c>
      <c r="Q830" t="s">
        <v>42</v>
      </c>
      <c r="R830" t="s">
        <v>71</v>
      </c>
      <c r="S830" t="s">
        <v>57</v>
      </c>
      <c r="T830">
        <v>4</v>
      </c>
      <c r="U830">
        <v>655.23</v>
      </c>
      <c r="V830">
        <v>1657.49</v>
      </c>
      <c r="W830">
        <v>4</v>
      </c>
      <c r="X830" t="str">
        <f>TEXT(cleaneddata[[#This Row],[Order Date]],"mmm")</f>
        <v>Jul</v>
      </c>
      <c r="Y830">
        <f>cleaneddata[[#This Row],[Unit Price]]*cleaneddata[[#This Row],[Quantity]]*(1-cleaneddata[[#This Row],[Discount %]]/100)</f>
        <v>2784.7275</v>
      </c>
      <c r="Z830">
        <f>cleaneddata[[#This Row],[sales]]-cleaneddata[[#This Row],[Cost]]</f>
        <v>1127.2375</v>
      </c>
    </row>
    <row r="831" spans="1:26" x14ac:dyDescent="0.3">
      <c r="A831" t="s">
        <v>2222</v>
      </c>
      <c r="B831" s="1">
        <v>45508</v>
      </c>
      <c r="C831" t="s">
        <v>2223</v>
      </c>
      <c r="D831" t="s">
        <v>2956</v>
      </c>
      <c r="E831" s="1">
        <v>45509</v>
      </c>
      <c r="F831" t="s">
        <v>140</v>
      </c>
      <c r="G831" t="s">
        <v>38</v>
      </c>
      <c r="H831" t="s">
        <v>139</v>
      </c>
      <c r="I831" t="s">
        <v>2625</v>
      </c>
      <c r="J831" t="s">
        <v>2703</v>
      </c>
      <c r="K831" t="s">
        <v>25</v>
      </c>
      <c r="L831">
        <v>26</v>
      </c>
      <c r="M831">
        <v>3</v>
      </c>
      <c r="N831">
        <v>20</v>
      </c>
      <c r="O831" t="s">
        <v>2224</v>
      </c>
      <c r="P831" t="s">
        <v>33</v>
      </c>
      <c r="Q831" t="s">
        <v>70</v>
      </c>
      <c r="R831" t="s">
        <v>43</v>
      </c>
      <c r="S831" t="s">
        <v>141</v>
      </c>
      <c r="T831">
        <v>4</v>
      </c>
      <c r="U831">
        <v>725.16</v>
      </c>
      <c r="V831">
        <v>1311.93</v>
      </c>
      <c r="W831">
        <v>1</v>
      </c>
      <c r="X831" t="str">
        <f>TEXT(cleaneddata[[#This Row],[Order Date]],"mmm")</f>
        <v>Aug</v>
      </c>
      <c r="Y831">
        <f>cleaneddata[[#This Row],[Unit Price]]*cleaneddata[[#This Row],[Quantity]]*(1-cleaneddata[[#This Row],[Discount %]]/100)</f>
        <v>1740.384</v>
      </c>
      <c r="Z831">
        <f>cleaneddata[[#This Row],[sales]]-cleaneddata[[#This Row],[Cost]]</f>
        <v>428.45399999999995</v>
      </c>
    </row>
    <row r="832" spans="1:26" x14ac:dyDescent="0.3">
      <c r="A832" t="s">
        <v>2225</v>
      </c>
      <c r="B832" s="1">
        <v>45486</v>
      </c>
      <c r="C832" t="s">
        <v>2226</v>
      </c>
      <c r="D832" t="s">
        <v>2955</v>
      </c>
      <c r="E832" s="1">
        <v>45490</v>
      </c>
      <c r="F832" t="s">
        <v>29</v>
      </c>
      <c r="G832" t="s">
        <v>27</v>
      </c>
      <c r="H832" t="s">
        <v>28</v>
      </c>
      <c r="I832" t="s">
        <v>2623</v>
      </c>
      <c r="J832" t="s">
        <v>2696</v>
      </c>
      <c r="K832" t="s">
        <v>52</v>
      </c>
      <c r="L832">
        <v>62</v>
      </c>
      <c r="M832">
        <v>3</v>
      </c>
      <c r="N832">
        <v>5</v>
      </c>
      <c r="O832" t="s">
        <v>2227</v>
      </c>
      <c r="P832" t="s">
        <v>75</v>
      </c>
      <c r="Q832" t="s">
        <v>70</v>
      </c>
      <c r="R832" t="s">
        <v>62</v>
      </c>
      <c r="S832" t="s">
        <v>30</v>
      </c>
      <c r="T832">
        <v>3</v>
      </c>
      <c r="U832">
        <v>740.68</v>
      </c>
      <c r="V832">
        <v>1404.19</v>
      </c>
      <c r="W832">
        <v>4</v>
      </c>
      <c r="X832" t="str">
        <f>TEXT(cleaneddata[[#This Row],[Order Date]],"mmm")</f>
        <v>Jul</v>
      </c>
      <c r="Y832">
        <f>cleaneddata[[#This Row],[Unit Price]]*cleaneddata[[#This Row],[Quantity]]*(1-cleaneddata[[#This Row],[Discount %]]/100)</f>
        <v>2110.9379999999996</v>
      </c>
      <c r="Z832">
        <f>cleaneddata[[#This Row],[sales]]-cleaneddata[[#This Row],[Cost]]</f>
        <v>706.74799999999959</v>
      </c>
    </row>
    <row r="833" spans="1:26" x14ac:dyDescent="0.3">
      <c r="A833" t="s">
        <v>2228</v>
      </c>
      <c r="B833" s="1">
        <v>45815</v>
      </c>
      <c r="C833" t="s">
        <v>2229</v>
      </c>
      <c r="D833" t="s">
        <v>2954</v>
      </c>
      <c r="E833" s="1">
        <v>45817</v>
      </c>
      <c r="F833" t="s">
        <v>56</v>
      </c>
      <c r="G833" t="s">
        <v>54</v>
      </c>
      <c r="H833" t="s">
        <v>55</v>
      </c>
      <c r="I833" t="s">
        <v>2623</v>
      </c>
      <c r="J833" t="s">
        <v>2696</v>
      </c>
      <c r="K833" t="s">
        <v>52</v>
      </c>
      <c r="L833">
        <v>28</v>
      </c>
      <c r="M833">
        <v>3</v>
      </c>
      <c r="N833">
        <v>15</v>
      </c>
      <c r="O833" t="s">
        <v>1460</v>
      </c>
      <c r="P833" t="s">
        <v>44</v>
      </c>
      <c r="Q833" t="s">
        <v>117</v>
      </c>
      <c r="R833" t="s">
        <v>71</v>
      </c>
      <c r="S833" t="s">
        <v>57</v>
      </c>
      <c r="T833">
        <v>2</v>
      </c>
      <c r="U833">
        <v>712.14</v>
      </c>
      <c r="V833">
        <v>1172.94</v>
      </c>
      <c r="W833">
        <v>2</v>
      </c>
      <c r="X833" t="str">
        <f>TEXT(cleaneddata[[#This Row],[Order Date]],"mmm")</f>
        <v>Jun</v>
      </c>
      <c r="Y833">
        <f>cleaneddata[[#This Row],[Unit Price]]*cleaneddata[[#This Row],[Quantity]]*(1-cleaneddata[[#This Row],[Discount %]]/100)</f>
        <v>1815.9570000000001</v>
      </c>
      <c r="Z833">
        <f>cleaneddata[[#This Row],[sales]]-cleaneddata[[#This Row],[Cost]]</f>
        <v>643.01700000000005</v>
      </c>
    </row>
    <row r="834" spans="1:26" x14ac:dyDescent="0.3">
      <c r="A834" t="s">
        <v>2230</v>
      </c>
      <c r="B834" s="1">
        <v>45746</v>
      </c>
      <c r="C834" t="s">
        <v>225</v>
      </c>
      <c r="D834" t="s">
        <v>2953</v>
      </c>
      <c r="E834" s="1">
        <v>45749</v>
      </c>
      <c r="F834" t="s">
        <v>100</v>
      </c>
      <c r="G834" t="s">
        <v>98</v>
      </c>
      <c r="H834" t="s">
        <v>99</v>
      </c>
      <c r="I834" t="s">
        <v>2647</v>
      </c>
      <c r="J834" t="s">
        <v>2721</v>
      </c>
      <c r="K834" t="s">
        <v>52</v>
      </c>
      <c r="L834">
        <v>38</v>
      </c>
      <c r="M834">
        <v>3</v>
      </c>
      <c r="N834">
        <v>0</v>
      </c>
      <c r="O834" t="s">
        <v>2231</v>
      </c>
      <c r="P834" t="s">
        <v>75</v>
      </c>
      <c r="Q834" t="s">
        <v>58</v>
      </c>
      <c r="R834" t="s">
        <v>71</v>
      </c>
      <c r="S834" t="s">
        <v>101</v>
      </c>
      <c r="T834">
        <v>3</v>
      </c>
      <c r="U834">
        <v>393.08</v>
      </c>
      <c r="V834">
        <v>812.99</v>
      </c>
      <c r="W834">
        <v>3</v>
      </c>
      <c r="X834" t="str">
        <f>TEXT(cleaneddata[[#This Row],[Order Date]],"mmm")</f>
        <v>Mar</v>
      </c>
      <c r="Y834">
        <f>cleaneddata[[#This Row],[Unit Price]]*cleaneddata[[#This Row],[Quantity]]*(1-cleaneddata[[#This Row],[Discount %]]/100)</f>
        <v>1179.24</v>
      </c>
      <c r="Z834">
        <f>cleaneddata[[#This Row],[sales]]-cleaneddata[[#This Row],[Cost]]</f>
        <v>366.25</v>
      </c>
    </row>
    <row r="835" spans="1:26" x14ac:dyDescent="0.3">
      <c r="A835" t="s">
        <v>2232</v>
      </c>
      <c r="B835" s="1">
        <v>45696</v>
      </c>
      <c r="C835" t="s">
        <v>2233</v>
      </c>
      <c r="D835" t="s">
        <v>2952</v>
      </c>
      <c r="E835" s="1">
        <v>45699</v>
      </c>
      <c r="F835" t="s">
        <v>40</v>
      </c>
      <c r="G835" t="s">
        <v>38</v>
      </c>
      <c r="H835" t="s">
        <v>39</v>
      </c>
      <c r="I835" t="s">
        <v>2625</v>
      </c>
      <c r="J835" t="s">
        <v>2703</v>
      </c>
      <c r="K835" t="s">
        <v>25</v>
      </c>
      <c r="L835">
        <v>24</v>
      </c>
      <c r="M835">
        <v>3</v>
      </c>
      <c r="N835">
        <v>30</v>
      </c>
      <c r="O835" t="s">
        <v>512</v>
      </c>
      <c r="P835" t="s">
        <v>33</v>
      </c>
      <c r="Q835" t="s">
        <v>42</v>
      </c>
      <c r="R835" t="s">
        <v>32</v>
      </c>
      <c r="S835" t="s">
        <v>41</v>
      </c>
      <c r="T835">
        <v>4</v>
      </c>
      <c r="U835">
        <v>960.6</v>
      </c>
      <c r="V835">
        <v>1193.2</v>
      </c>
      <c r="W835">
        <v>3</v>
      </c>
      <c r="X835" t="str">
        <f>TEXT(cleaneddata[[#This Row],[Order Date]],"mmm")</f>
        <v>Feb</v>
      </c>
      <c r="Y835">
        <f>cleaneddata[[#This Row],[Unit Price]]*cleaneddata[[#This Row],[Quantity]]*(1-cleaneddata[[#This Row],[Discount %]]/100)</f>
        <v>2017.26</v>
      </c>
      <c r="Z835">
        <f>cleaneddata[[#This Row],[sales]]-cleaneddata[[#This Row],[Cost]]</f>
        <v>824.06</v>
      </c>
    </row>
    <row r="836" spans="1:26" x14ac:dyDescent="0.3">
      <c r="A836" t="s">
        <v>2234</v>
      </c>
      <c r="B836" s="1">
        <v>45495</v>
      </c>
      <c r="C836" t="s">
        <v>2235</v>
      </c>
      <c r="D836" t="s">
        <v>2951</v>
      </c>
      <c r="E836" s="1">
        <v>45496</v>
      </c>
      <c r="F836" t="s">
        <v>140</v>
      </c>
      <c r="G836" t="s">
        <v>38</v>
      </c>
      <c r="H836" t="s">
        <v>139</v>
      </c>
      <c r="I836" t="s">
        <v>2629</v>
      </c>
      <c r="J836" t="s">
        <v>2630</v>
      </c>
      <c r="K836" t="s">
        <v>25</v>
      </c>
      <c r="L836">
        <v>55</v>
      </c>
      <c r="M836">
        <v>5</v>
      </c>
      <c r="N836">
        <v>15</v>
      </c>
      <c r="O836" t="s">
        <v>350</v>
      </c>
      <c r="P836" t="s">
        <v>44</v>
      </c>
      <c r="Q836" t="s">
        <v>42</v>
      </c>
      <c r="R836" t="s">
        <v>62</v>
      </c>
      <c r="S836" t="s">
        <v>141</v>
      </c>
      <c r="T836">
        <v>5</v>
      </c>
      <c r="U836">
        <v>788.42</v>
      </c>
      <c r="V836">
        <v>2814.03</v>
      </c>
      <c r="W836">
        <v>1</v>
      </c>
      <c r="X836" t="str">
        <f>TEXT(cleaneddata[[#This Row],[Order Date]],"mmm")</f>
        <v>Jul</v>
      </c>
      <c r="Y836">
        <f>cleaneddata[[#This Row],[Unit Price]]*cleaneddata[[#This Row],[Quantity]]*(1-cleaneddata[[#This Row],[Discount %]]/100)</f>
        <v>3350.7849999999999</v>
      </c>
      <c r="Z836">
        <f>cleaneddata[[#This Row],[sales]]-cleaneddata[[#This Row],[Cost]]</f>
        <v>536.75499999999965</v>
      </c>
    </row>
    <row r="837" spans="1:26" x14ac:dyDescent="0.3">
      <c r="A837" t="s">
        <v>2236</v>
      </c>
      <c r="B837" s="1">
        <v>45787</v>
      </c>
      <c r="C837" t="s">
        <v>796</v>
      </c>
      <c r="D837" t="s">
        <v>2950</v>
      </c>
      <c r="E837" s="1">
        <v>45793</v>
      </c>
      <c r="F837" t="s">
        <v>68</v>
      </c>
      <c r="G837" t="s">
        <v>66</v>
      </c>
      <c r="H837" t="s">
        <v>67</v>
      </c>
      <c r="I837" t="s">
        <v>2679</v>
      </c>
      <c r="J837" t="s">
        <v>2707</v>
      </c>
      <c r="K837" t="s">
        <v>25</v>
      </c>
      <c r="L837">
        <v>42</v>
      </c>
      <c r="M837">
        <v>3</v>
      </c>
      <c r="N837">
        <v>15</v>
      </c>
      <c r="O837" t="s">
        <v>2237</v>
      </c>
      <c r="P837" t="s">
        <v>33</v>
      </c>
      <c r="Q837" t="s">
        <v>117</v>
      </c>
      <c r="R837" t="s">
        <v>71</v>
      </c>
      <c r="S837" t="s">
        <v>69</v>
      </c>
      <c r="T837">
        <v>3</v>
      </c>
      <c r="U837">
        <v>816.34</v>
      </c>
      <c r="V837">
        <v>1476.6</v>
      </c>
      <c r="W837">
        <v>6</v>
      </c>
      <c r="X837" t="str">
        <f>TEXT(cleaneddata[[#This Row],[Order Date]],"mmm")</f>
        <v>May</v>
      </c>
      <c r="Y837">
        <f>cleaneddata[[#This Row],[Unit Price]]*cleaneddata[[#This Row],[Quantity]]*(1-cleaneddata[[#This Row],[Discount %]]/100)</f>
        <v>2081.6669999999999</v>
      </c>
      <c r="Z837">
        <f>cleaneddata[[#This Row],[sales]]-cleaneddata[[#This Row],[Cost]]</f>
        <v>605.06700000000001</v>
      </c>
    </row>
    <row r="838" spans="1:26" x14ac:dyDescent="0.3">
      <c r="A838" t="s">
        <v>2238</v>
      </c>
      <c r="B838" s="1">
        <v>46121</v>
      </c>
      <c r="C838" t="s">
        <v>2239</v>
      </c>
      <c r="D838" t="s">
        <v>2949</v>
      </c>
      <c r="E838" s="1">
        <v>46124</v>
      </c>
      <c r="F838" t="s">
        <v>29</v>
      </c>
      <c r="G838" t="s">
        <v>27</v>
      </c>
      <c r="H838" t="s">
        <v>28</v>
      </c>
      <c r="I838" t="s">
        <v>2634</v>
      </c>
      <c r="J838" t="s">
        <v>2650</v>
      </c>
      <c r="K838" t="s">
        <v>52</v>
      </c>
      <c r="L838">
        <v>57</v>
      </c>
      <c r="M838">
        <v>3</v>
      </c>
      <c r="N838">
        <v>25</v>
      </c>
      <c r="O838" t="s">
        <v>2216</v>
      </c>
      <c r="P838" t="s">
        <v>75</v>
      </c>
      <c r="Q838" t="s">
        <v>58</v>
      </c>
      <c r="R838" t="s">
        <v>43</v>
      </c>
      <c r="S838" t="s">
        <v>30</v>
      </c>
      <c r="T838">
        <v>2</v>
      </c>
      <c r="U838">
        <v>626.71</v>
      </c>
      <c r="V838">
        <v>756.38</v>
      </c>
      <c r="W838">
        <v>3</v>
      </c>
      <c r="X838" t="str">
        <f>TEXT(cleaneddata[[#This Row],[Order Date]],"mmm")</f>
        <v>Apr</v>
      </c>
      <c r="Y838">
        <f>cleaneddata[[#This Row],[Unit Price]]*cleaneddata[[#This Row],[Quantity]]*(1-cleaneddata[[#This Row],[Discount %]]/100)</f>
        <v>1410.0975000000001</v>
      </c>
      <c r="Z838">
        <f>cleaneddata[[#This Row],[sales]]-cleaneddata[[#This Row],[Cost]]</f>
        <v>653.71750000000009</v>
      </c>
    </row>
    <row r="839" spans="1:26" x14ac:dyDescent="0.3">
      <c r="A839" t="s">
        <v>2240</v>
      </c>
      <c r="B839" s="1">
        <v>46102</v>
      </c>
      <c r="C839" t="s">
        <v>2241</v>
      </c>
      <c r="D839" t="s">
        <v>2948</v>
      </c>
      <c r="E839" s="1">
        <v>46103</v>
      </c>
      <c r="F839" t="s">
        <v>56</v>
      </c>
      <c r="G839" t="s">
        <v>54</v>
      </c>
      <c r="H839" t="s">
        <v>55</v>
      </c>
      <c r="I839" t="s">
        <v>2625</v>
      </c>
      <c r="J839" t="s">
        <v>2703</v>
      </c>
      <c r="K839" t="s">
        <v>52</v>
      </c>
      <c r="L839">
        <v>58</v>
      </c>
      <c r="M839">
        <v>1</v>
      </c>
      <c r="N839">
        <v>15</v>
      </c>
      <c r="O839" t="s">
        <v>613</v>
      </c>
      <c r="P839" t="s">
        <v>33</v>
      </c>
      <c r="Q839" t="s">
        <v>70</v>
      </c>
      <c r="R839" t="s">
        <v>71</v>
      </c>
      <c r="S839" t="s">
        <v>57</v>
      </c>
      <c r="T839">
        <v>5</v>
      </c>
      <c r="U839">
        <v>48.22</v>
      </c>
      <c r="V839">
        <v>23.83</v>
      </c>
      <c r="W839">
        <v>1</v>
      </c>
      <c r="X839" t="str">
        <f>TEXT(cleaneddata[[#This Row],[Order Date]],"mmm")</f>
        <v>Mar</v>
      </c>
      <c r="Y839">
        <f>cleaneddata[[#This Row],[Unit Price]]*cleaneddata[[#This Row],[Quantity]]*(1-cleaneddata[[#This Row],[Discount %]]/100)</f>
        <v>40.986999999999995</v>
      </c>
      <c r="Z839">
        <f>cleaneddata[[#This Row],[sales]]-cleaneddata[[#This Row],[Cost]]</f>
        <v>17.156999999999996</v>
      </c>
    </row>
    <row r="840" spans="1:26" x14ac:dyDescent="0.3">
      <c r="A840" t="s">
        <v>2242</v>
      </c>
      <c r="B840" s="1">
        <v>46072</v>
      </c>
      <c r="C840" t="s">
        <v>2243</v>
      </c>
      <c r="D840" t="s">
        <v>2947</v>
      </c>
      <c r="E840" s="1">
        <v>46076</v>
      </c>
      <c r="F840" t="s">
        <v>40</v>
      </c>
      <c r="G840" t="s">
        <v>38</v>
      </c>
      <c r="H840" t="s">
        <v>39</v>
      </c>
      <c r="I840" t="s">
        <v>2641</v>
      </c>
      <c r="J840" t="s">
        <v>2642</v>
      </c>
      <c r="K840" t="s">
        <v>25</v>
      </c>
      <c r="L840">
        <v>41</v>
      </c>
      <c r="M840">
        <v>2</v>
      </c>
      <c r="N840">
        <v>5</v>
      </c>
      <c r="O840" t="s">
        <v>540</v>
      </c>
      <c r="P840" t="s">
        <v>44</v>
      </c>
      <c r="Q840" t="s">
        <v>117</v>
      </c>
      <c r="R840" t="s">
        <v>62</v>
      </c>
      <c r="S840" t="s">
        <v>41</v>
      </c>
      <c r="T840">
        <v>2</v>
      </c>
      <c r="U840">
        <v>562.91</v>
      </c>
      <c r="V840">
        <v>889.06</v>
      </c>
      <c r="W840">
        <v>4</v>
      </c>
      <c r="X840" t="str">
        <f>TEXT(cleaneddata[[#This Row],[Order Date]],"mmm")</f>
        <v>Feb</v>
      </c>
      <c r="Y840">
        <f>cleaneddata[[#This Row],[Unit Price]]*cleaneddata[[#This Row],[Quantity]]*(1-cleaneddata[[#This Row],[Discount %]]/100)</f>
        <v>1069.529</v>
      </c>
      <c r="Z840">
        <f>cleaneddata[[#This Row],[sales]]-cleaneddata[[#This Row],[Cost]]</f>
        <v>180.46900000000005</v>
      </c>
    </row>
    <row r="841" spans="1:26" x14ac:dyDescent="0.3">
      <c r="A841" t="s">
        <v>2244</v>
      </c>
      <c r="B841" s="1">
        <v>45638</v>
      </c>
      <c r="C841" t="s">
        <v>2143</v>
      </c>
      <c r="D841" t="s">
        <v>2946</v>
      </c>
      <c r="E841" s="1">
        <v>45641</v>
      </c>
      <c r="F841" t="s">
        <v>40</v>
      </c>
      <c r="G841" t="s">
        <v>38</v>
      </c>
      <c r="H841" t="s">
        <v>39</v>
      </c>
      <c r="I841" t="s">
        <v>2625</v>
      </c>
      <c r="J841" t="s">
        <v>2703</v>
      </c>
      <c r="K841" t="s">
        <v>52</v>
      </c>
      <c r="L841">
        <v>48</v>
      </c>
      <c r="M841">
        <v>4</v>
      </c>
      <c r="N841">
        <v>10</v>
      </c>
      <c r="O841" t="s">
        <v>2245</v>
      </c>
      <c r="P841" t="s">
        <v>44</v>
      </c>
      <c r="Q841" t="s">
        <v>42</v>
      </c>
      <c r="R841" t="s">
        <v>62</v>
      </c>
      <c r="S841" t="s">
        <v>41</v>
      </c>
      <c r="T841">
        <v>2</v>
      </c>
      <c r="U841">
        <v>62.54</v>
      </c>
      <c r="V841">
        <v>136.88999999999999</v>
      </c>
      <c r="W841">
        <v>3</v>
      </c>
      <c r="X841" t="str">
        <f>TEXT(cleaneddata[[#This Row],[Order Date]],"mmm")</f>
        <v>Dec</v>
      </c>
      <c r="Y841">
        <f>cleaneddata[[#This Row],[Unit Price]]*cleaneddata[[#This Row],[Quantity]]*(1-cleaneddata[[#This Row],[Discount %]]/100)</f>
        <v>225.14400000000001</v>
      </c>
      <c r="Z841">
        <f>cleaneddata[[#This Row],[sales]]-cleaneddata[[#This Row],[Cost]]</f>
        <v>88.254000000000019</v>
      </c>
    </row>
    <row r="842" spans="1:26" x14ac:dyDescent="0.3">
      <c r="A842" t="s">
        <v>2246</v>
      </c>
      <c r="B842" s="1">
        <v>45495</v>
      </c>
      <c r="C842" t="s">
        <v>2247</v>
      </c>
      <c r="D842" t="s">
        <v>2945</v>
      </c>
      <c r="E842" s="1">
        <v>45501</v>
      </c>
      <c r="F842" t="s">
        <v>29</v>
      </c>
      <c r="G842" t="s">
        <v>27</v>
      </c>
      <c r="H842" t="s">
        <v>28</v>
      </c>
      <c r="I842" t="s">
        <v>2623</v>
      </c>
      <c r="J842" t="s">
        <v>2624</v>
      </c>
      <c r="K842" t="s">
        <v>25</v>
      </c>
      <c r="L842">
        <v>57</v>
      </c>
      <c r="M842">
        <v>1</v>
      </c>
      <c r="N842">
        <v>20</v>
      </c>
      <c r="O842" t="s">
        <v>2248</v>
      </c>
      <c r="P842" t="s">
        <v>44</v>
      </c>
      <c r="Q842" t="s">
        <v>42</v>
      </c>
      <c r="R842" t="s">
        <v>71</v>
      </c>
      <c r="S842" t="s">
        <v>30</v>
      </c>
      <c r="T842">
        <v>5</v>
      </c>
      <c r="U842">
        <v>736.79</v>
      </c>
      <c r="V842">
        <v>356.69</v>
      </c>
      <c r="W842">
        <v>6</v>
      </c>
      <c r="X842" t="str">
        <f>TEXT(cleaneddata[[#This Row],[Order Date]],"mmm")</f>
        <v>Jul</v>
      </c>
      <c r="Y842">
        <f>cleaneddata[[#This Row],[Unit Price]]*cleaneddata[[#This Row],[Quantity]]*(1-cleaneddata[[#This Row],[Discount %]]/100)</f>
        <v>589.43200000000002</v>
      </c>
      <c r="Z842">
        <f>cleaneddata[[#This Row],[sales]]-cleaneddata[[#This Row],[Cost]]</f>
        <v>232.74200000000002</v>
      </c>
    </row>
    <row r="843" spans="1:26" x14ac:dyDescent="0.3">
      <c r="A843" t="s">
        <v>2249</v>
      </c>
      <c r="B843" s="1">
        <v>45843</v>
      </c>
      <c r="C843" t="s">
        <v>2250</v>
      </c>
      <c r="D843" t="s">
        <v>2944</v>
      </c>
      <c r="E843" s="1">
        <v>45847</v>
      </c>
      <c r="F843" t="s">
        <v>29</v>
      </c>
      <c r="G843" t="s">
        <v>27</v>
      </c>
      <c r="H843" t="s">
        <v>28</v>
      </c>
      <c r="I843" t="s">
        <v>2623</v>
      </c>
      <c r="J843" t="s">
        <v>2691</v>
      </c>
      <c r="K843" t="s">
        <v>52</v>
      </c>
      <c r="L843">
        <v>60</v>
      </c>
      <c r="M843">
        <v>1</v>
      </c>
      <c r="N843">
        <v>0</v>
      </c>
      <c r="O843" t="s">
        <v>698</v>
      </c>
      <c r="P843" t="s">
        <v>44</v>
      </c>
      <c r="Q843" t="s">
        <v>58</v>
      </c>
      <c r="R843" t="s">
        <v>62</v>
      </c>
      <c r="S843" t="s">
        <v>30</v>
      </c>
      <c r="T843">
        <v>3</v>
      </c>
      <c r="U843">
        <v>250.52</v>
      </c>
      <c r="V843">
        <v>143.87</v>
      </c>
      <c r="W843">
        <v>4</v>
      </c>
      <c r="X843" t="str">
        <f>TEXT(cleaneddata[[#This Row],[Order Date]],"mmm")</f>
        <v>Jul</v>
      </c>
      <c r="Y843">
        <f>cleaneddata[[#This Row],[Unit Price]]*cleaneddata[[#This Row],[Quantity]]*(1-cleaneddata[[#This Row],[Discount %]]/100)</f>
        <v>250.52</v>
      </c>
      <c r="Z843">
        <f>cleaneddata[[#This Row],[sales]]-cleaneddata[[#This Row],[Cost]]</f>
        <v>106.65</v>
      </c>
    </row>
    <row r="844" spans="1:26" x14ac:dyDescent="0.3">
      <c r="A844" t="s">
        <v>2251</v>
      </c>
      <c r="B844" s="1">
        <v>46134</v>
      </c>
      <c r="C844" t="s">
        <v>2252</v>
      </c>
      <c r="D844" t="s">
        <v>2943</v>
      </c>
      <c r="E844" s="1">
        <v>46141</v>
      </c>
      <c r="F844" t="s">
        <v>29</v>
      </c>
      <c r="G844" t="s">
        <v>27</v>
      </c>
      <c r="H844" t="s">
        <v>28</v>
      </c>
      <c r="I844" t="s">
        <v>2675</v>
      </c>
      <c r="J844" t="s">
        <v>2699</v>
      </c>
      <c r="K844" t="s">
        <v>25</v>
      </c>
      <c r="L844">
        <v>54</v>
      </c>
      <c r="M844">
        <v>2</v>
      </c>
      <c r="N844">
        <v>25</v>
      </c>
      <c r="O844" t="s">
        <v>1897</v>
      </c>
      <c r="P844" t="s">
        <v>33</v>
      </c>
      <c r="Q844" t="s">
        <v>58</v>
      </c>
      <c r="R844" t="s">
        <v>62</v>
      </c>
      <c r="S844" t="s">
        <v>30</v>
      </c>
      <c r="T844">
        <v>3</v>
      </c>
      <c r="U844">
        <v>675.13</v>
      </c>
      <c r="V844">
        <v>544.86</v>
      </c>
      <c r="W844">
        <v>7</v>
      </c>
      <c r="X844" t="str">
        <f>TEXT(cleaneddata[[#This Row],[Order Date]],"mmm")</f>
        <v>Apr</v>
      </c>
      <c r="Y844">
        <f>cleaneddata[[#This Row],[Unit Price]]*cleaneddata[[#This Row],[Quantity]]*(1-cleaneddata[[#This Row],[Discount %]]/100)</f>
        <v>1012.6949999999999</v>
      </c>
      <c r="Z844">
        <f>cleaneddata[[#This Row],[sales]]-cleaneddata[[#This Row],[Cost]]</f>
        <v>467.83499999999992</v>
      </c>
    </row>
    <row r="845" spans="1:26" x14ac:dyDescent="0.3">
      <c r="A845" t="s">
        <v>2253</v>
      </c>
      <c r="B845" s="1">
        <v>46087</v>
      </c>
      <c r="C845" t="s">
        <v>2254</v>
      </c>
      <c r="D845" t="s">
        <v>2942</v>
      </c>
      <c r="E845" s="1">
        <v>46092</v>
      </c>
      <c r="F845" t="s">
        <v>140</v>
      </c>
      <c r="G845" t="s">
        <v>38</v>
      </c>
      <c r="H845" t="s">
        <v>139</v>
      </c>
      <c r="I845" t="s">
        <v>2634</v>
      </c>
      <c r="J845" t="s">
        <v>2714</v>
      </c>
      <c r="K845" t="s">
        <v>25</v>
      </c>
      <c r="L845">
        <v>24</v>
      </c>
      <c r="M845">
        <v>5</v>
      </c>
      <c r="N845">
        <v>20</v>
      </c>
      <c r="O845" t="s">
        <v>316</v>
      </c>
      <c r="P845" t="s">
        <v>44</v>
      </c>
      <c r="Q845" t="s">
        <v>70</v>
      </c>
      <c r="R845" t="s">
        <v>32</v>
      </c>
      <c r="S845" t="s">
        <v>141</v>
      </c>
      <c r="T845">
        <v>2</v>
      </c>
      <c r="U845">
        <v>970.76</v>
      </c>
      <c r="V845">
        <v>1989.74</v>
      </c>
      <c r="W845">
        <v>5</v>
      </c>
      <c r="X845" t="str">
        <f>TEXT(cleaneddata[[#This Row],[Order Date]],"mmm")</f>
        <v>Mar</v>
      </c>
      <c r="Y845">
        <f>cleaneddata[[#This Row],[Unit Price]]*cleaneddata[[#This Row],[Quantity]]*(1-cleaneddata[[#This Row],[Discount %]]/100)</f>
        <v>3883.0400000000004</v>
      </c>
      <c r="Z845">
        <f>cleaneddata[[#This Row],[sales]]-cleaneddata[[#This Row],[Cost]]</f>
        <v>1893.3000000000004</v>
      </c>
    </row>
    <row r="846" spans="1:26" x14ac:dyDescent="0.3">
      <c r="A846" t="s">
        <v>2255</v>
      </c>
      <c r="B846" s="1">
        <v>45671</v>
      </c>
      <c r="C846" t="s">
        <v>2256</v>
      </c>
      <c r="D846" t="s">
        <v>2941</v>
      </c>
      <c r="E846" s="1">
        <v>45673</v>
      </c>
      <c r="F846" t="s">
        <v>140</v>
      </c>
      <c r="G846" t="s">
        <v>38</v>
      </c>
      <c r="H846" t="s">
        <v>139</v>
      </c>
      <c r="I846" t="s">
        <v>2634</v>
      </c>
      <c r="J846" t="s">
        <v>2644</v>
      </c>
      <c r="K846" t="s">
        <v>25</v>
      </c>
      <c r="L846">
        <v>45</v>
      </c>
      <c r="M846">
        <v>1</v>
      </c>
      <c r="N846">
        <v>20</v>
      </c>
      <c r="O846" t="s">
        <v>2257</v>
      </c>
      <c r="P846" t="s">
        <v>33</v>
      </c>
      <c r="Q846" t="s">
        <v>31</v>
      </c>
      <c r="R846" t="s">
        <v>71</v>
      </c>
      <c r="S846" t="s">
        <v>141</v>
      </c>
      <c r="T846">
        <v>2</v>
      </c>
      <c r="U846">
        <v>571.15</v>
      </c>
      <c r="V846">
        <v>236.83</v>
      </c>
      <c r="W846">
        <v>2</v>
      </c>
      <c r="X846" t="str">
        <f>TEXT(cleaneddata[[#This Row],[Order Date]],"mmm")</f>
        <v>Jan</v>
      </c>
      <c r="Y846">
        <f>cleaneddata[[#This Row],[Unit Price]]*cleaneddata[[#This Row],[Quantity]]*(1-cleaneddata[[#This Row],[Discount %]]/100)</f>
        <v>456.92</v>
      </c>
      <c r="Z846">
        <f>cleaneddata[[#This Row],[sales]]-cleaneddata[[#This Row],[Cost]]</f>
        <v>220.09</v>
      </c>
    </row>
    <row r="847" spans="1:26" x14ac:dyDescent="0.3">
      <c r="A847" t="s">
        <v>2258</v>
      </c>
      <c r="B847" s="1">
        <v>46074</v>
      </c>
      <c r="C847" t="s">
        <v>2259</v>
      </c>
      <c r="D847" t="s">
        <v>2940</v>
      </c>
      <c r="E847" s="1">
        <v>46076</v>
      </c>
      <c r="F847" t="s">
        <v>122</v>
      </c>
      <c r="G847" t="s">
        <v>120</v>
      </c>
      <c r="H847" t="s">
        <v>121</v>
      </c>
      <c r="I847" t="s">
        <v>2625</v>
      </c>
      <c r="J847" t="s">
        <v>2651</v>
      </c>
      <c r="K847" t="s">
        <v>52</v>
      </c>
      <c r="L847">
        <v>47</v>
      </c>
      <c r="M847">
        <v>3</v>
      </c>
      <c r="N847">
        <v>5</v>
      </c>
      <c r="O847" t="s">
        <v>980</v>
      </c>
      <c r="P847" t="s">
        <v>75</v>
      </c>
      <c r="Q847" t="s">
        <v>70</v>
      </c>
      <c r="R847" t="s">
        <v>32</v>
      </c>
      <c r="S847" t="s">
        <v>123</v>
      </c>
      <c r="T847">
        <v>3</v>
      </c>
      <c r="U847">
        <v>391.14</v>
      </c>
      <c r="V847">
        <v>847.48</v>
      </c>
      <c r="W847">
        <v>2</v>
      </c>
      <c r="X847" t="str">
        <f>TEXT(cleaneddata[[#This Row],[Order Date]],"mmm")</f>
        <v>Feb</v>
      </c>
      <c r="Y847">
        <f>cleaneddata[[#This Row],[Unit Price]]*cleaneddata[[#This Row],[Quantity]]*(1-cleaneddata[[#This Row],[Discount %]]/100)</f>
        <v>1114.749</v>
      </c>
      <c r="Z847">
        <f>cleaneddata[[#This Row],[sales]]-cleaneddata[[#This Row],[Cost]]</f>
        <v>267.26900000000001</v>
      </c>
    </row>
    <row r="848" spans="1:26" x14ac:dyDescent="0.3">
      <c r="A848" t="s">
        <v>2260</v>
      </c>
      <c r="B848" s="1">
        <v>45978</v>
      </c>
      <c r="C848" t="s">
        <v>1067</v>
      </c>
      <c r="D848" t="s">
        <v>2939</v>
      </c>
      <c r="E848" s="1">
        <v>45982</v>
      </c>
      <c r="F848" t="s">
        <v>122</v>
      </c>
      <c r="G848" t="s">
        <v>120</v>
      </c>
      <c r="H848" t="s">
        <v>121</v>
      </c>
      <c r="I848" t="s">
        <v>2634</v>
      </c>
      <c r="J848" t="s">
        <v>2644</v>
      </c>
      <c r="K848" t="s">
        <v>52</v>
      </c>
      <c r="L848">
        <v>43</v>
      </c>
      <c r="M848">
        <v>5</v>
      </c>
      <c r="N848">
        <v>0</v>
      </c>
      <c r="O848" t="s">
        <v>2261</v>
      </c>
      <c r="P848" t="s">
        <v>33</v>
      </c>
      <c r="Q848" t="s">
        <v>70</v>
      </c>
      <c r="R848" t="s">
        <v>32</v>
      </c>
      <c r="S848" t="s">
        <v>123</v>
      </c>
      <c r="T848">
        <v>2</v>
      </c>
      <c r="U848">
        <v>124.79</v>
      </c>
      <c r="V848">
        <v>345.12</v>
      </c>
      <c r="W848">
        <v>4</v>
      </c>
      <c r="X848" t="str">
        <f>TEXT(cleaneddata[[#This Row],[Order Date]],"mmm")</f>
        <v>Nov</v>
      </c>
      <c r="Y848">
        <f>cleaneddata[[#This Row],[Unit Price]]*cleaneddata[[#This Row],[Quantity]]*(1-cleaneddata[[#This Row],[Discount %]]/100)</f>
        <v>623.95000000000005</v>
      </c>
      <c r="Z848">
        <f>cleaneddata[[#This Row],[sales]]-cleaneddata[[#This Row],[Cost]]</f>
        <v>278.83000000000004</v>
      </c>
    </row>
    <row r="849" spans="1:26" x14ac:dyDescent="0.3">
      <c r="A849" t="s">
        <v>2262</v>
      </c>
      <c r="B849" s="1">
        <v>45753</v>
      </c>
      <c r="C849" t="s">
        <v>2263</v>
      </c>
      <c r="D849" t="s">
        <v>2938</v>
      </c>
      <c r="E849" s="1">
        <v>45759</v>
      </c>
      <c r="F849" t="s">
        <v>56</v>
      </c>
      <c r="G849" t="s">
        <v>54</v>
      </c>
      <c r="H849" t="s">
        <v>55</v>
      </c>
      <c r="I849" t="s">
        <v>2668</v>
      </c>
      <c r="J849" t="s">
        <v>2682</v>
      </c>
      <c r="K849" t="s">
        <v>52</v>
      </c>
      <c r="L849">
        <v>28</v>
      </c>
      <c r="M849">
        <v>4</v>
      </c>
      <c r="N849">
        <v>10</v>
      </c>
      <c r="O849" t="s">
        <v>613</v>
      </c>
      <c r="P849" t="s">
        <v>33</v>
      </c>
      <c r="Q849" t="s">
        <v>58</v>
      </c>
      <c r="R849" t="s">
        <v>62</v>
      </c>
      <c r="S849" t="s">
        <v>57</v>
      </c>
      <c r="T849">
        <v>1</v>
      </c>
      <c r="U849">
        <v>484.61</v>
      </c>
      <c r="V849">
        <v>984.07</v>
      </c>
      <c r="W849">
        <v>6</v>
      </c>
      <c r="X849" t="str">
        <f>TEXT(cleaneddata[[#This Row],[Order Date]],"mmm")</f>
        <v>Apr</v>
      </c>
      <c r="Y849">
        <f>cleaneddata[[#This Row],[Unit Price]]*cleaneddata[[#This Row],[Quantity]]*(1-cleaneddata[[#This Row],[Discount %]]/100)</f>
        <v>1744.596</v>
      </c>
      <c r="Z849">
        <f>cleaneddata[[#This Row],[sales]]-cleaneddata[[#This Row],[Cost]]</f>
        <v>760.52599999999995</v>
      </c>
    </row>
    <row r="850" spans="1:26" x14ac:dyDescent="0.3">
      <c r="A850" t="s">
        <v>2264</v>
      </c>
      <c r="B850" s="1">
        <v>45825</v>
      </c>
      <c r="C850" t="s">
        <v>2265</v>
      </c>
      <c r="D850" t="s">
        <v>2937</v>
      </c>
      <c r="E850" s="1">
        <v>45832</v>
      </c>
      <c r="F850" t="s">
        <v>56</v>
      </c>
      <c r="G850" t="s">
        <v>54</v>
      </c>
      <c r="H850" t="s">
        <v>55</v>
      </c>
      <c r="I850" t="s">
        <v>2629</v>
      </c>
      <c r="J850" t="s">
        <v>2709</v>
      </c>
      <c r="K850" t="s">
        <v>52</v>
      </c>
      <c r="L850">
        <v>64</v>
      </c>
      <c r="M850">
        <v>1</v>
      </c>
      <c r="N850">
        <v>25</v>
      </c>
      <c r="O850" t="s">
        <v>2266</v>
      </c>
      <c r="P850" t="s">
        <v>75</v>
      </c>
      <c r="Q850" t="s">
        <v>58</v>
      </c>
      <c r="R850" t="s">
        <v>71</v>
      </c>
      <c r="S850" t="s">
        <v>57</v>
      </c>
      <c r="T850">
        <v>3</v>
      </c>
      <c r="U850">
        <v>253.2</v>
      </c>
      <c r="V850">
        <v>125.5</v>
      </c>
      <c r="W850">
        <v>7</v>
      </c>
      <c r="X850" t="str">
        <f>TEXT(cleaneddata[[#This Row],[Order Date]],"mmm")</f>
        <v>Jun</v>
      </c>
      <c r="Y850">
        <f>cleaneddata[[#This Row],[Unit Price]]*cleaneddata[[#This Row],[Quantity]]*(1-cleaneddata[[#This Row],[Discount %]]/100)</f>
        <v>189.89999999999998</v>
      </c>
      <c r="Z850">
        <f>cleaneddata[[#This Row],[sales]]-cleaneddata[[#This Row],[Cost]]</f>
        <v>64.399999999999977</v>
      </c>
    </row>
    <row r="851" spans="1:26" x14ac:dyDescent="0.3">
      <c r="A851" t="s">
        <v>2267</v>
      </c>
      <c r="B851" s="1">
        <v>45935</v>
      </c>
      <c r="C851" t="s">
        <v>2268</v>
      </c>
      <c r="D851" t="s">
        <v>2936</v>
      </c>
      <c r="E851" s="1">
        <v>45940</v>
      </c>
      <c r="F851" t="s">
        <v>68</v>
      </c>
      <c r="G851" t="s">
        <v>66</v>
      </c>
      <c r="H851" t="s">
        <v>67</v>
      </c>
      <c r="I851" t="s">
        <v>2656</v>
      </c>
      <c r="J851" t="s">
        <v>2657</v>
      </c>
      <c r="K851" t="s">
        <v>52</v>
      </c>
      <c r="L851">
        <v>23</v>
      </c>
      <c r="M851">
        <v>4</v>
      </c>
      <c r="N851">
        <v>5</v>
      </c>
      <c r="O851" t="s">
        <v>1528</v>
      </c>
      <c r="P851" t="s">
        <v>44</v>
      </c>
      <c r="Q851" t="s">
        <v>58</v>
      </c>
      <c r="R851" t="s">
        <v>71</v>
      </c>
      <c r="S851" t="s">
        <v>69</v>
      </c>
      <c r="T851">
        <v>3</v>
      </c>
      <c r="U851">
        <v>880.81</v>
      </c>
      <c r="V851">
        <v>2666.82</v>
      </c>
      <c r="W851">
        <v>5</v>
      </c>
      <c r="X851" t="str">
        <f>TEXT(cleaneddata[[#This Row],[Order Date]],"mmm")</f>
        <v>Oct</v>
      </c>
      <c r="Y851">
        <f>cleaneddata[[#This Row],[Unit Price]]*cleaneddata[[#This Row],[Quantity]]*(1-cleaneddata[[#This Row],[Discount %]]/100)</f>
        <v>3347.0779999999995</v>
      </c>
      <c r="Z851">
        <f>cleaneddata[[#This Row],[sales]]-cleaneddata[[#This Row],[Cost]]</f>
        <v>680.25799999999936</v>
      </c>
    </row>
    <row r="852" spans="1:26" x14ac:dyDescent="0.3">
      <c r="A852" t="s">
        <v>2269</v>
      </c>
      <c r="B852" s="1">
        <v>46093</v>
      </c>
      <c r="C852" t="s">
        <v>2270</v>
      </c>
      <c r="D852" t="s">
        <v>2935</v>
      </c>
      <c r="E852" s="1">
        <v>46100</v>
      </c>
      <c r="F852" t="s">
        <v>56</v>
      </c>
      <c r="G852" t="s">
        <v>54</v>
      </c>
      <c r="H852" t="s">
        <v>55</v>
      </c>
      <c r="I852" t="s">
        <v>2672</v>
      </c>
      <c r="J852" t="s">
        <v>2690</v>
      </c>
      <c r="K852" t="s">
        <v>25</v>
      </c>
      <c r="L852">
        <v>50</v>
      </c>
      <c r="M852">
        <v>4</v>
      </c>
      <c r="N852">
        <v>30</v>
      </c>
      <c r="O852" t="s">
        <v>2271</v>
      </c>
      <c r="P852" t="s">
        <v>44</v>
      </c>
      <c r="Q852" t="s">
        <v>31</v>
      </c>
      <c r="R852" t="s">
        <v>43</v>
      </c>
      <c r="S852" t="s">
        <v>57</v>
      </c>
      <c r="T852">
        <v>4</v>
      </c>
      <c r="U852">
        <v>303.17</v>
      </c>
      <c r="V852">
        <v>640.20000000000005</v>
      </c>
      <c r="W852">
        <v>7</v>
      </c>
      <c r="X852" t="str">
        <f>TEXT(cleaneddata[[#This Row],[Order Date]],"mmm")</f>
        <v>Mar</v>
      </c>
      <c r="Y852">
        <f>cleaneddata[[#This Row],[Unit Price]]*cleaneddata[[#This Row],[Quantity]]*(1-cleaneddata[[#This Row],[Discount %]]/100)</f>
        <v>848.87599999999998</v>
      </c>
      <c r="Z852">
        <f>cleaneddata[[#This Row],[sales]]-cleaneddata[[#This Row],[Cost]]</f>
        <v>208.67599999999993</v>
      </c>
    </row>
    <row r="853" spans="1:26" x14ac:dyDescent="0.3">
      <c r="A853" t="s">
        <v>2272</v>
      </c>
      <c r="B853" s="1">
        <v>46017</v>
      </c>
      <c r="C853" t="s">
        <v>2273</v>
      </c>
      <c r="D853" t="s">
        <v>2934</v>
      </c>
      <c r="E853" s="1">
        <v>46024</v>
      </c>
      <c r="F853" t="s">
        <v>40</v>
      </c>
      <c r="G853" t="s">
        <v>38</v>
      </c>
      <c r="H853" t="s">
        <v>39</v>
      </c>
      <c r="I853" t="s">
        <v>2654</v>
      </c>
      <c r="J853" t="s">
        <v>2684</v>
      </c>
      <c r="K853" t="s">
        <v>25</v>
      </c>
      <c r="L853">
        <v>50</v>
      </c>
      <c r="M853">
        <v>3</v>
      </c>
      <c r="N853">
        <v>0</v>
      </c>
      <c r="O853" t="s">
        <v>2274</v>
      </c>
      <c r="P853" t="s">
        <v>33</v>
      </c>
      <c r="Q853" t="s">
        <v>42</v>
      </c>
      <c r="R853" t="s">
        <v>62</v>
      </c>
      <c r="S853" t="s">
        <v>41</v>
      </c>
      <c r="T853">
        <v>2</v>
      </c>
      <c r="U853">
        <v>769.53</v>
      </c>
      <c r="V853">
        <v>1265.69</v>
      </c>
      <c r="W853">
        <v>7</v>
      </c>
      <c r="X853" t="str">
        <f>TEXT(cleaneddata[[#This Row],[Order Date]],"mmm")</f>
        <v>Dec</v>
      </c>
      <c r="Y853">
        <f>cleaneddata[[#This Row],[Unit Price]]*cleaneddata[[#This Row],[Quantity]]*(1-cleaneddata[[#This Row],[Discount %]]/100)</f>
        <v>2308.59</v>
      </c>
      <c r="Z853">
        <f>cleaneddata[[#This Row],[sales]]-cleaneddata[[#This Row],[Cost]]</f>
        <v>1042.9000000000001</v>
      </c>
    </row>
    <row r="854" spans="1:26" x14ac:dyDescent="0.3">
      <c r="A854" t="s">
        <v>2275</v>
      </c>
      <c r="B854" s="1">
        <v>45383</v>
      </c>
      <c r="C854" t="s">
        <v>2276</v>
      </c>
      <c r="D854" t="s">
        <v>2933</v>
      </c>
      <c r="E854" s="1">
        <v>45387</v>
      </c>
      <c r="F854" t="s">
        <v>122</v>
      </c>
      <c r="G854" t="s">
        <v>120</v>
      </c>
      <c r="H854" t="s">
        <v>121</v>
      </c>
      <c r="I854" t="s">
        <v>2625</v>
      </c>
      <c r="J854" t="s">
        <v>2626</v>
      </c>
      <c r="K854" t="s">
        <v>25</v>
      </c>
      <c r="L854">
        <v>59</v>
      </c>
      <c r="M854">
        <v>1</v>
      </c>
      <c r="N854">
        <v>30</v>
      </c>
      <c r="O854" t="s">
        <v>1093</v>
      </c>
      <c r="P854" t="s">
        <v>75</v>
      </c>
      <c r="Q854" t="s">
        <v>117</v>
      </c>
      <c r="R854" t="s">
        <v>43</v>
      </c>
      <c r="S854" t="s">
        <v>123</v>
      </c>
      <c r="T854">
        <v>4</v>
      </c>
      <c r="U854">
        <v>129.47</v>
      </c>
      <c r="V854">
        <v>72.36</v>
      </c>
      <c r="W854">
        <v>4</v>
      </c>
      <c r="X854" t="str">
        <f>TEXT(cleaneddata[[#This Row],[Order Date]],"mmm")</f>
        <v>Apr</v>
      </c>
      <c r="Y854">
        <f>cleaneddata[[#This Row],[Unit Price]]*cleaneddata[[#This Row],[Quantity]]*(1-cleaneddata[[#This Row],[Discount %]]/100)</f>
        <v>90.628999999999991</v>
      </c>
      <c r="Z854">
        <f>cleaneddata[[#This Row],[sales]]-cleaneddata[[#This Row],[Cost]]</f>
        <v>18.268999999999991</v>
      </c>
    </row>
    <row r="855" spans="1:26" x14ac:dyDescent="0.3">
      <c r="A855" t="s">
        <v>2277</v>
      </c>
      <c r="B855" s="1">
        <v>45744</v>
      </c>
      <c r="C855" t="s">
        <v>2278</v>
      </c>
      <c r="D855" t="s">
        <v>2932</v>
      </c>
      <c r="E855" s="1">
        <v>45748</v>
      </c>
      <c r="F855" t="s">
        <v>100</v>
      </c>
      <c r="G855" t="s">
        <v>98</v>
      </c>
      <c r="H855" t="s">
        <v>99</v>
      </c>
      <c r="I855" t="s">
        <v>2623</v>
      </c>
      <c r="J855" t="s">
        <v>2691</v>
      </c>
      <c r="K855" t="s">
        <v>52</v>
      </c>
      <c r="L855">
        <v>56</v>
      </c>
      <c r="M855">
        <v>2</v>
      </c>
      <c r="N855">
        <v>25</v>
      </c>
      <c r="O855" t="s">
        <v>359</v>
      </c>
      <c r="P855" t="s">
        <v>75</v>
      </c>
      <c r="Q855" t="s">
        <v>70</v>
      </c>
      <c r="R855" t="s">
        <v>32</v>
      </c>
      <c r="S855" t="s">
        <v>101</v>
      </c>
      <c r="T855">
        <v>3</v>
      </c>
      <c r="U855">
        <v>632.55999999999995</v>
      </c>
      <c r="V855">
        <v>712.9</v>
      </c>
      <c r="W855">
        <v>4</v>
      </c>
      <c r="X855" t="str">
        <f>TEXT(cleaneddata[[#This Row],[Order Date]],"mmm")</f>
        <v>Mar</v>
      </c>
      <c r="Y855">
        <f>cleaneddata[[#This Row],[Unit Price]]*cleaneddata[[#This Row],[Quantity]]*(1-cleaneddata[[#This Row],[Discount %]]/100)</f>
        <v>948.83999999999992</v>
      </c>
      <c r="Z855">
        <f>cleaneddata[[#This Row],[sales]]-cleaneddata[[#This Row],[Cost]]</f>
        <v>235.93999999999994</v>
      </c>
    </row>
    <row r="856" spans="1:26" x14ac:dyDescent="0.3">
      <c r="A856" t="s">
        <v>2279</v>
      </c>
      <c r="B856" s="1">
        <v>45612</v>
      </c>
      <c r="C856" t="s">
        <v>2280</v>
      </c>
      <c r="D856" t="s">
        <v>2931</v>
      </c>
      <c r="E856" s="1">
        <v>45614</v>
      </c>
      <c r="F856" t="s">
        <v>128</v>
      </c>
      <c r="G856" t="s">
        <v>98</v>
      </c>
      <c r="H856" t="s">
        <v>127</v>
      </c>
      <c r="I856" t="s">
        <v>2652</v>
      </c>
      <c r="J856" t="s">
        <v>2706</v>
      </c>
      <c r="K856" t="s">
        <v>25</v>
      </c>
      <c r="L856">
        <v>41</v>
      </c>
      <c r="M856">
        <v>2</v>
      </c>
      <c r="N856">
        <v>15</v>
      </c>
      <c r="O856" t="s">
        <v>2281</v>
      </c>
      <c r="P856" t="s">
        <v>33</v>
      </c>
      <c r="Q856" t="s">
        <v>42</v>
      </c>
      <c r="R856" t="s">
        <v>62</v>
      </c>
      <c r="S856" t="s">
        <v>129</v>
      </c>
      <c r="T856">
        <v>5</v>
      </c>
      <c r="U856">
        <v>849.02</v>
      </c>
      <c r="V856">
        <v>1027.22</v>
      </c>
      <c r="W856">
        <v>2</v>
      </c>
      <c r="X856" t="str">
        <f>TEXT(cleaneddata[[#This Row],[Order Date]],"mmm")</f>
        <v>Nov</v>
      </c>
      <c r="Y856">
        <f>cleaneddata[[#This Row],[Unit Price]]*cleaneddata[[#This Row],[Quantity]]*(1-cleaneddata[[#This Row],[Discount %]]/100)</f>
        <v>1443.3339999999998</v>
      </c>
      <c r="Z856">
        <f>cleaneddata[[#This Row],[sales]]-cleaneddata[[#This Row],[Cost]]</f>
        <v>416.11399999999981</v>
      </c>
    </row>
    <row r="857" spans="1:26" x14ac:dyDescent="0.3">
      <c r="A857" t="s">
        <v>2282</v>
      </c>
      <c r="B857" s="1">
        <v>45781</v>
      </c>
      <c r="C857" t="s">
        <v>2283</v>
      </c>
      <c r="D857" t="s">
        <v>2930</v>
      </c>
      <c r="E857" s="1">
        <v>45788</v>
      </c>
      <c r="F857" t="s">
        <v>140</v>
      </c>
      <c r="G857" t="s">
        <v>38</v>
      </c>
      <c r="H857" t="s">
        <v>139</v>
      </c>
      <c r="I857" t="s">
        <v>2637</v>
      </c>
      <c r="J857" t="s">
        <v>2649</v>
      </c>
      <c r="K857" t="s">
        <v>25</v>
      </c>
      <c r="L857">
        <v>27</v>
      </c>
      <c r="M857">
        <v>5</v>
      </c>
      <c r="N857">
        <v>15</v>
      </c>
      <c r="O857" t="s">
        <v>2045</v>
      </c>
      <c r="P857" t="s">
        <v>75</v>
      </c>
      <c r="Q857" t="s">
        <v>31</v>
      </c>
      <c r="R857" t="s">
        <v>32</v>
      </c>
      <c r="S857" t="s">
        <v>141</v>
      </c>
      <c r="T857">
        <v>3</v>
      </c>
      <c r="U857">
        <v>258.74</v>
      </c>
      <c r="V857">
        <v>760.35</v>
      </c>
      <c r="W857">
        <v>7</v>
      </c>
      <c r="X857" t="str">
        <f>TEXT(cleaneddata[[#This Row],[Order Date]],"mmm")</f>
        <v>May</v>
      </c>
      <c r="Y857">
        <f>cleaneddata[[#This Row],[Unit Price]]*cleaneddata[[#This Row],[Quantity]]*(1-cleaneddata[[#This Row],[Discount %]]/100)</f>
        <v>1099.645</v>
      </c>
      <c r="Z857">
        <f>cleaneddata[[#This Row],[sales]]-cleaneddata[[#This Row],[Cost]]</f>
        <v>339.29499999999996</v>
      </c>
    </row>
    <row r="858" spans="1:26" x14ac:dyDescent="0.3">
      <c r="A858" t="s">
        <v>2284</v>
      </c>
      <c r="B858" s="1">
        <v>46158</v>
      </c>
      <c r="C858" t="s">
        <v>2285</v>
      </c>
      <c r="D858" t="s">
        <v>2929</v>
      </c>
      <c r="E858" s="1">
        <v>46159</v>
      </c>
      <c r="F858" t="s">
        <v>122</v>
      </c>
      <c r="G858" t="s">
        <v>120</v>
      </c>
      <c r="H858" t="s">
        <v>121</v>
      </c>
      <c r="I858" t="s">
        <v>2668</v>
      </c>
      <c r="J858" t="s">
        <v>2682</v>
      </c>
      <c r="K858" t="s">
        <v>25</v>
      </c>
      <c r="L858">
        <v>26</v>
      </c>
      <c r="M858">
        <v>2</v>
      </c>
      <c r="N858">
        <v>20</v>
      </c>
      <c r="O858" t="s">
        <v>2286</v>
      </c>
      <c r="P858" t="s">
        <v>75</v>
      </c>
      <c r="Q858" t="s">
        <v>31</v>
      </c>
      <c r="R858" t="s">
        <v>43</v>
      </c>
      <c r="S858" t="s">
        <v>123</v>
      </c>
      <c r="T858">
        <v>2</v>
      </c>
      <c r="U858">
        <v>882.36</v>
      </c>
      <c r="V858">
        <v>961.12</v>
      </c>
      <c r="W858">
        <v>1</v>
      </c>
      <c r="X858" t="str">
        <f>TEXT(cleaneddata[[#This Row],[Order Date]],"mmm")</f>
        <v>May</v>
      </c>
      <c r="Y858">
        <f>cleaneddata[[#This Row],[Unit Price]]*cleaneddata[[#This Row],[Quantity]]*(1-cleaneddata[[#This Row],[Discount %]]/100)</f>
        <v>1411.7760000000001</v>
      </c>
      <c r="Z858">
        <f>cleaneddata[[#This Row],[sales]]-cleaneddata[[#This Row],[Cost]]</f>
        <v>450.65600000000006</v>
      </c>
    </row>
    <row r="859" spans="1:26" x14ac:dyDescent="0.3">
      <c r="A859" t="s">
        <v>2287</v>
      </c>
      <c r="B859" s="1">
        <v>46006</v>
      </c>
      <c r="C859" t="s">
        <v>2288</v>
      </c>
      <c r="D859" t="s">
        <v>2928</v>
      </c>
      <c r="E859" s="1">
        <v>46010</v>
      </c>
      <c r="F859" t="s">
        <v>29</v>
      </c>
      <c r="G859" t="s">
        <v>27</v>
      </c>
      <c r="H859" t="s">
        <v>28</v>
      </c>
      <c r="I859" t="s">
        <v>2623</v>
      </c>
      <c r="J859" t="s">
        <v>2691</v>
      </c>
      <c r="K859" t="s">
        <v>25</v>
      </c>
      <c r="L859">
        <v>58</v>
      </c>
      <c r="M859">
        <v>4</v>
      </c>
      <c r="N859">
        <v>0</v>
      </c>
      <c r="O859" t="s">
        <v>1723</v>
      </c>
      <c r="P859" t="s">
        <v>44</v>
      </c>
      <c r="Q859" t="s">
        <v>31</v>
      </c>
      <c r="R859" t="s">
        <v>32</v>
      </c>
      <c r="S859" t="s">
        <v>30</v>
      </c>
      <c r="T859">
        <v>5</v>
      </c>
      <c r="U859">
        <v>202.32</v>
      </c>
      <c r="V859">
        <v>419.93</v>
      </c>
      <c r="W859">
        <v>4</v>
      </c>
      <c r="X859" t="str">
        <f>TEXT(cleaneddata[[#This Row],[Order Date]],"mmm")</f>
        <v>Dec</v>
      </c>
      <c r="Y859">
        <f>cleaneddata[[#This Row],[Unit Price]]*cleaneddata[[#This Row],[Quantity]]*(1-cleaneddata[[#This Row],[Discount %]]/100)</f>
        <v>809.28</v>
      </c>
      <c r="Z859">
        <f>cleaneddata[[#This Row],[sales]]-cleaneddata[[#This Row],[Cost]]</f>
        <v>389.34999999999997</v>
      </c>
    </row>
    <row r="860" spans="1:26" x14ac:dyDescent="0.3">
      <c r="A860" t="s">
        <v>2289</v>
      </c>
      <c r="B860" s="1">
        <v>46115</v>
      </c>
      <c r="C860" t="s">
        <v>2290</v>
      </c>
      <c r="D860" t="s">
        <v>2927</v>
      </c>
      <c r="E860" s="1">
        <v>46116</v>
      </c>
      <c r="F860" t="s">
        <v>115</v>
      </c>
      <c r="G860" t="s">
        <v>66</v>
      </c>
      <c r="H860" t="s">
        <v>114</v>
      </c>
      <c r="I860" t="s">
        <v>2634</v>
      </c>
      <c r="J860" t="s">
        <v>2650</v>
      </c>
      <c r="K860" t="s">
        <v>52</v>
      </c>
      <c r="L860">
        <v>48</v>
      </c>
      <c r="M860">
        <v>3</v>
      </c>
      <c r="N860">
        <v>25</v>
      </c>
      <c r="O860" t="s">
        <v>2291</v>
      </c>
      <c r="P860" t="s">
        <v>33</v>
      </c>
      <c r="Q860" t="s">
        <v>42</v>
      </c>
      <c r="R860" t="s">
        <v>71</v>
      </c>
      <c r="S860" t="s">
        <v>116</v>
      </c>
      <c r="T860">
        <v>2</v>
      </c>
      <c r="U860">
        <v>391.89</v>
      </c>
      <c r="V860">
        <v>542.44000000000005</v>
      </c>
      <c r="W860">
        <v>1</v>
      </c>
      <c r="X860" t="str">
        <f>TEXT(cleaneddata[[#This Row],[Order Date]],"mmm")</f>
        <v>Apr</v>
      </c>
      <c r="Y860">
        <f>cleaneddata[[#This Row],[Unit Price]]*cleaneddata[[#This Row],[Quantity]]*(1-cleaneddata[[#This Row],[Discount %]]/100)</f>
        <v>881.75250000000005</v>
      </c>
      <c r="Z860">
        <f>cleaneddata[[#This Row],[sales]]-cleaneddata[[#This Row],[Cost]]</f>
        <v>339.3125</v>
      </c>
    </row>
    <row r="861" spans="1:26" x14ac:dyDescent="0.3">
      <c r="A861" t="s">
        <v>2292</v>
      </c>
      <c r="B861" s="1">
        <v>45363</v>
      </c>
      <c r="C861" t="s">
        <v>2293</v>
      </c>
      <c r="D861" t="s">
        <v>2926</v>
      </c>
      <c r="E861" s="1">
        <v>45364</v>
      </c>
      <c r="F861" t="s">
        <v>29</v>
      </c>
      <c r="G861" t="s">
        <v>27</v>
      </c>
      <c r="H861" t="s">
        <v>28</v>
      </c>
      <c r="I861" t="s">
        <v>2631</v>
      </c>
      <c r="J861" t="s">
        <v>2694</v>
      </c>
      <c r="K861" t="s">
        <v>25</v>
      </c>
      <c r="L861">
        <v>37</v>
      </c>
      <c r="M861">
        <v>5</v>
      </c>
      <c r="N861">
        <v>25</v>
      </c>
      <c r="O861" t="s">
        <v>2294</v>
      </c>
      <c r="P861" t="s">
        <v>33</v>
      </c>
      <c r="Q861" t="s">
        <v>42</v>
      </c>
      <c r="R861" t="s">
        <v>43</v>
      </c>
      <c r="S861" t="s">
        <v>30</v>
      </c>
      <c r="T861">
        <v>5</v>
      </c>
      <c r="U861">
        <v>609.29</v>
      </c>
      <c r="V861">
        <v>1309.47</v>
      </c>
      <c r="W861">
        <v>1</v>
      </c>
      <c r="X861" t="str">
        <f>TEXT(cleaneddata[[#This Row],[Order Date]],"mmm")</f>
        <v>Mar</v>
      </c>
      <c r="Y861">
        <f>cleaneddata[[#This Row],[Unit Price]]*cleaneddata[[#This Row],[Quantity]]*(1-cleaneddata[[#This Row],[Discount %]]/100)</f>
        <v>2284.8374999999996</v>
      </c>
      <c r="Z861">
        <f>cleaneddata[[#This Row],[sales]]-cleaneddata[[#This Row],[Cost]]</f>
        <v>975.36749999999961</v>
      </c>
    </row>
    <row r="862" spans="1:26" x14ac:dyDescent="0.3">
      <c r="A862" t="s">
        <v>2295</v>
      </c>
      <c r="B862" s="1">
        <v>45295</v>
      </c>
      <c r="C862" t="s">
        <v>2296</v>
      </c>
      <c r="D862" t="s">
        <v>2925</v>
      </c>
      <c r="E862" s="1">
        <v>45297</v>
      </c>
      <c r="F862" t="s">
        <v>68</v>
      </c>
      <c r="G862" t="s">
        <v>66</v>
      </c>
      <c r="H862" t="s">
        <v>67</v>
      </c>
      <c r="I862" t="s">
        <v>2623</v>
      </c>
      <c r="J862" t="s">
        <v>2691</v>
      </c>
      <c r="K862" t="s">
        <v>25</v>
      </c>
      <c r="L862">
        <v>43</v>
      </c>
      <c r="M862">
        <v>2</v>
      </c>
      <c r="N862">
        <v>10</v>
      </c>
      <c r="O862" t="s">
        <v>969</v>
      </c>
      <c r="P862" t="s">
        <v>33</v>
      </c>
      <c r="Q862" t="s">
        <v>42</v>
      </c>
      <c r="R862" t="s">
        <v>71</v>
      </c>
      <c r="S862" t="s">
        <v>69</v>
      </c>
      <c r="T862">
        <v>3</v>
      </c>
      <c r="U862">
        <v>349.45</v>
      </c>
      <c r="V862">
        <v>346.33</v>
      </c>
      <c r="W862">
        <v>2</v>
      </c>
      <c r="X862" t="str">
        <f>TEXT(cleaneddata[[#This Row],[Order Date]],"mmm")</f>
        <v>Jan</v>
      </c>
      <c r="Y862">
        <f>cleaneddata[[#This Row],[Unit Price]]*cleaneddata[[#This Row],[Quantity]]*(1-cleaneddata[[#This Row],[Discount %]]/100)</f>
        <v>629.01</v>
      </c>
      <c r="Z862">
        <f>cleaneddata[[#This Row],[sales]]-cleaneddata[[#This Row],[Cost]]</f>
        <v>282.68</v>
      </c>
    </row>
    <row r="863" spans="1:26" x14ac:dyDescent="0.3">
      <c r="A863" t="s">
        <v>2297</v>
      </c>
      <c r="B863" s="1">
        <v>46115</v>
      </c>
      <c r="C863" t="s">
        <v>2298</v>
      </c>
      <c r="D863" t="s">
        <v>2924</v>
      </c>
      <c r="E863" s="1">
        <v>46121</v>
      </c>
      <c r="F863" t="s">
        <v>56</v>
      </c>
      <c r="G863" t="s">
        <v>54</v>
      </c>
      <c r="H863" t="s">
        <v>55</v>
      </c>
      <c r="I863" t="s">
        <v>2633</v>
      </c>
      <c r="J863" t="s">
        <v>2695</v>
      </c>
      <c r="K863" t="s">
        <v>25</v>
      </c>
      <c r="L863">
        <v>39</v>
      </c>
      <c r="M863">
        <v>5</v>
      </c>
      <c r="N863">
        <v>25</v>
      </c>
      <c r="O863" t="s">
        <v>693</v>
      </c>
      <c r="P863" t="s">
        <v>75</v>
      </c>
      <c r="Q863" t="s">
        <v>42</v>
      </c>
      <c r="R863" t="s">
        <v>43</v>
      </c>
      <c r="S863" t="s">
        <v>57</v>
      </c>
      <c r="T863">
        <v>3</v>
      </c>
      <c r="U863">
        <v>172.66</v>
      </c>
      <c r="V863">
        <v>514.34</v>
      </c>
      <c r="W863">
        <v>6</v>
      </c>
      <c r="X863" t="str">
        <f>TEXT(cleaneddata[[#This Row],[Order Date]],"mmm")</f>
        <v>Apr</v>
      </c>
      <c r="Y863">
        <f>cleaneddata[[#This Row],[Unit Price]]*cleaneddata[[#This Row],[Quantity]]*(1-cleaneddata[[#This Row],[Discount %]]/100)</f>
        <v>647.47499999999991</v>
      </c>
      <c r="Z863">
        <f>cleaneddata[[#This Row],[sales]]-cleaneddata[[#This Row],[Cost]]</f>
        <v>133.13499999999988</v>
      </c>
    </row>
    <row r="864" spans="1:26" x14ac:dyDescent="0.3">
      <c r="A864" t="s">
        <v>2299</v>
      </c>
      <c r="B864" s="1">
        <v>45991</v>
      </c>
      <c r="C864" t="s">
        <v>2300</v>
      </c>
      <c r="D864" t="s">
        <v>2923</v>
      </c>
      <c r="E864" s="1">
        <v>45992</v>
      </c>
      <c r="F864" t="s">
        <v>56</v>
      </c>
      <c r="G864" t="s">
        <v>54</v>
      </c>
      <c r="H864" t="s">
        <v>55</v>
      </c>
      <c r="I864" t="s">
        <v>2654</v>
      </c>
      <c r="J864" t="s">
        <v>2702</v>
      </c>
      <c r="K864" t="s">
        <v>25</v>
      </c>
      <c r="L864">
        <v>35</v>
      </c>
      <c r="M864">
        <v>2</v>
      </c>
      <c r="N864">
        <v>15</v>
      </c>
      <c r="O864" t="s">
        <v>832</v>
      </c>
      <c r="P864" t="s">
        <v>44</v>
      </c>
      <c r="Q864" t="s">
        <v>70</v>
      </c>
      <c r="R864" t="s">
        <v>71</v>
      </c>
      <c r="S864" t="s">
        <v>57</v>
      </c>
      <c r="T864">
        <v>3</v>
      </c>
      <c r="U864">
        <v>905.65</v>
      </c>
      <c r="V864">
        <v>1160.08</v>
      </c>
      <c r="W864">
        <v>1</v>
      </c>
      <c r="X864" t="str">
        <f>TEXT(cleaneddata[[#This Row],[Order Date]],"mmm")</f>
        <v>Nov</v>
      </c>
      <c r="Y864">
        <f>cleaneddata[[#This Row],[Unit Price]]*cleaneddata[[#This Row],[Quantity]]*(1-cleaneddata[[#This Row],[Discount %]]/100)</f>
        <v>1539.605</v>
      </c>
      <c r="Z864">
        <f>cleaneddata[[#This Row],[sales]]-cleaneddata[[#This Row],[Cost]]</f>
        <v>379.52500000000009</v>
      </c>
    </row>
    <row r="865" spans="1:26" x14ac:dyDescent="0.3">
      <c r="A865" t="s">
        <v>2301</v>
      </c>
      <c r="B865" s="1">
        <v>45345</v>
      </c>
      <c r="C865" t="s">
        <v>2302</v>
      </c>
      <c r="D865" t="s">
        <v>2922</v>
      </c>
      <c r="E865" s="1">
        <v>45350</v>
      </c>
      <c r="F865" t="s">
        <v>29</v>
      </c>
      <c r="G865" t="s">
        <v>27</v>
      </c>
      <c r="H865" t="s">
        <v>28</v>
      </c>
      <c r="I865" t="s">
        <v>2629</v>
      </c>
      <c r="J865" t="s">
        <v>2689</v>
      </c>
      <c r="K865" t="s">
        <v>25</v>
      </c>
      <c r="L865">
        <v>33</v>
      </c>
      <c r="M865">
        <v>1</v>
      </c>
      <c r="N865">
        <v>30</v>
      </c>
      <c r="O865" t="s">
        <v>2303</v>
      </c>
      <c r="P865" t="s">
        <v>44</v>
      </c>
      <c r="Q865" t="s">
        <v>42</v>
      </c>
      <c r="R865" t="s">
        <v>32</v>
      </c>
      <c r="S865" t="s">
        <v>30</v>
      </c>
      <c r="T865">
        <v>2</v>
      </c>
      <c r="U865">
        <v>833.89</v>
      </c>
      <c r="V865">
        <v>413.64</v>
      </c>
      <c r="W865">
        <v>5</v>
      </c>
      <c r="X865" t="str">
        <f>TEXT(cleaneddata[[#This Row],[Order Date]],"mmm")</f>
        <v>Feb</v>
      </c>
      <c r="Y865">
        <f>cleaneddata[[#This Row],[Unit Price]]*cleaneddata[[#This Row],[Quantity]]*(1-cleaneddata[[#This Row],[Discount %]]/100)</f>
        <v>583.72299999999996</v>
      </c>
      <c r="Z865">
        <f>cleaneddata[[#This Row],[sales]]-cleaneddata[[#This Row],[Cost]]</f>
        <v>170.08299999999997</v>
      </c>
    </row>
    <row r="866" spans="1:26" x14ac:dyDescent="0.3">
      <c r="A866" t="s">
        <v>2304</v>
      </c>
      <c r="B866" s="1">
        <v>45793</v>
      </c>
      <c r="C866" t="s">
        <v>2305</v>
      </c>
      <c r="D866" t="s">
        <v>2921</v>
      </c>
      <c r="E866" s="1">
        <v>45798</v>
      </c>
      <c r="F866" t="s">
        <v>122</v>
      </c>
      <c r="G866" t="s">
        <v>120</v>
      </c>
      <c r="H866" t="s">
        <v>121</v>
      </c>
      <c r="I866" t="s">
        <v>2672</v>
      </c>
      <c r="J866" t="s">
        <v>2716</v>
      </c>
      <c r="K866" t="s">
        <v>25</v>
      </c>
      <c r="L866">
        <v>60</v>
      </c>
      <c r="M866">
        <v>4</v>
      </c>
      <c r="N866">
        <v>10</v>
      </c>
      <c r="O866" t="s">
        <v>832</v>
      </c>
      <c r="P866" t="s">
        <v>44</v>
      </c>
      <c r="Q866" t="s">
        <v>42</v>
      </c>
      <c r="R866" t="s">
        <v>32</v>
      </c>
      <c r="S866" t="s">
        <v>123</v>
      </c>
      <c r="T866">
        <v>2</v>
      </c>
      <c r="U866">
        <v>631.94000000000005</v>
      </c>
      <c r="V866">
        <v>1697.36</v>
      </c>
      <c r="W866">
        <v>5</v>
      </c>
      <c r="X866" t="str">
        <f>TEXT(cleaneddata[[#This Row],[Order Date]],"mmm")</f>
        <v>May</v>
      </c>
      <c r="Y866">
        <f>cleaneddata[[#This Row],[Unit Price]]*cleaneddata[[#This Row],[Quantity]]*(1-cleaneddata[[#This Row],[Discount %]]/100)</f>
        <v>2274.9840000000004</v>
      </c>
      <c r="Z866">
        <f>cleaneddata[[#This Row],[sales]]-cleaneddata[[#This Row],[Cost]]</f>
        <v>577.62400000000048</v>
      </c>
    </row>
    <row r="867" spans="1:26" x14ac:dyDescent="0.3">
      <c r="A867" t="s">
        <v>2306</v>
      </c>
      <c r="B867" s="1">
        <v>45713</v>
      </c>
      <c r="C867" t="s">
        <v>2307</v>
      </c>
      <c r="D867" t="s">
        <v>2920</v>
      </c>
      <c r="E867" s="1">
        <v>45719</v>
      </c>
      <c r="F867" t="s">
        <v>140</v>
      </c>
      <c r="G867" t="s">
        <v>38</v>
      </c>
      <c r="H867" t="s">
        <v>139</v>
      </c>
      <c r="I867" t="s">
        <v>2661</v>
      </c>
      <c r="J867" t="s">
        <v>2700</v>
      </c>
      <c r="K867" t="s">
        <v>25</v>
      </c>
      <c r="L867">
        <v>61</v>
      </c>
      <c r="M867">
        <v>3</v>
      </c>
      <c r="N867">
        <v>0</v>
      </c>
      <c r="O867" t="s">
        <v>2308</v>
      </c>
      <c r="P867" t="s">
        <v>44</v>
      </c>
      <c r="Q867" t="s">
        <v>117</v>
      </c>
      <c r="R867" t="s">
        <v>62</v>
      </c>
      <c r="S867" t="s">
        <v>141</v>
      </c>
      <c r="T867">
        <v>2</v>
      </c>
      <c r="U867">
        <v>47.77</v>
      </c>
      <c r="V867">
        <v>81.17</v>
      </c>
      <c r="W867">
        <v>6</v>
      </c>
      <c r="X867" t="str">
        <f>TEXT(cleaneddata[[#This Row],[Order Date]],"mmm")</f>
        <v>Feb</v>
      </c>
      <c r="Y867">
        <f>cleaneddata[[#This Row],[Unit Price]]*cleaneddata[[#This Row],[Quantity]]*(1-cleaneddata[[#This Row],[Discount %]]/100)</f>
        <v>143.31</v>
      </c>
      <c r="Z867">
        <f>cleaneddata[[#This Row],[sales]]-cleaneddata[[#This Row],[Cost]]</f>
        <v>62.14</v>
      </c>
    </row>
    <row r="868" spans="1:26" x14ac:dyDescent="0.3">
      <c r="A868" t="s">
        <v>2309</v>
      </c>
      <c r="B868" s="1">
        <v>45340</v>
      </c>
      <c r="C868" t="s">
        <v>2310</v>
      </c>
      <c r="D868" t="s">
        <v>2919</v>
      </c>
      <c r="E868" s="1">
        <v>45345</v>
      </c>
      <c r="F868" t="s">
        <v>29</v>
      </c>
      <c r="G868" t="s">
        <v>27</v>
      </c>
      <c r="H868" t="s">
        <v>28</v>
      </c>
      <c r="I868" t="s">
        <v>2625</v>
      </c>
      <c r="J868" t="s">
        <v>2651</v>
      </c>
      <c r="K868" t="s">
        <v>52</v>
      </c>
      <c r="L868">
        <v>32</v>
      </c>
      <c r="M868">
        <v>3</v>
      </c>
      <c r="N868">
        <v>0</v>
      </c>
      <c r="O868" t="s">
        <v>821</v>
      </c>
      <c r="P868" t="s">
        <v>75</v>
      </c>
      <c r="Q868" t="s">
        <v>31</v>
      </c>
      <c r="R868" t="s">
        <v>43</v>
      </c>
      <c r="S868" t="s">
        <v>30</v>
      </c>
      <c r="T868">
        <v>3</v>
      </c>
      <c r="U868">
        <v>97.46</v>
      </c>
      <c r="V868">
        <v>146.54</v>
      </c>
      <c r="W868">
        <v>5</v>
      </c>
      <c r="X868" t="str">
        <f>TEXT(cleaneddata[[#This Row],[Order Date]],"mmm")</f>
        <v>Feb</v>
      </c>
      <c r="Y868">
        <f>cleaneddata[[#This Row],[Unit Price]]*cleaneddata[[#This Row],[Quantity]]*(1-cleaneddata[[#This Row],[Discount %]]/100)</f>
        <v>292.38</v>
      </c>
      <c r="Z868">
        <f>cleaneddata[[#This Row],[sales]]-cleaneddata[[#This Row],[Cost]]</f>
        <v>145.84</v>
      </c>
    </row>
    <row r="869" spans="1:26" x14ac:dyDescent="0.3">
      <c r="A869" t="s">
        <v>2311</v>
      </c>
      <c r="B869" s="1">
        <v>46161</v>
      </c>
      <c r="C869" t="s">
        <v>2312</v>
      </c>
      <c r="D869" t="s">
        <v>2918</v>
      </c>
      <c r="E869" s="1">
        <v>46163</v>
      </c>
      <c r="F869" t="s">
        <v>29</v>
      </c>
      <c r="G869" t="s">
        <v>27</v>
      </c>
      <c r="H869" t="s">
        <v>28</v>
      </c>
      <c r="I869" t="s">
        <v>2629</v>
      </c>
      <c r="J869" t="s">
        <v>2630</v>
      </c>
      <c r="K869" t="s">
        <v>52</v>
      </c>
      <c r="L869">
        <v>51</v>
      </c>
      <c r="M869">
        <v>2</v>
      </c>
      <c r="N869">
        <v>10</v>
      </c>
      <c r="O869" t="s">
        <v>2313</v>
      </c>
      <c r="P869" t="s">
        <v>33</v>
      </c>
      <c r="Q869" t="s">
        <v>117</v>
      </c>
      <c r="R869" t="s">
        <v>43</v>
      </c>
      <c r="S869" t="s">
        <v>30</v>
      </c>
      <c r="T869">
        <v>3</v>
      </c>
      <c r="U869">
        <v>163.69</v>
      </c>
      <c r="V869">
        <v>213.53</v>
      </c>
      <c r="W869">
        <v>2</v>
      </c>
      <c r="X869" t="str">
        <f>TEXT(cleaneddata[[#This Row],[Order Date]],"mmm")</f>
        <v>May</v>
      </c>
      <c r="Y869">
        <f>cleaneddata[[#This Row],[Unit Price]]*cleaneddata[[#This Row],[Quantity]]*(1-cleaneddata[[#This Row],[Discount %]]/100)</f>
        <v>294.642</v>
      </c>
      <c r="Z869">
        <f>cleaneddata[[#This Row],[sales]]-cleaneddata[[#This Row],[Cost]]</f>
        <v>81.111999999999995</v>
      </c>
    </row>
    <row r="870" spans="1:26" x14ac:dyDescent="0.3">
      <c r="A870" t="s">
        <v>2314</v>
      </c>
      <c r="B870" s="1">
        <v>45860</v>
      </c>
      <c r="C870" t="s">
        <v>2315</v>
      </c>
      <c r="D870" t="s">
        <v>2917</v>
      </c>
      <c r="E870" s="1">
        <v>45864</v>
      </c>
      <c r="F870" t="s">
        <v>100</v>
      </c>
      <c r="G870" t="s">
        <v>98</v>
      </c>
      <c r="H870" t="s">
        <v>99</v>
      </c>
      <c r="I870" t="s">
        <v>2634</v>
      </c>
      <c r="J870" t="s">
        <v>2650</v>
      </c>
      <c r="K870" t="s">
        <v>52</v>
      </c>
      <c r="L870">
        <v>26</v>
      </c>
      <c r="M870">
        <v>2</v>
      </c>
      <c r="N870">
        <v>5</v>
      </c>
      <c r="O870" t="s">
        <v>693</v>
      </c>
      <c r="P870" t="s">
        <v>75</v>
      </c>
      <c r="Q870" t="s">
        <v>70</v>
      </c>
      <c r="R870" t="s">
        <v>62</v>
      </c>
      <c r="S870" t="s">
        <v>101</v>
      </c>
      <c r="T870">
        <v>2</v>
      </c>
      <c r="U870">
        <v>336.42</v>
      </c>
      <c r="V870">
        <v>454.3</v>
      </c>
      <c r="W870">
        <v>4</v>
      </c>
      <c r="X870" t="str">
        <f>TEXT(cleaneddata[[#This Row],[Order Date]],"mmm")</f>
        <v>Jul</v>
      </c>
      <c r="Y870">
        <f>cleaneddata[[#This Row],[Unit Price]]*cleaneddata[[#This Row],[Quantity]]*(1-cleaneddata[[#This Row],[Discount %]]/100)</f>
        <v>639.19799999999998</v>
      </c>
      <c r="Z870">
        <f>cleaneddata[[#This Row],[sales]]-cleaneddata[[#This Row],[Cost]]</f>
        <v>184.89799999999997</v>
      </c>
    </row>
    <row r="871" spans="1:26" x14ac:dyDescent="0.3">
      <c r="A871" t="s">
        <v>2316</v>
      </c>
      <c r="B871" s="1">
        <v>45863</v>
      </c>
      <c r="C871" t="s">
        <v>2317</v>
      </c>
      <c r="D871" t="s">
        <v>2916</v>
      </c>
      <c r="E871" s="1">
        <v>45867</v>
      </c>
      <c r="F871" t="s">
        <v>128</v>
      </c>
      <c r="G871" t="s">
        <v>98</v>
      </c>
      <c r="H871" t="s">
        <v>127</v>
      </c>
      <c r="I871" t="s">
        <v>2654</v>
      </c>
      <c r="J871" t="s">
        <v>2702</v>
      </c>
      <c r="K871" t="s">
        <v>25</v>
      </c>
      <c r="L871">
        <v>41</v>
      </c>
      <c r="M871">
        <v>2</v>
      </c>
      <c r="N871">
        <v>25</v>
      </c>
      <c r="O871" t="s">
        <v>1070</v>
      </c>
      <c r="P871" t="s">
        <v>44</v>
      </c>
      <c r="Q871" t="s">
        <v>70</v>
      </c>
      <c r="R871" t="s">
        <v>43</v>
      </c>
      <c r="S871" t="s">
        <v>129</v>
      </c>
      <c r="T871">
        <v>2</v>
      </c>
      <c r="U871">
        <v>165.57</v>
      </c>
      <c r="V871">
        <v>169.37</v>
      </c>
      <c r="W871">
        <v>4</v>
      </c>
      <c r="X871" t="str">
        <f>TEXT(cleaneddata[[#This Row],[Order Date]],"mmm")</f>
        <v>Jul</v>
      </c>
      <c r="Y871">
        <f>cleaneddata[[#This Row],[Unit Price]]*cleaneddata[[#This Row],[Quantity]]*(1-cleaneddata[[#This Row],[Discount %]]/100)</f>
        <v>248.35499999999999</v>
      </c>
      <c r="Z871">
        <f>cleaneddata[[#This Row],[sales]]-cleaneddata[[#This Row],[Cost]]</f>
        <v>78.984999999999985</v>
      </c>
    </row>
    <row r="872" spans="1:26" x14ac:dyDescent="0.3">
      <c r="A872" t="s">
        <v>2318</v>
      </c>
      <c r="B872" s="1">
        <v>45958</v>
      </c>
      <c r="C872" t="s">
        <v>2319</v>
      </c>
      <c r="D872" t="s">
        <v>2915</v>
      </c>
      <c r="E872" s="1">
        <v>45961</v>
      </c>
      <c r="F872" t="s">
        <v>29</v>
      </c>
      <c r="G872" t="s">
        <v>27</v>
      </c>
      <c r="H872" t="s">
        <v>28</v>
      </c>
      <c r="I872" t="s">
        <v>2679</v>
      </c>
      <c r="J872" t="s">
        <v>2685</v>
      </c>
      <c r="K872" t="s">
        <v>52</v>
      </c>
      <c r="L872">
        <v>59</v>
      </c>
      <c r="M872">
        <v>1</v>
      </c>
      <c r="N872">
        <v>30</v>
      </c>
      <c r="O872" t="s">
        <v>1848</v>
      </c>
      <c r="P872" t="s">
        <v>33</v>
      </c>
      <c r="Q872" t="s">
        <v>70</v>
      </c>
      <c r="R872" t="s">
        <v>43</v>
      </c>
      <c r="S872" t="s">
        <v>30</v>
      </c>
      <c r="T872">
        <v>4</v>
      </c>
      <c r="U872">
        <v>392.65</v>
      </c>
      <c r="V872">
        <v>218.78</v>
      </c>
      <c r="W872">
        <v>3</v>
      </c>
      <c r="X872" t="str">
        <f>TEXT(cleaneddata[[#This Row],[Order Date]],"mmm")</f>
        <v>Oct</v>
      </c>
      <c r="Y872">
        <f>cleaneddata[[#This Row],[Unit Price]]*cleaneddata[[#This Row],[Quantity]]*(1-cleaneddata[[#This Row],[Discount %]]/100)</f>
        <v>274.85499999999996</v>
      </c>
      <c r="Z872">
        <f>cleaneddata[[#This Row],[sales]]-cleaneddata[[#This Row],[Cost]]</f>
        <v>56.07499999999996</v>
      </c>
    </row>
    <row r="873" spans="1:26" x14ac:dyDescent="0.3">
      <c r="A873" t="s">
        <v>2320</v>
      </c>
      <c r="B873" s="1">
        <v>45750</v>
      </c>
      <c r="C873" t="s">
        <v>2321</v>
      </c>
      <c r="D873" t="s">
        <v>2914</v>
      </c>
      <c r="E873" s="1">
        <v>45753</v>
      </c>
      <c r="F873" t="s">
        <v>128</v>
      </c>
      <c r="G873" t="s">
        <v>98</v>
      </c>
      <c r="H873" t="s">
        <v>127</v>
      </c>
      <c r="I873" t="s">
        <v>2633</v>
      </c>
      <c r="J873" t="s">
        <v>2678</v>
      </c>
      <c r="K873" t="s">
        <v>52</v>
      </c>
      <c r="L873">
        <v>30</v>
      </c>
      <c r="M873">
        <v>3</v>
      </c>
      <c r="N873">
        <v>5</v>
      </c>
      <c r="O873" t="s">
        <v>2322</v>
      </c>
      <c r="P873" t="s">
        <v>44</v>
      </c>
      <c r="Q873" t="s">
        <v>70</v>
      </c>
      <c r="R873" t="s">
        <v>43</v>
      </c>
      <c r="S873" t="s">
        <v>129</v>
      </c>
      <c r="T873">
        <v>1</v>
      </c>
      <c r="U873">
        <v>483.44</v>
      </c>
      <c r="V873">
        <v>1136.78</v>
      </c>
      <c r="W873">
        <v>3</v>
      </c>
      <c r="X873" t="str">
        <f>TEXT(cleaneddata[[#This Row],[Order Date]],"mmm")</f>
        <v>Apr</v>
      </c>
      <c r="Y873">
        <f>cleaneddata[[#This Row],[Unit Price]]*cleaneddata[[#This Row],[Quantity]]*(1-cleaneddata[[#This Row],[Discount %]]/100)</f>
        <v>1377.8039999999999</v>
      </c>
      <c r="Z873">
        <f>cleaneddata[[#This Row],[sales]]-cleaneddata[[#This Row],[Cost]]</f>
        <v>241.02399999999989</v>
      </c>
    </row>
    <row r="874" spans="1:26" x14ac:dyDescent="0.3">
      <c r="A874" t="s">
        <v>2323</v>
      </c>
      <c r="B874" s="1">
        <v>45844</v>
      </c>
      <c r="C874" t="s">
        <v>2324</v>
      </c>
      <c r="D874" t="s">
        <v>2913</v>
      </c>
      <c r="E874" s="1">
        <v>45851</v>
      </c>
      <c r="F874" t="s">
        <v>140</v>
      </c>
      <c r="G874" t="s">
        <v>38</v>
      </c>
      <c r="H874" t="s">
        <v>139</v>
      </c>
      <c r="I874" t="s">
        <v>2672</v>
      </c>
      <c r="J874" t="s">
        <v>2673</v>
      </c>
      <c r="K874" t="s">
        <v>52</v>
      </c>
      <c r="L874">
        <v>56</v>
      </c>
      <c r="M874">
        <v>1</v>
      </c>
      <c r="N874">
        <v>5</v>
      </c>
      <c r="O874" t="s">
        <v>1209</v>
      </c>
      <c r="P874" t="s">
        <v>44</v>
      </c>
      <c r="Q874" t="s">
        <v>42</v>
      </c>
      <c r="R874" t="s">
        <v>43</v>
      </c>
      <c r="S874" t="s">
        <v>141</v>
      </c>
      <c r="T874">
        <v>3</v>
      </c>
      <c r="U874">
        <v>618.33000000000004</v>
      </c>
      <c r="V874">
        <v>449.77</v>
      </c>
      <c r="W874">
        <v>7</v>
      </c>
      <c r="X874" t="str">
        <f>TEXT(cleaneddata[[#This Row],[Order Date]],"mmm")</f>
        <v>Jul</v>
      </c>
      <c r="Y874">
        <f>cleaneddata[[#This Row],[Unit Price]]*cleaneddata[[#This Row],[Quantity]]*(1-cleaneddata[[#This Row],[Discount %]]/100)</f>
        <v>587.4135</v>
      </c>
      <c r="Z874">
        <f>cleaneddata[[#This Row],[sales]]-cleaneddata[[#This Row],[Cost]]</f>
        <v>137.64350000000002</v>
      </c>
    </row>
    <row r="875" spans="1:26" x14ac:dyDescent="0.3">
      <c r="A875" t="s">
        <v>2325</v>
      </c>
      <c r="B875" s="1">
        <v>46020</v>
      </c>
      <c r="C875" t="s">
        <v>2326</v>
      </c>
      <c r="D875" t="s">
        <v>2733</v>
      </c>
      <c r="E875" s="1">
        <v>46027</v>
      </c>
      <c r="F875" t="s">
        <v>100</v>
      </c>
      <c r="G875" t="s">
        <v>98</v>
      </c>
      <c r="H875" t="s">
        <v>99</v>
      </c>
      <c r="I875" t="s">
        <v>2641</v>
      </c>
      <c r="J875" t="s">
        <v>2692</v>
      </c>
      <c r="K875" t="s">
        <v>52</v>
      </c>
      <c r="L875">
        <v>58</v>
      </c>
      <c r="M875">
        <v>4</v>
      </c>
      <c r="N875">
        <v>10</v>
      </c>
      <c r="O875" t="s">
        <v>2327</v>
      </c>
      <c r="P875" t="s">
        <v>33</v>
      </c>
      <c r="Q875" t="s">
        <v>31</v>
      </c>
      <c r="R875" t="s">
        <v>43</v>
      </c>
      <c r="S875" t="s">
        <v>101</v>
      </c>
      <c r="T875">
        <v>2</v>
      </c>
      <c r="U875">
        <v>760.17</v>
      </c>
      <c r="V875">
        <v>1483.27</v>
      </c>
      <c r="W875">
        <v>7</v>
      </c>
      <c r="X875" t="str">
        <f>TEXT(cleaneddata[[#This Row],[Order Date]],"mmm")</f>
        <v>Dec</v>
      </c>
      <c r="Y875">
        <f>cleaneddata[[#This Row],[Unit Price]]*cleaneddata[[#This Row],[Quantity]]*(1-cleaneddata[[#This Row],[Discount %]]/100)</f>
        <v>2736.6120000000001</v>
      </c>
      <c r="Z875">
        <f>cleaneddata[[#This Row],[sales]]-cleaneddata[[#This Row],[Cost]]</f>
        <v>1253.3420000000001</v>
      </c>
    </row>
    <row r="876" spans="1:26" x14ac:dyDescent="0.3">
      <c r="A876" t="s">
        <v>2328</v>
      </c>
      <c r="B876" s="1">
        <v>45367</v>
      </c>
      <c r="C876" t="s">
        <v>2329</v>
      </c>
      <c r="D876" t="s">
        <v>2732</v>
      </c>
      <c r="E876" s="1">
        <v>45368</v>
      </c>
      <c r="F876" t="s">
        <v>56</v>
      </c>
      <c r="G876" t="s">
        <v>54</v>
      </c>
      <c r="H876" t="s">
        <v>55</v>
      </c>
      <c r="I876" t="s">
        <v>2622</v>
      </c>
      <c r="J876" t="s">
        <v>2622</v>
      </c>
      <c r="K876" t="s">
        <v>25</v>
      </c>
      <c r="L876">
        <v>63</v>
      </c>
      <c r="M876">
        <v>1</v>
      </c>
      <c r="N876">
        <v>30</v>
      </c>
      <c r="O876" t="s">
        <v>1250</v>
      </c>
      <c r="P876" t="s">
        <v>75</v>
      </c>
      <c r="Q876" t="s">
        <v>42</v>
      </c>
      <c r="R876" t="s">
        <v>43</v>
      </c>
      <c r="S876" t="s">
        <v>57</v>
      </c>
      <c r="T876">
        <v>4</v>
      </c>
      <c r="U876">
        <v>385.95</v>
      </c>
      <c r="V876">
        <v>223.65</v>
      </c>
      <c r="W876">
        <v>1</v>
      </c>
      <c r="X876" t="str">
        <f>TEXT(cleaneddata[[#This Row],[Order Date]],"mmm")</f>
        <v>Mar</v>
      </c>
      <c r="Y876">
        <f>cleaneddata[[#This Row],[Unit Price]]*cleaneddata[[#This Row],[Quantity]]*(1-cleaneddata[[#This Row],[Discount %]]/100)</f>
        <v>270.16499999999996</v>
      </c>
      <c r="Z876">
        <f>cleaneddata[[#This Row],[sales]]-cleaneddata[[#This Row],[Cost]]</f>
        <v>46.514999999999958</v>
      </c>
    </row>
    <row r="877" spans="1:26" x14ac:dyDescent="0.3">
      <c r="A877" t="s">
        <v>2330</v>
      </c>
      <c r="B877" s="1">
        <v>45990</v>
      </c>
      <c r="C877" t="s">
        <v>2331</v>
      </c>
      <c r="D877" t="s">
        <v>2731</v>
      </c>
      <c r="E877" s="1">
        <v>45993</v>
      </c>
      <c r="F877" t="s">
        <v>40</v>
      </c>
      <c r="G877" t="s">
        <v>38</v>
      </c>
      <c r="H877" t="s">
        <v>39</v>
      </c>
      <c r="I877" t="s">
        <v>2637</v>
      </c>
      <c r="J877" t="s">
        <v>2649</v>
      </c>
      <c r="K877" t="s">
        <v>52</v>
      </c>
      <c r="L877">
        <v>61</v>
      </c>
      <c r="M877">
        <v>5</v>
      </c>
      <c r="N877">
        <v>0</v>
      </c>
      <c r="O877" t="s">
        <v>1271</v>
      </c>
      <c r="P877" t="s">
        <v>75</v>
      </c>
      <c r="Q877" t="s">
        <v>70</v>
      </c>
      <c r="R877" t="s">
        <v>32</v>
      </c>
      <c r="S877" t="s">
        <v>41</v>
      </c>
      <c r="T877">
        <v>1</v>
      </c>
      <c r="U877">
        <v>318.04000000000002</v>
      </c>
      <c r="V877">
        <v>965.33</v>
      </c>
      <c r="W877">
        <v>3</v>
      </c>
      <c r="X877" t="str">
        <f>TEXT(cleaneddata[[#This Row],[Order Date]],"mmm")</f>
        <v>Nov</v>
      </c>
      <c r="Y877">
        <f>cleaneddata[[#This Row],[Unit Price]]*cleaneddata[[#This Row],[Quantity]]*(1-cleaneddata[[#This Row],[Discount %]]/100)</f>
        <v>1590.2</v>
      </c>
      <c r="Z877">
        <f>cleaneddata[[#This Row],[sales]]-cleaneddata[[#This Row],[Cost]]</f>
        <v>624.87</v>
      </c>
    </row>
    <row r="878" spans="1:26" x14ac:dyDescent="0.3">
      <c r="A878" t="s">
        <v>2332</v>
      </c>
      <c r="B878" s="1">
        <v>45927</v>
      </c>
      <c r="C878" t="s">
        <v>2333</v>
      </c>
      <c r="D878" t="s">
        <v>2730</v>
      </c>
      <c r="E878" s="1">
        <v>45931</v>
      </c>
      <c r="F878" t="s">
        <v>56</v>
      </c>
      <c r="G878" t="s">
        <v>54</v>
      </c>
      <c r="H878" t="s">
        <v>55</v>
      </c>
      <c r="I878" t="s">
        <v>2633</v>
      </c>
      <c r="J878" t="s">
        <v>2695</v>
      </c>
      <c r="K878" t="s">
        <v>52</v>
      </c>
      <c r="L878">
        <v>53</v>
      </c>
      <c r="M878">
        <v>2</v>
      </c>
      <c r="N878">
        <v>20</v>
      </c>
      <c r="O878" t="s">
        <v>1164</v>
      </c>
      <c r="P878" t="s">
        <v>33</v>
      </c>
      <c r="Q878" t="s">
        <v>70</v>
      </c>
      <c r="R878" t="s">
        <v>71</v>
      </c>
      <c r="S878" t="s">
        <v>57</v>
      </c>
      <c r="T878">
        <v>2</v>
      </c>
      <c r="U878">
        <v>20.100000000000001</v>
      </c>
      <c r="V878">
        <v>26.33</v>
      </c>
      <c r="W878">
        <v>4</v>
      </c>
      <c r="X878" t="str">
        <f>TEXT(cleaneddata[[#This Row],[Order Date]],"mmm")</f>
        <v>Sep</v>
      </c>
      <c r="Y878">
        <f>cleaneddata[[#This Row],[Unit Price]]*cleaneddata[[#This Row],[Quantity]]*(1-cleaneddata[[#This Row],[Discount %]]/100)</f>
        <v>32.160000000000004</v>
      </c>
      <c r="Z878">
        <f>cleaneddata[[#This Row],[sales]]-cleaneddata[[#This Row],[Cost]]</f>
        <v>5.8300000000000054</v>
      </c>
    </row>
    <row r="879" spans="1:26" x14ac:dyDescent="0.3">
      <c r="A879" t="s">
        <v>2334</v>
      </c>
      <c r="B879" s="1">
        <v>45458</v>
      </c>
      <c r="C879" t="s">
        <v>2335</v>
      </c>
      <c r="D879" t="s">
        <v>2912</v>
      </c>
      <c r="E879" s="1">
        <v>45461</v>
      </c>
      <c r="F879" t="s">
        <v>122</v>
      </c>
      <c r="G879" t="s">
        <v>120</v>
      </c>
      <c r="H879" t="s">
        <v>121</v>
      </c>
      <c r="I879" t="s">
        <v>2656</v>
      </c>
      <c r="J879" t="s">
        <v>2683</v>
      </c>
      <c r="K879" t="s">
        <v>52</v>
      </c>
      <c r="L879">
        <v>26</v>
      </c>
      <c r="M879">
        <v>2</v>
      </c>
      <c r="N879">
        <v>0</v>
      </c>
      <c r="O879" t="s">
        <v>1848</v>
      </c>
      <c r="P879" t="s">
        <v>44</v>
      </c>
      <c r="Q879" t="s">
        <v>117</v>
      </c>
      <c r="R879" t="s">
        <v>43</v>
      </c>
      <c r="S879" t="s">
        <v>123</v>
      </c>
      <c r="T879">
        <v>4</v>
      </c>
      <c r="U879">
        <v>32.49</v>
      </c>
      <c r="V879">
        <v>33.96</v>
      </c>
      <c r="W879">
        <v>3</v>
      </c>
      <c r="X879" t="str">
        <f>TEXT(cleaneddata[[#This Row],[Order Date]],"mmm")</f>
        <v>Jun</v>
      </c>
      <c r="Y879">
        <f>cleaneddata[[#This Row],[Unit Price]]*cleaneddata[[#This Row],[Quantity]]*(1-cleaneddata[[#This Row],[Discount %]]/100)</f>
        <v>64.98</v>
      </c>
      <c r="Z879">
        <f>cleaneddata[[#This Row],[sales]]-cleaneddata[[#This Row],[Cost]]</f>
        <v>31.020000000000003</v>
      </c>
    </row>
    <row r="880" spans="1:26" x14ac:dyDescent="0.3">
      <c r="A880" t="s">
        <v>2336</v>
      </c>
      <c r="B880" s="1">
        <v>46088</v>
      </c>
      <c r="C880" t="s">
        <v>2337</v>
      </c>
      <c r="D880" t="s">
        <v>2911</v>
      </c>
      <c r="E880" s="1">
        <v>46092</v>
      </c>
      <c r="F880" t="s">
        <v>140</v>
      </c>
      <c r="G880" t="s">
        <v>38</v>
      </c>
      <c r="H880" t="s">
        <v>139</v>
      </c>
      <c r="I880" t="s">
        <v>2631</v>
      </c>
      <c r="J880" t="s">
        <v>2694</v>
      </c>
      <c r="K880" t="s">
        <v>25</v>
      </c>
      <c r="L880">
        <v>55</v>
      </c>
      <c r="M880">
        <v>1</v>
      </c>
      <c r="N880">
        <v>15</v>
      </c>
      <c r="O880" t="s">
        <v>2338</v>
      </c>
      <c r="P880" t="s">
        <v>44</v>
      </c>
      <c r="Q880" t="s">
        <v>117</v>
      </c>
      <c r="R880" t="s">
        <v>32</v>
      </c>
      <c r="S880" t="s">
        <v>141</v>
      </c>
      <c r="T880">
        <v>4</v>
      </c>
      <c r="U880">
        <v>569.91999999999996</v>
      </c>
      <c r="V880">
        <v>289.02</v>
      </c>
      <c r="W880">
        <v>4</v>
      </c>
      <c r="X880" t="str">
        <f>TEXT(cleaneddata[[#This Row],[Order Date]],"mmm")</f>
        <v>Mar</v>
      </c>
      <c r="Y880">
        <f>cleaneddata[[#This Row],[Unit Price]]*cleaneddata[[#This Row],[Quantity]]*(1-cleaneddata[[#This Row],[Discount %]]/100)</f>
        <v>484.43199999999996</v>
      </c>
      <c r="Z880">
        <f>cleaneddata[[#This Row],[sales]]-cleaneddata[[#This Row],[Cost]]</f>
        <v>195.41199999999998</v>
      </c>
    </row>
    <row r="881" spans="1:26" x14ac:dyDescent="0.3">
      <c r="A881" t="s">
        <v>2339</v>
      </c>
      <c r="B881" s="1">
        <v>45517</v>
      </c>
      <c r="C881" t="s">
        <v>2340</v>
      </c>
      <c r="D881" t="s">
        <v>2910</v>
      </c>
      <c r="E881" s="1">
        <v>45523</v>
      </c>
      <c r="F881" t="s">
        <v>128</v>
      </c>
      <c r="G881" t="s">
        <v>98</v>
      </c>
      <c r="H881" t="s">
        <v>127</v>
      </c>
      <c r="I881" t="s">
        <v>2627</v>
      </c>
      <c r="J881" t="s">
        <v>2717</v>
      </c>
      <c r="K881" t="s">
        <v>25</v>
      </c>
      <c r="L881">
        <v>35</v>
      </c>
      <c r="M881">
        <v>1</v>
      </c>
      <c r="N881">
        <v>10</v>
      </c>
      <c r="O881" t="s">
        <v>2341</v>
      </c>
      <c r="P881" t="s">
        <v>44</v>
      </c>
      <c r="Q881" t="s">
        <v>31</v>
      </c>
      <c r="R881" t="s">
        <v>62</v>
      </c>
      <c r="S881" t="s">
        <v>129</v>
      </c>
      <c r="T881">
        <v>4</v>
      </c>
      <c r="U881">
        <v>759.44</v>
      </c>
      <c r="V881">
        <v>500.36</v>
      </c>
      <c r="W881">
        <v>6</v>
      </c>
      <c r="X881" t="str">
        <f>TEXT(cleaneddata[[#This Row],[Order Date]],"mmm")</f>
        <v>Aug</v>
      </c>
      <c r="Y881">
        <f>cleaneddata[[#This Row],[Unit Price]]*cleaneddata[[#This Row],[Quantity]]*(1-cleaneddata[[#This Row],[Discount %]]/100)</f>
        <v>683.49600000000009</v>
      </c>
      <c r="Z881">
        <f>cleaneddata[[#This Row],[sales]]-cleaneddata[[#This Row],[Cost]]</f>
        <v>183.13600000000008</v>
      </c>
    </row>
    <row r="882" spans="1:26" x14ac:dyDescent="0.3">
      <c r="A882" t="s">
        <v>2342</v>
      </c>
      <c r="B882" s="1">
        <v>46091</v>
      </c>
      <c r="C882" t="s">
        <v>1890</v>
      </c>
      <c r="D882" t="s">
        <v>2909</v>
      </c>
      <c r="E882" s="1">
        <v>46093</v>
      </c>
      <c r="F882" t="s">
        <v>56</v>
      </c>
      <c r="G882" t="s">
        <v>54</v>
      </c>
      <c r="H882" t="s">
        <v>55</v>
      </c>
      <c r="I882" t="s">
        <v>2679</v>
      </c>
      <c r="J882" t="s">
        <v>2680</v>
      </c>
      <c r="K882" t="s">
        <v>25</v>
      </c>
      <c r="L882">
        <v>50</v>
      </c>
      <c r="M882">
        <v>2</v>
      </c>
      <c r="N882">
        <v>15</v>
      </c>
      <c r="O882" t="s">
        <v>2343</v>
      </c>
      <c r="P882" t="s">
        <v>44</v>
      </c>
      <c r="Q882" t="s">
        <v>70</v>
      </c>
      <c r="R882" t="s">
        <v>32</v>
      </c>
      <c r="S882" t="s">
        <v>57</v>
      </c>
      <c r="T882">
        <v>3</v>
      </c>
      <c r="U882">
        <v>839.31</v>
      </c>
      <c r="V882">
        <v>1164.76</v>
      </c>
      <c r="W882">
        <v>2</v>
      </c>
      <c r="X882" t="str">
        <f>TEXT(cleaneddata[[#This Row],[Order Date]],"mmm")</f>
        <v>Mar</v>
      </c>
      <c r="Y882">
        <f>cleaneddata[[#This Row],[Unit Price]]*cleaneddata[[#This Row],[Quantity]]*(1-cleaneddata[[#This Row],[Discount %]]/100)</f>
        <v>1426.8269999999998</v>
      </c>
      <c r="Z882">
        <f>cleaneddata[[#This Row],[sales]]-cleaneddata[[#This Row],[Cost]]</f>
        <v>262.06699999999978</v>
      </c>
    </row>
    <row r="883" spans="1:26" x14ac:dyDescent="0.3">
      <c r="A883" t="s">
        <v>2344</v>
      </c>
      <c r="B883" s="1">
        <v>45463</v>
      </c>
      <c r="C883" t="s">
        <v>2345</v>
      </c>
      <c r="D883" t="s">
        <v>2908</v>
      </c>
      <c r="E883" s="1">
        <v>45468</v>
      </c>
      <c r="F883" t="s">
        <v>100</v>
      </c>
      <c r="G883" t="s">
        <v>98</v>
      </c>
      <c r="H883" t="s">
        <v>99</v>
      </c>
      <c r="I883" t="s">
        <v>2625</v>
      </c>
      <c r="J883" t="s">
        <v>2703</v>
      </c>
      <c r="K883" t="s">
        <v>25</v>
      </c>
      <c r="L883">
        <v>21</v>
      </c>
      <c r="M883">
        <v>4</v>
      </c>
      <c r="N883">
        <v>30</v>
      </c>
      <c r="O883" t="s">
        <v>382</v>
      </c>
      <c r="P883" t="s">
        <v>75</v>
      </c>
      <c r="Q883" t="s">
        <v>42</v>
      </c>
      <c r="R883" t="s">
        <v>43</v>
      </c>
      <c r="S883" t="s">
        <v>101</v>
      </c>
      <c r="T883">
        <v>3</v>
      </c>
      <c r="U883">
        <v>377.03</v>
      </c>
      <c r="V883">
        <v>644.16</v>
      </c>
      <c r="W883">
        <v>5</v>
      </c>
      <c r="X883" t="str">
        <f>TEXT(cleaneddata[[#This Row],[Order Date]],"mmm")</f>
        <v>Jun</v>
      </c>
      <c r="Y883">
        <f>cleaneddata[[#This Row],[Unit Price]]*cleaneddata[[#This Row],[Quantity]]*(1-cleaneddata[[#This Row],[Discount %]]/100)</f>
        <v>1055.684</v>
      </c>
      <c r="Z883">
        <f>cleaneddata[[#This Row],[sales]]-cleaneddata[[#This Row],[Cost]]</f>
        <v>411.524</v>
      </c>
    </row>
    <row r="884" spans="1:26" x14ac:dyDescent="0.3">
      <c r="A884" t="s">
        <v>2346</v>
      </c>
      <c r="B884" s="1">
        <v>45491</v>
      </c>
      <c r="C884" t="s">
        <v>536</v>
      </c>
      <c r="D884" t="s">
        <v>2907</v>
      </c>
      <c r="E884" s="1">
        <v>45496</v>
      </c>
      <c r="F884" t="s">
        <v>122</v>
      </c>
      <c r="G884" t="s">
        <v>120</v>
      </c>
      <c r="H884" t="s">
        <v>121</v>
      </c>
      <c r="I884" t="s">
        <v>2629</v>
      </c>
      <c r="J884" t="s">
        <v>2630</v>
      </c>
      <c r="K884" t="s">
        <v>52</v>
      </c>
      <c r="L884">
        <v>21</v>
      </c>
      <c r="M884">
        <v>5</v>
      </c>
      <c r="N884">
        <v>10</v>
      </c>
      <c r="O884" t="s">
        <v>198</v>
      </c>
      <c r="P884" t="s">
        <v>44</v>
      </c>
      <c r="Q884" t="s">
        <v>117</v>
      </c>
      <c r="R884" t="s">
        <v>71</v>
      </c>
      <c r="S884" t="s">
        <v>123</v>
      </c>
      <c r="T884">
        <v>5</v>
      </c>
      <c r="U884">
        <v>330.68</v>
      </c>
      <c r="V884">
        <v>803.19</v>
      </c>
      <c r="W884">
        <v>5</v>
      </c>
      <c r="X884" t="str">
        <f>TEXT(cleaneddata[[#This Row],[Order Date]],"mmm")</f>
        <v>Jul</v>
      </c>
      <c r="Y884">
        <f>cleaneddata[[#This Row],[Unit Price]]*cleaneddata[[#This Row],[Quantity]]*(1-cleaneddata[[#This Row],[Discount %]]/100)</f>
        <v>1488.0600000000002</v>
      </c>
      <c r="Z884">
        <f>cleaneddata[[#This Row],[sales]]-cleaneddata[[#This Row],[Cost]]</f>
        <v>684.87000000000012</v>
      </c>
    </row>
    <row r="885" spans="1:26" x14ac:dyDescent="0.3">
      <c r="A885" t="s">
        <v>2347</v>
      </c>
      <c r="B885" s="1">
        <v>45520</v>
      </c>
      <c r="C885" t="s">
        <v>2348</v>
      </c>
      <c r="D885" t="s">
        <v>2906</v>
      </c>
      <c r="E885" s="1">
        <v>45523</v>
      </c>
      <c r="F885" t="s">
        <v>140</v>
      </c>
      <c r="G885" t="s">
        <v>38</v>
      </c>
      <c r="H885" t="s">
        <v>139</v>
      </c>
      <c r="I885" t="s">
        <v>2622</v>
      </c>
      <c r="J885" t="s">
        <v>2686</v>
      </c>
      <c r="K885" t="s">
        <v>52</v>
      </c>
      <c r="L885">
        <v>19</v>
      </c>
      <c r="M885">
        <v>5</v>
      </c>
      <c r="N885">
        <v>20</v>
      </c>
      <c r="O885" t="s">
        <v>264</v>
      </c>
      <c r="P885" t="s">
        <v>44</v>
      </c>
      <c r="Q885" t="s">
        <v>70</v>
      </c>
      <c r="R885" t="s">
        <v>62</v>
      </c>
      <c r="S885" t="s">
        <v>141</v>
      </c>
      <c r="T885">
        <v>2</v>
      </c>
      <c r="U885">
        <v>466.54</v>
      </c>
      <c r="V885">
        <v>1553.81</v>
      </c>
      <c r="W885">
        <v>3</v>
      </c>
      <c r="X885" t="str">
        <f>TEXT(cleaneddata[[#This Row],[Order Date]],"mmm")</f>
        <v>Aug</v>
      </c>
      <c r="Y885">
        <f>cleaneddata[[#This Row],[Unit Price]]*cleaneddata[[#This Row],[Quantity]]*(1-cleaneddata[[#This Row],[Discount %]]/100)</f>
        <v>1866.1600000000003</v>
      </c>
      <c r="Z885">
        <f>cleaneddata[[#This Row],[sales]]-cleaneddata[[#This Row],[Cost]]</f>
        <v>312.35000000000036</v>
      </c>
    </row>
    <row r="886" spans="1:26" x14ac:dyDescent="0.3">
      <c r="A886" t="s">
        <v>2349</v>
      </c>
      <c r="B886" s="1">
        <v>45986</v>
      </c>
      <c r="C886" t="s">
        <v>2350</v>
      </c>
      <c r="D886" t="s">
        <v>2905</v>
      </c>
      <c r="E886" s="1">
        <v>45993</v>
      </c>
      <c r="F886" t="s">
        <v>140</v>
      </c>
      <c r="G886" t="s">
        <v>38</v>
      </c>
      <c r="H886" t="s">
        <v>139</v>
      </c>
      <c r="I886" t="s">
        <v>2668</v>
      </c>
      <c r="J886" t="s">
        <v>2669</v>
      </c>
      <c r="K886" t="s">
        <v>25</v>
      </c>
      <c r="L886">
        <v>64</v>
      </c>
      <c r="M886">
        <v>1</v>
      </c>
      <c r="N886">
        <v>25</v>
      </c>
      <c r="O886" t="s">
        <v>2351</v>
      </c>
      <c r="P886" t="s">
        <v>33</v>
      </c>
      <c r="Q886" t="s">
        <v>42</v>
      </c>
      <c r="R886" t="s">
        <v>43</v>
      </c>
      <c r="S886" t="s">
        <v>141</v>
      </c>
      <c r="T886">
        <v>5</v>
      </c>
      <c r="U886">
        <v>410.52</v>
      </c>
      <c r="V886">
        <v>173.45</v>
      </c>
      <c r="W886">
        <v>7</v>
      </c>
      <c r="X886" t="str">
        <f>TEXT(cleaneddata[[#This Row],[Order Date]],"mmm")</f>
        <v>Nov</v>
      </c>
      <c r="Y886">
        <f>cleaneddata[[#This Row],[Unit Price]]*cleaneddata[[#This Row],[Quantity]]*(1-cleaneddata[[#This Row],[Discount %]]/100)</f>
        <v>307.89</v>
      </c>
      <c r="Z886">
        <f>cleaneddata[[#This Row],[sales]]-cleaneddata[[#This Row],[Cost]]</f>
        <v>134.44</v>
      </c>
    </row>
    <row r="887" spans="1:26" x14ac:dyDescent="0.3">
      <c r="A887" t="s">
        <v>2352</v>
      </c>
      <c r="B887" s="1">
        <v>45821</v>
      </c>
      <c r="C887" t="s">
        <v>2353</v>
      </c>
      <c r="D887" t="s">
        <v>2904</v>
      </c>
      <c r="E887" s="1">
        <v>45824</v>
      </c>
      <c r="F887" t="s">
        <v>68</v>
      </c>
      <c r="G887" t="s">
        <v>66</v>
      </c>
      <c r="H887" t="s">
        <v>67</v>
      </c>
      <c r="I887" t="s">
        <v>2665</v>
      </c>
      <c r="J887" t="s">
        <v>2666</v>
      </c>
      <c r="K887" t="s">
        <v>52</v>
      </c>
      <c r="L887">
        <v>45</v>
      </c>
      <c r="M887">
        <v>2</v>
      </c>
      <c r="N887">
        <v>25</v>
      </c>
      <c r="O887" t="s">
        <v>2354</v>
      </c>
      <c r="P887" t="s">
        <v>44</v>
      </c>
      <c r="Q887" t="s">
        <v>70</v>
      </c>
      <c r="R887" t="s">
        <v>71</v>
      </c>
      <c r="S887" t="s">
        <v>69</v>
      </c>
      <c r="T887">
        <v>3</v>
      </c>
      <c r="U887">
        <v>33.08</v>
      </c>
      <c r="V887">
        <v>33.93</v>
      </c>
      <c r="W887">
        <v>3</v>
      </c>
      <c r="X887" t="str">
        <f>TEXT(cleaneddata[[#This Row],[Order Date]],"mmm")</f>
        <v>Jun</v>
      </c>
      <c r="Y887">
        <f>cleaneddata[[#This Row],[Unit Price]]*cleaneddata[[#This Row],[Quantity]]*(1-cleaneddata[[#This Row],[Discount %]]/100)</f>
        <v>49.62</v>
      </c>
      <c r="Z887">
        <f>cleaneddata[[#This Row],[sales]]-cleaneddata[[#This Row],[Cost]]</f>
        <v>15.689999999999998</v>
      </c>
    </row>
    <row r="888" spans="1:26" x14ac:dyDescent="0.3">
      <c r="A888" t="s">
        <v>2355</v>
      </c>
      <c r="B888" s="1">
        <v>45835</v>
      </c>
      <c r="C888" t="s">
        <v>2356</v>
      </c>
      <c r="D888" t="s">
        <v>2903</v>
      </c>
      <c r="E888" s="1">
        <v>45840</v>
      </c>
      <c r="F888" t="s">
        <v>122</v>
      </c>
      <c r="G888" t="s">
        <v>120</v>
      </c>
      <c r="H888" t="s">
        <v>121</v>
      </c>
      <c r="I888" t="s">
        <v>2675</v>
      </c>
      <c r="J888" t="s">
        <v>2699</v>
      </c>
      <c r="K888" t="s">
        <v>25</v>
      </c>
      <c r="L888">
        <v>44</v>
      </c>
      <c r="M888">
        <v>5</v>
      </c>
      <c r="N888">
        <v>5</v>
      </c>
      <c r="O888" t="s">
        <v>2357</v>
      </c>
      <c r="P888" t="s">
        <v>33</v>
      </c>
      <c r="Q888" t="s">
        <v>58</v>
      </c>
      <c r="R888" t="s">
        <v>62</v>
      </c>
      <c r="S888" t="s">
        <v>123</v>
      </c>
      <c r="T888">
        <v>2</v>
      </c>
      <c r="U888">
        <v>686.49</v>
      </c>
      <c r="V888">
        <v>1882.32</v>
      </c>
      <c r="W888">
        <v>5</v>
      </c>
      <c r="X888" t="str">
        <f>TEXT(cleaneddata[[#This Row],[Order Date]],"mmm")</f>
        <v>Jun</v>
      </c>
      <c r="Y888">
        <f>cleaneddata[[#This Row],[Unit Price]]*cleaneddata[[#This Row],[Quantity]]*(1-cleaneddata[[#This Row],[Discount %]]/100)</f>
        <v>3260.8274999999999</v>
      </c>
      <c r="Z888">
        <f>cleaneddata[[#This Row],[sales]]-cleaneddata[[#This Row],[Cost]]</f>
        <v>1378.5074999999999</v>
      </c>
    </row>
    <row r="889" spans="1:26" x14ac:dyDescent="0.3">
      <c r="A889" t="s">
        <v>2358</v>
      </c>
      <c r="B889" s="1">
        <v>46083</v>
      </c>
      <c r="C889" t="s">
        <v>2359</v>
      </c>
      <c r="D889" t="s">
        <v>2902</v>
      </c>
      <c r="E889" s="1">
        <v>46086</v>
      </c>
      <c r="F889" t="s">
        <v>29</v>
      </c>
      <c r="G889" t="s">
        <v>27</v>
      </c>
      <c r="H889" t="s">
        <v>28</v>
      </c>
      <c r="I889" t="s">
        <v>2661</v>
      </c>
      <c r="J889" t="s">
        <v>2662</v>
      </c>
      <c r="K889" t="s">
        <v>52</v>
      </c>
      <c r="L889">
        <v>40</v>
      </c>
      <c r="M889">
        <v>2</v>
      </c>
      <c r="N889">
        <v>0</v>
      </c>
      <c r="O889" t="s">
        <v>2360</v>
      </c>
      <c r="P889" t="s">
        <v>33</v>
      </c>
      <c r="Q889" t="s">
        <v>31</v>
      </c>
      <c r="R889" t="s">
        <v>62</v>
      </c>
      <c r="S889" t="s">
        <v>30</v>
      </c>
      <c r="T889">
        <v>5</v>
      </c>
      <c r="U889">
        <v>183.67</v>
      </c>
      <c r="V889">
        <v>303.39999999999998</v>
      </c>
      <c r="W889">
        <v>3</v>
      </c>
      <c r="X889" t="str">
        <f>TEXT(cleaneddata[[#This Row],[Order Date]],"mmm")</f>
        <v>Mar</v>
      </c>
      <c r="Y889">
        <f>cleaneddata[[#This Row],[Unit Price]]*cleaneddata[[#This Row],[Quantity]]*(1-cleaneddata[[#This Row],[Discount %]]/100)</f>
        <v>367.34</v>
      </c>
      <c r="Z889">
        <f>cleaneddata[[#This Row],[sales]]-cleaneddata[[#This Row],[Cost]]</f>
        <v>63.94</v>
      </c>
    </row>
    <row r="890" spans="1:26" x14ac:dyDescent="0.3">
      <c r="A890" t="s">
        <v>2361</v>
      </c>
      <c r="B890" s="1">
        <v>46162</v>
      </c>
      <c r="C890" t="s">
        <v>2362</v>
      </c>
      <c r="D890" t="s">
        <v>2901</v>
      </c>
      <c r="E890" s="1">
        <v>46163</v>
      </c>
      <c r="F890" t="s">
        <v>122</v>
      </c>
      <c r="G890" t="s">
        <v>120</v>
      </c>
      <c r="H890" t="s">
        <v>121</v>
      </c>
      <c r="I890" t="s">
        <v>2668</v>
      </c>
      <c r="J890" t="s">
        <v>2669</v>
      </c>
      <c r="K890" t="s">
        <v>52</v>
      </c>
      <c r="L890">
        <v>30</v>
      </c>
      <c r="M890">
        <v>1</v>
      </c>
      <c r="N890">
        <v>10</v>
      </c>
      <c r="O890" t="s">
        <v>2363</v>
      </c>
      <c r="P890" t="s">
        <v>44</v>
      </c>
      <c r="Q890" t="s">
        <v>58</v>
      </c>
      <c r="R890" t="s">
        <v>43</v>
      </c>
      <c r="S890" t="s">
        <v>123</v>
      </c>
      <c r="T890">
        <v>1</v>
      </c>
      <c r="U890">
        <v>868.73</v>
      </c>
      <c r="V890">
        <v>405.51</v>
      </c>
      <c r="W890">
        <v>1</v>
      </c>
      <c r="X890" t="str">
        <f>TEXT(cleaneddata[[#This Row],[Order Date]],"mmm")</f>
        <v>May</v>
      </c>
      <c r="Y890">
        <f>cleaneddata[[#This Row],[Unit Price]]*cleaneddata[[#This Row],[Quantity]]*(1-cleaneddata[[#This Row],[Discount %]]/100)</f>
        <v>781.85700000000008</v>
      </c>
      <c r="Z890">
        <f>cleaneddata[[#This Row],[sales]]-cleaneddata[[#This Row],[Cost]]</f>
        <v>376.34700000000009</v>
      </c>
    </row>
    <row r="891" spans="1:26" x14ac:dyDescent="0.3">
      <c r="A891" t="s">
        <v>2364</v>
      </c>
      <c r="B891" s="1">
        <v>46192</v>
      </c>
      <c r="C891" t="s">
        <v>2365</v>
      </c>
      <c r="D891" t="s">
        <v>2900</v>
      </c>
      <c r="E891" s="1">
        <v>46197</v>
      </c>
      <c r="F891" t="s">
        <v>122</v>
      </c>
      <c r="G891" t="s">
        <v>120</v>
      </c>
      <c r="H891" t="s">
        <v>121</v>
      </c>
      <c r="I891" t="s">
        <v>2679</v>
      </c>
      <c r="J891" t="s">
        <v>2680</v>
      </c>
      <c r="K891" t="s">
        <v>52</v>
      </c>
      <c r="L891">
        <v>25</v>
      </c>
      <c r="M891">
        <v>4</v>
      </c>
      <c r="N891">
        <v>20</v>
      </c>
      <c r="O891" t="s">
        <v>209</v>
      </c>
      <c r="P891" t="s">
        <v>33</v>
      </c>
      <c r="Q891" t="s">
        <v>70</v>
      </c>
      <c r="R891" t="s">
        <v>32</v>
      </c>
      <c r="S891" t="s">
        <v>123</v>
      </c>
      <c r="T891">
        <v>3</v>
      </c>
      <c r="U891">
        <v>609.62</v>
      </c>
      <c r="V891">
        <v>1096.9000000000001</v>
      </c>
      <c r="W891">
        <v>5</v>
      </c>
      <c r="X891" t="str">
        <f>TEXT(cleaneddata[[#This Row],[Order Date]],"mmm")</f>
        <v>Jun</v>
      </c>
      <c r="Y891">
        <f>cleaneddata[[#This Row],[Unit Price]]*cleaneddata[[#This Row],[Quantity]]*(1-cleaneddata[[#This Row],[Discount %]]/100)</f>
        <v>1950.7840000000001</v>
      </c>
      <c r="Z891">
        <f>cleaneddata[[#This Row],[sales]]-cleaneddata[[#This Row],[Cost]]</f>
        <v>853.88400000000001</v>
      </c>
    </row>
    <row r="892" spans="1:26" x14ac:dyDescent="0.3">
      <c r="A892" t="s">
        <v>2366</v>
      </c>
      <c r="B892" s="1">
        <v>45528</v>
      </c>
      <c r="C892" t="s">
        <v>2367</v>
      </c>
      <c r="D892" t="s">
        <v>2899</v>
      </c>
      <c r="E892" s="1">
        <v>45533</v>
      </c>
      <c r="F892" t="s">
        <v>56</v>
      </c>
      <c r="G892" t="s">
        <v>54</v>
      </c>
      <c r="H892" t="s">
        <v>55</v>
      </c>
      <c r="I892" t="s">
        <v>2647</v>
      </c>
      <c r="J892" t="s">
        <v>2658</v>
      </c>
      <c r="K892" t="s">
        <v>52</v>
      </c>
      <c r="L892">
        <v>36</v>
      </c>
      <c r="M892">
        <v>4</v>
      </c>
      <c r="N892">
        <v>30</v>
      </c>
      <c r="O892" t="s">
        <v>1193</v>
      </c>
      <c r="P892" t="s">
        <v>75</v>
      </c>
      <c r="Q892" t="s">
        <v>58</v>
      </c>
      <c r="R892" t="s">
        <v>71</v>
      </c>
      <c r="S892" t="s">
        <v>57</v>
      </c>
      <c r="T892">
        <v>3</v>
      </c>
      <c r="U892">
        <v>251.47</v>
      </c>
      <c r="V892">
        <v>521.29</v>
      </c>
      <c r="W892">
        <v>5</v>
      </c>
      <c r="X892" t="str">
        <f>TEXT(cleaneddata[[#This Row],[Order Date]],"mmm")</f>
        <v>Aug</v>
      </c>
      <c r="Y892">
        <f>cleaneddata[[#This Row],[Unit Price]]*cleaneddata[[#This Row],[Quantity]]*(1-cleaneddata[[#This Row],[Discount %]]/100)</f>
        <v>704.11599999999999</v>
      </c>
      <c r="Z892">
        <f>cleaneddata[[#This Row],[sales]]-cleaneddata[[#This Row],[Cost]]</f>
        <v>182.82600000000002</v>
      </c>
    </row>
    <row r="893" spans="1:26" x14ac:dyDescent="0.3">
      <c r="A893" t="s">
        <v>2368</v>
      </c>
      <c r="B893" s="1">
        <v>45647</v>
      </c>
      <c r="C893" t="s">
        <v>2369</v>
      </c>
      <c r="D893" t="s">
        <v>2898</v>
      </c>
      <c r="E893" s="1">
        <v>45652</v>
      </c>
      <c r="F893" t="s">
        <v>140</v>
      </c>
      <c r="G893" t="s">
        <v>38</v>
      </c>
      <c r="H893" t="s">
        <v>139</v>
      </c>
      <c r="I893" t="s">
        <v>2623</v>
      </c>
      <c r="J893" t="s">
        <v>2696</v>
      </c>
      <c r="K893" t="s">
        <v>25</v>
      </c>
      <c r="L893">
        <v>21</v>
      </c>
      <c r="M893">
        <v>4</v>
      </c>
      <c r="N893">
        <v>25</v>
      </c>
      <c r="O893" t="s">
        <v>1367</v>
      </c>
      <c r="P893" t="s">
        <v>75</v>
      </c>
      <c r="Q893" t="s">
        <v>31</v>
      </c>
      <c r="R893" t="s">
        <v>62</v>
      </c>
      <c r="S893" t="s">
        <v>141</v>
      </c>
      <c r="T893">
        <v>4</v>
      </c>
      <c r="U893">
        <v>888.12</v>
      </c>
      <c r="V893">
        <v>1939.47</v>
      </c>
      <c r="W893">
        <v>5</v>
      </c>
      <c r="X893" t="str">
        <f>TEXT(cleaneddata[[#This Row],[Order Date]],"mmm")</f>
        <v>Dec</v>
      </c>
      <c r="Y893">
        <f>cleaneddata[[#This Row],[Unit Price]]*cleaneddata[[#This Row],[Quantity]]*(1-cleaneddata[[#This Row],[Discount %]]/100)</f>
        <v>2664.36</v>
      </c>
      <c r="Z893">
        <f>cleaneddata[[#This Row],[sales]]-cleaneddata[[#This Row],[Cost]]</f>
        <v>724.8900000000001</v>
      </c>
    </row>
    <row r="894" spans="1:26" x14ac:dyDescent="0.3">
      <c r="A894" t="s">
        <v>2370</v>
      </c>
      <c r="B894" s="1">
        <v>45426</v>
      </c>
      <c r="C894" t="s">
        <v>2371</v>
      </c>
      <c r="D894" t="s">
        <v>2897</v>
      </c>
      <c r="E894" s="1">
        <v>45432</v>
      </c>
      <c r="F894" t="s">
        <v>29</v>
      </c>
      <c r="G894" t="s">
        <v>27</v>
      </c>
      <c r="H894" t="s">
        <v>28</v>
      </c>
      <c r="I894" t="s">
        <v>2665</v>
      </c>
      <c r="J894" t="s">
        <v>2693</v>
      </c>
      <c r="K894" t="s">
        <v>25</v>
      </c>
      <c r="L894">
        <v>63</v>
      </c>
      <c r="M894">
        <v>4</v>
      </c>
      <c r="N894">
        <v>25</v>
      </c>
      <c r="O894" t="s">
        <v>1952</v>
      </c>
      <c r="P894" t="s">
        <v>33</v>
      </c>
      <c r="Q894" t="s">
        <v>70</v>
      </c>
      <c r="R894" t="s">
        <v>62</v>
      </c>
      <c r="S894" t="s">
        <v>30</v>
      </c>
      <c r="T894">
        <v>1</v>
      </c>
      <c r="U894">
        <v>120.4</v>
      </c>
      <c r="V894">
        <v>219.84</v>
      </c>
      <c r="W894">
        <v>6</v>
      </c>
      <c r="X894" t="str">
        <f>TEXT(cleaneddata[[#This Row],[Order Date]],"mmm")</f>
        <v>May</v>
      </c>
      <c r="Y894">
        <f>cleaneddata[[#This Row],[Unit Price]]*cleaneddata[[#This Row],[Quantity]]*(1-cleaneddata[[#This Row],[Discount %]]/100)</f>
        <v>361.20000000000005</v>
      </c>
      <c r="Z894">
        <f>cleaneddata[[#This Row],[sales]]-cleaneddata[[#This Row],[Cost]]</f>
        <v>141.36000000000004</v>
      </c>
    </row>
    <row r="895" spans="1:26" x14ac:dyDescent="0.3">
      <c r="A895" t="s">
        <v>2372</v>
      </c>
      <c r="B895" s="1">
        <v>45770</v>
      </c>
      <c r="C895" t="s">
        <v>2373</v>
      </c>
      <c r="D895" t="s">
        <v>2896</v>
      </c>
      <c r="E895" s="1">
        <v>45771</v>
      </c>
      <c r="F895" t="s">
        <v>100</v>
      </c>
      <c r="G895" t="s">
        <v>98</v>
      </c>
      <c r="H895" t="s">
        <v>99</v>
      </c>
      <c r="I895" t="s">
        <v>2632</v>
      </c>
      <c r="J895" t="s">
        <v>2646</v>
      </c>
      <c r="K895" t="s">
        <v>25</v>
      </c>
      <c r="L895">
        <v>31</v>
      </c>
      <c r="M895">
        <v>1</v>
      </c>
      <c r="N895">
        <v>5</v>
      </c>
      <c r="O895" t="s">
        <v>1219</v>
      </c>
      <c r="P895" t="s">
        <v>33</v>
      </c>
      <c r="Q895" t="s">
        <v>42</v>
      </c>
      <c r="R895" t="s">
        <v>32</v>
      </c>
      <c r="S895" t="s">
        <v>101</v>
      </c>
      <c r="T895">
        <v>3</v>
      </c>
      <c r="U895">
        <v>336.15</v>
      </c>
      <c r="V895">
        <v>165.6</v>
      </c>
      <c r="W895">
        <v>1</v>
      </c>
      <c r="X895" t="str">
        <f>TEXT(cleaneddata[[#This Row],[Order Date]],"mmm")</f>
        <v>Apr</v>
      </c>
      <c r="Y895">
        <f>cleaneddata[[#This Row],[Unit Price]]*cleaneddata[[#This Row],[Quantity]]*(1-cleaneddata[[#This Row],[Discount %]]/100)</f>
        <v>319.34249999999997</v>
      </c>
      <c r="Z895">
        <f>cleaneddata[[#This Row],[sales]]-cleaneddata[[#This Row],[Cost]]</f>
        <v>153.74249999999998</v>
      </c>
    </row>
    <row r="896" spans="1:26" x14ac:dyDescent="0.3">
      <c r="A896" t="s">
        <v>2374</v>
      </c>
      <c r="B896" s="1">
        <v>45845</v>
      </c>
      <c r="C896" t="s">
        <v>2375</v>
      </c>
      <c r="D896" t="s">
        <v>2895</v>
      </c>
      <c r="E896" s="1">
        <v>45847</v>
      </c>
      <c r="F896" t="s">
        <v>128</v>
      </c>
      <c r="G896" t="s">
        <v>98</v>
      </c>
      <c r="H896" t="s">
        <v>127</v>
      </c>
      <c r="I896" t="s">
        <v>2635</v>
      </c>
      <c r="J896" t="s">
        <v>2643</v>
      </c>
      <c r="K896" t="s">
        <v>25</v>
      </c>
      <c r="L896">
        <v>28</v>
      </c>
      <c r="M896">
        <v>4</v>
      </c>
      <c r="N896">
        <v>5</v>
      </c>
      <c r="O896" t="s">
        <v>2376</v>
      </c>
      <c r="P896" t="s">
        <v>44</v>
      </c>
      <c r="Q896" t="s">
        <v>58</v>
      </c>
      <c r="R896" t="s">
        <v>71</v>
      </c>
      <c r="S896" t="s">
        <v>129</v>
      </c>
      <c r="T896">
        <v>2</v>
      </c>
      <c r="U896">
        <v>438.31</v>
      </c>
      <c r="V896">
        <v>1389.1</v>
      </c>
      <c r="W896">
        <v>2</v>
      </c>
      <c r="X896" t="str">
        <f>TEXT(cleaneddata[[#This Row],[Order Date]],"mmm")</f>
        <v>Jul</v>
      </c>
      <c r="Y896">
        <f>cleaneddata[[#This Row],[Unit Price]]*cleaneddata[[#This Row],[Quantity]]*(1-cleaneddata[[#This Row],[Discount %]]/100)</f>
        <v>1665.578</v>
      </c>
      <c r="Z896">
        <f>cleaneddata[[#This Row],[sales]]-cleaneddata[[#This Row],[Cost]]</f>
        <v>276.47800000000007</v>
      </c>
    </row>
    <row r="897" spans="1:26" x14ac:dyDescent="0.3">
      <c r="A897" t="s">
        <v>2377</v>
      </c>
      <c r="B897" s="1">
        <v>45681</v>
      </c>
      <c r="C897" t="s">
        <v>2378</v>
      </c>
      <c r="D897" t="s">
        <v>2894</v>
      </c>
      <c r="E897" s="1">
        <v>45683</v>
      </c>
      <c r="F897" t="s">
        <v>122</v>
      </c>
      <c r="G897" t="s">
        <v>120</v>
      </c>
      <c r="H897" t="s">
        <v>121</v>
      </c>
      <c r="I897" t="s">
        <v>2622</v>
      </c>
      <c r="J897" t="s">
        <v>2705</v>
      </c>
      <c r="K897" t="s">
        <v>52</v>
      </c>
      <c r="L897">
        <v>55</v>
      </c>
      <c r="M897">
        <v>1</v>
      </c>
      <c r="N897">
        <v>10</v>
      </c>
      <c r="O897" t="s">
        <v>93</v>
      </c>
      <c r="P897" t="s">
        <v>44</v>
      </c>
      <c r="Q897" t="s">
        <v>42</v>
      </c>
      <c r="R897" t="s">
        <v>43</v>
      </c>
      <c r="S897" t="s">
        <v>123</v>
      </c>
      <c r="T897">
        <v>3</v>
      </c>
      <c r="U897">
        <v>65.400000000000006</v>
      </c>
      <c r="V897">
        <v>31.25</v>
      </c>
      <c r="W897">
        <v>2</v>
      </c>
      <c r="X897" t="str">
        <f>TEXT(cleaneddata[[#This Row],[Order Date]],"mmm")</f>
        <v>Jan</v>
      </c>
      <c r="Y897">
        <f>cleaneddata[[#This Row],[Unit Price]]*cleaneddata[[#This Row],[Quantity]]*(1-cleaneddata[[#This Row],[Discount %]]/100)</f>
        <v>58.860000000000007</v>
      </c>
      <c r="Z897">
        <f>cleaneddata[[#This Row],[sales]]-cleaneddata[[#This Row],[Cost]]</f>
        <v>27.610000000000007</v>
      </c>
    </row>
    <row r="898" spans="1:26" x14ac:dyDescent="0.3">
      <c r="A898" t="s">
        <v>2379</v>
      </c>
      <c r="B898" s="1">
        <v>45959</v>
      </c>
      <c r="C898" t="s">
        <v>2380</v>
      </c>
      <c r="D898" t="s">
        <v>2893</v>
      </c>
      <c r="E898" s="1">
        <v>45965</v>
      </c>
      <c r="F898" t="s">
        <v>29</v>
      </c>
      <c r="G898" t="s">
        <v>27</v>
      </c>
      <c r="H898" t="s">
        <v>28</v>
      </c>
      <c r="I898" t="s">
        <v>2623</v>
      </c>
      <c r="J898" t="s">
        <v>2624</v>
      </c>
      <c r="K898" t="s">
        <v>52</v>
      </c>
      <c r="L898">
        <v>18</v>
      </c>
      <c r="M898">
        <v>1</v>
      </c>
      <c r="N898">
        <v>30</v>
      </c>
      <c r="O898" t="s">
        <v>437</v>
      </c>
      <c r="P898" t="s">
        <v>44</v>
      </c>
      <c r="Q898" t="s">
        <v>70</v>
      </c>
      <c r="R898" t="s">
        <v>32</v>
      </c>
      <c r="S898" t="s">
        <v>30</v>
      </c>
      <c r="T898">
        <v>2</v>
      </c>
      <c r="U898">
        <v>10.08</v>
      </c>
      <c r="V898">
        <v>4.7699999999999996</v>
      </c>
      <c r="W898">
        <v>6</v>
      </c>
      <c r="X898" t="str">
        <f>TEXT(cleaneddata[[#This Row],[Order Date]],"mmm")</f>
        <v>Oct</v>
      </c>
      <c r="Y898">
        <f>cleaneddata[[#This Row],[Unit Price]]*cleaneddata[[#This Row],[Quantity]]*(1-cleaneddata[[#This Row],[Discount %]]/100)</f>
        <v>7.0559999999999992</v>
      </c>
      <c r="Z898">
        <f>cleaneddata[[#This Row],[sales]]-cleaneddata[[#This Row],[Cost]]</f>
        <v>2.2859999999999996</v>
      </c>
    </row>
    <row r="899" spans="1:26" x14ac:dyDescent="0.3">
      <c r="A899" t="s">
        <v>2381</v>
      </c>
      <c r="B899" s="1">
        <v>45525</v>
      </c>
      <c r="C899" t="s">
        <v>2382</v>
      </c>
      <c r="D899" t="s">
        <v>2892</v>
      </c>
      <c r="E899" s="1">
        <v>45528</v>
      </c>
      <c r="F899" t="s">
        <v>140</v>
      </c>
      <c r="G899" t="s">
        <v>38</v>
      </c>
      <c r="H899" t="s">
        <v>139</v>
      </c>
      <c r="I899" t="s">
        <v>2665</v>
      </c>
      <c r="J899" t="s">
        <v>2693</v>
      </c>
      <c r="K899" t="s">
        <v>52</v>
      </c>
      <c r="L899">
        <v>24</v>
      </c>
      <c r="M899">
        <v>3</v>
      </c>
      <c r="N899">
        <v>30</v>
      </c>
      <c r="O899" t="s">
        <v>2261</v>
      </c>
      <c r="P899" t="s">
        <v>33</v>
      </c>
      <c r="Q899" t="s">
        <v>31</v>
      </c>
      <c r="R899" t="s">
        <v>62</v>
      </c>
      <c r="S899" t="s">
        <v>141</v>
      </c>
      <c r="T899">
        <v>4</v>
      </c>
      <c r="U899">
        <v>470.12</v>
      </c>
      <c r="V899">
        <v>642.30999999999995</v>
      </c>
      <c r="W899">
        <v>3</v>
      </c>
      <c r="X899" t="str">
        <f>TEXT(cleaneddata[[#This Row],[Order Date]],"mmm")</f>
        <v>Aug</v>
      </c>
      <c r="Y899">
        <f>cleaneddata[[#This Row],[Unit Price]]*cleaneddata[[#This Row],[Quantity]]*(1-cleaneddata[[#This Row],[Discount %]]/100)</f>
        <v>987.25200000000007</v>
      </c>
      <c r="Z899">
        <f>cleaneddata[[#This Row],[sales]]-cleaneddata[[#This Row],[Cost]]</f>
        <v>344.94200000000012</v>
      </c>
    </row>
    <row r="900" spans="1:26" x14ac:dyDescent="0.3">
      <c r="A900" t="s">
        <v>2383</v>
      </c>
      <c r="B900" s="1">
        <v>45434</v>
      </c>
      <c r="C900" t="s">
        <v>2384</v>
      </c>
      <c r="D900" t="s">
        <v>2891</v>
      </c>
      <c r="E900" s="1">
        <v>45437</v>
      </c>
      <c r="F900" t="s">
        <v>115</v>
      </c>
      <c r="G900" t="s">
        <v>66</v>
      </c>
      <c r="H900" t="s">
        <v>114</v>
      </c>
      <c r="I900" t="s">
        <v>2631</v>
      </c>
      <c r="J900" t="s">
        <v>2711</v>
      </c>
      <c r="K900" t="s">
        <v>52</v>
      </c>
      <c r="L900">
        <v>23</v>
      </c>
      <c r="M900">
        <v>4</v>
      </c>
      <c r="N900">
        <v>30</v>
      </c>
      <c r="O900" t="s">
        <v>2385</v>
      </c>
      <c r="P900" t="s">
        <v>33</v>
      </c>
      <c r="Q900" t="s">
        <v>117</v>
      </c>
      <c r="R900" t="s">
        <v>71</v>
      </c>
      <c r="S900" t="s">
        <v>116</v>
      </c>
      <c r="T900">
        <v>3</v>
      </c>
      <c r="U900">
        <v>853.2</v>
      </c>
      <c r="V900">
        <v>1932.7</v>
      </c>
      <c r="W900">
        <v>3</v>
      </c>
      <c r="X900" t="str">
        <f>TEXT(cleaneddata[[#This Row],[Order Date]],"mmm")</f>
        <v>May</v>
      </c>
      <c r="Y900">
        <f>cleaneddata[[#This Row],[Unit Price]]*cleaneddata[[#This Row],[Quantity]]*(1-cleaneddata[[#This Row],[Discount %]]/100)</f>
        <v>2388.96</v>
      </c>
      <c r="Z900">
        <f>cleaneddata[[#This Row],[sales]]-cleaneddata[[#This Row],[Cost]]</f>
        <v>456.26</v>
      </c>
    </row>
    <row r="901" spans="1:26" x14ac:dyDescent="0.3">
      <c r="A901" t="s">
        <v>2386</v>
      </c>
      <c r="B901" s="1">
        <v>45840</v>
      </c>
      <c r="C901" t="s">
        <v>2387</v>
      </c>
      <c r="D901" t="s">
        <v>2890</v>
      </c>
      <c r="E901" s="1">
        <v>45842</v>
      </c>
      <c r="F901" t="s">
        <v>29</v>
      </c>
      <c r="G901" t="s">
        <v>27</v>
      </c>
      <c r="H901" t="s">
        <v>28</v>
      </c>
      <c r="I901" t="s">
        <v>2635</v>
      </c>
      <c r="J901" t="s">
        <v>2677</v>
      </c>
      <c r="K901" t="s">
        <v>52</v>
      </c>
      <c r="L901">
        <v>19</v>
      </c>
      <c r="M901">
        <v>3</v>
      </c>
      <c r="N901">
        <v>30</v>
      </c>
      <c r="O901" t="s">
        <v>2388</v>
      </c>
      <c r="P901" t="s">
        <v>75</v>
      </c>
      <c r="Q901" t="s">
        <v>31</v>
      </c>
      <c r="R901" t="s">
        <v>62</v>
      </c>
      <c r="S901" t="s">
        <v>30</v>
      </c>
      <c r="T901">
        <v>3</v>
      </c>
      <c r="U901">
        <v>239.49</v>
      </c>
      <c r="V901">
        <v>395.88</v>
      </c>
      <c r="W901">
        <v>2</v>
      </c>
      <c r="X901" t="str">
        <f>TEXT(cleaneddata[[#This Row],[Order Date]],"mmm")</f>
        <v>Jul</v>
      </c>
      <c r="Y901">
        <f>cleaneddata[[#This Row],[Unit Price]]*cleaneddata[[#This Row],[Quantity]]*(1-cleaneddata[[#This Row],[Discount %]]/100)</f>
        <v>502.92899999999997</v>
      </c>
      <c r="Z901">
        <f>cleaneddata[[#This Row],[sales]]-cleaneddata[[#This Row],[Cost]]</f>
        <v>107.04899999999998</v>
      </c>
    </row>
    <row r="902" spans="1:26" x14ac:dyDescent="0.3">
      <c r="A902" t="s">
        <v>2389</v>
      </c>
      <c r="B902" s="1">
        <v>45828</v>
      </c>
      <c r="C902" t="s">
        <v>2390</v>
      </c>
      <c r="D902" t="s">
        <v>2889</v>
      </c>
      <c r="E902" s="1">
        <v>45829</v>
      </c>
      <c r="F902" t="s">
        <v>29</v>
      </c>
      <c r="G902" t="s">
        <v>27</v>
      </c>
      <c r="H902" t="s">
        <v>28</v>
      </c>
      <c r="I902" t="s">
        <v>2634</v>
      </c>
      <c r="J902" t="s">
        <v>2644</v>
      </c>
      <c r="K902" t="s">
        <v>25</v>
      </c>
      <c r="L902">
        <v>18</v>
      </c>
      <c r="M902">
        <v>3</v>
      </c>
      <c r="N902">
        <v>5</v>
      </c>
      <c r="O902" t="s">
        <v>2202</v>
      </c>
      <c r="P902" t="s">
        <v>33</v>
      </c>
      <c r="Q902" t="s">
        <v>58</v>
      </c>
      <c r="R902" t="s">
        <v>62</v>
      </c>
      <c r="S902" t="s">
        <v>30</v>
      </c>
      <c r="T902">
        <v>4</v>
      </c>
      <c r="U902">
        <v>376.63</v>
      </c>
      <c r="V902">
        <v>756.52</v>
      </c>
      <c r="W902">
        <v>1</v>
      </c>
      <c r="X902" t="str">
        <f>TEXT(cleaneddata[[#This Row],[Order Date]],"mmm")</f>
        <v>Jun</v>
      </c>
      <c r="Y902">
        <f>cleaneddata[[#This Row],[Unit Price]]*cleaneddata[[#This Row],[Quantity]]*(1-cleaneddata[[#This Row],[Discount %]]/100)</f>
        <v>1073.3954999999999</v>
      </c>
      <c r="Z902">
        <f>cleaneddata[[#This Row],[sales]]-cleaneddata[[#This Row],[Cost]]</f>
        <v>316.87549999999987</v>
      </c>
    </row>
    <row r="903" spans="1:26" x14ac:dyDescent="0.3">
      <c r="A903" t="s">
        <v>2391</v>
      </c>
      <c r="B903" s="1">
        <v>45557</v>
      </c>
      <c r="C903" t="s">
        <v>2392</v>
      </c>
      <c r="D903" t="s">
        <v>2888</v>
      </c>
      <c r="E903" s="1">
        <v>45563</v>
      </c>
      <c r="F903" t="s">
        <v>68</v>
      </c>
      <c r="G903" t="s">
        <v>66</v>
      </c>
      <c r="H903" t="s">
        <v>67</v>
      </c>
      <c r="I903" t="s">
        <v>2622</v>
      </c>
      <c r="J903" t="s">
        <v>2622</v>
      </c>
      <c r="K903" t="s">
        <v>52</v>
      </c>
      <c r="L903">
        <v>18</v>
      </c>
      <c r="M903">
        <v>1</v>
      </c>
      <c r="N903">
        <v>20</v>
      </c>
      <c r="O903" t="s">
        <v>1070</v>
      </c>
      <c r="P903" t="s">
        <v>44</v>
      </c>
      <c r="Q903" t="s">
        <v>117</v>
      </c>
      <c r="R903" t="s">
        <v>62</v>
      </c>
      <c r="S903" t="s">
        <v>69</v>
      </c>
      <c r="T903">
        <v>5</v>
      </c>
      <c r="U903">
        <v>755.98</v>
      </c>
      <c r="V903">
        <v>441.87</v>
      </c>
      <c r="W903">
        <v>6</v>
      </c>
      <c r="X903" t="str">
        <f>TEXT(cleaneddata[[#This Row],[Order Date]],"mmm")</f>
        <v>Sep</v>
      </c>
      <c r="Y903">
        <f>cleaneddata[[#This Row],[Unit Price]]*cleaneddata[[#This Row],[Quantity]]*(1-cleaneddata[[#This Row],[Discount %]]/100)</f>
        <v>604.78399999999999</v>
      </c>
      <c r="Z903">
        <f>cleaneddata[[#This Row],[sales]]-cleaneddata[[#This Row],[Cost]]</f>
        <v>162.91399999999999</v>
      </c>
    </row>
    <row r="904" spans="1:26" x14ac:dyDescent="0.3">
      <c r="A904" t="s">
        <v>2393</v>
      </c>
      <c r="B904" s="1">
        <v>45778</v>
      </c>
      <c r="C904" t="s">
        <v>2394</v>
      </c>
      <c r="D904" t="s">
        <v>2887</v>
      </c>
      <c r="E904" s="1">
        <v>45784</v>
      </c>
      <c r="F904" t="s">
        <v>56</v>
      </c>
      <c r="G904" t="s">
        <v>54</v>
      </c>
      <c r="H904" t="s">
        <v>55</v>
      </c>
      <c r="I904" t="s">
        <v>2625</v>
      </c>
      <c r="J904" t="s">
        <v>2667</v>
      </c>
      <c r="K904" t="s">
        <v>25</v>
      </c>
      <c r="L904">
        <v>45</v>
      </c>
      <c r="M904">
        <v>5</v>
      </c>
      <c r="N904">
        <v>30</v>
      </c>
      <c r="O904" t="s">
        <v>473</v>
      </c>
      <c r="P904" t="s">
        <v>75</v>
      </c>
      <c r="Q904" t="s">
        <v>70</v>
      </c>
      <c r="R904" t="s">
        <v>71</v>
      </c>
      <c r="S904" t="s">
        <v>57</v>
      </c>
      <c r="T904">
        <v>4</v>
      </c>
      <c r="U904">
        <v>181.78</v>
      </c>
      <c r="V904">
        <v>397.47</v>
      </c>
      <c r="W904">
        <v>6</v>
      </c>
      <c r="X904" t="str">
        <f>TEXT(cleaneddata[[#This Row],[Order Date]],"mmm")</f>
        <v>May</v>
      </c>
      <c r="Y904">
        <f>cleaneddata[[#This Row],[Unit Price]]*cleaneddata[[#This Row],[Quantity]]*(1-cleaneddata[[#This Row],[Discount %]]/100)</f>
        <v>636.2299999999999</v>
      </c>
      <c r="Z904">
        <f>cleaneddata[[#This Row],[sales]]-cleaneddata[[#This Row],[Cost]]</f>
        <v>238.75999999999988</v>
      </c>
    </row>
    <row r="905" spans="1:26" x14ac:dyDescent="0.3">
      <c r="A905" t="s">
        <v>2395</v>
      </c>
      <c r="B905" s="1">
        <v>45936</v>
      </c>
      <c r="C905" t="s">
        <v>1774</v>
      </c>
      <c r="D905" t="s">
        <v>2886</v>
      </c>
      <c r="E905" s="1">
        <v>45939</v>
      </c>
      <c r="F905" t="s">
        <v>29</v>
      </c>
      <c r="G905" t="s">
        <v>27</v>
      </c>
      <c r="H905" t="s">
        <v>28</v>
      </c>
      <c r="I905" t="s">
        <v>2665</v>
      </c>
      <c r="J905" t="s">
        <v>2666</v>
      </c>
      <c r="K905" t="s">
        <v>25</v>
      </c>
      <c r="L905">
        <v>19</v>
      </c>
      <c r="M905">
        <v>4</v>
      </c>
      <c r="N905">
        <v>20</v>
      </c>
      <c r="O905" t="s">
        <v>774</v>
      </c>
      <c r="P905" t="s">
        <v>44</v>
      </c>
      <c r="Q905" t="s">
        <v>117</v>
      </c>
      <c r="R905" t="s">
        <v>62</v>
      </c>
      <c r="S905" t="s">
        <v>30</v>
      </c>
      <c r="T905">
        <v>5</v>
      </c>
      <c r="U905">
        <v>821.26</v>
      </c>
      <c r="V905">
        <v>1844.65</v>
      </c>
      <c r="W905">
        <v>3</v>
      </c>
      <c r="X905" t="str">
        <f>TEXT(cleaneddata[[#This Row],[Order Date]],"mmm")</f>
        <v>Oct</v>
      </c>
      <c r="Y905">
        <f>cleaneddata[[#This Row],[Unit Price]]*cleaneddata[[#This Row],[Quantity]]*(1-cleaneddata[[#This Row],[Discount %]]/100)</f>
        <v>2628.0320000000002</v>
      </c>
      <c r="Z905">
        <f>cleaneddata[[#This Row],[sales]]-cleaneddata[[#This Row],[Cost]]</f>
        <v>783.38200000000006</v>
      </c>
    </row>
    <row r="906" spans="1:26" x14ac:dyDescent="0.3">
      <c r="A906" t="s">
        <v>2396</v>
      </c>
      <c r="B906" s="1">
        <v>46169</v>
      </c>
      <c r="C906" t="s">
        <v>2397</v>
      </c>
      <c r="D906" t="s">
        <v>2885</v>
      </c>
      <c r="E906" s="1">
        <v>46174</v>
      </c>
      <c r="F906" t="s">
        <v>40</v>
      </c>
      <c r="G906" t="s">
        <v>38</v>
      </c>
      <c r="H906" t="s">
        <v>39</v>
      </c>
      <c r="I906" t="s">
        <v>2631</v>
      </c>
      <c r="J906" t="s">
        <v>2694</v>
      </c>
      <c r="K906" t="s">
        <v>25</v>
      </c>
      <c r="L906">
        <v>24</v>
      </c>
      <c r="M906">
        <v>4</v>
      </c>
      <c r="N906">
        <v>20</v>
      </c>
      <c r="O906" t="s">
        <v>490</v>
      </c>
      <c r="P906" t="s">
        <v>33</v>
      </c>
      <c r="Q906" t="s">
        <v>58</v>
      </c>
      <c r="R906" t="s">
        <v>62</v>
      </c>
      <c r="S906" t="s">
        <v>41</v>
      </c>
      <c r="T906">
        <v>3</v>
      </c>
      <c r="U906">
        <v>944.43</v>
      </c>
      <c r="V906">
        <v>1725.53</v>
      </c>
      <c r="W906">
        <v>5</v>
      </c>
      <c r="X906" t="str">
        <f>TEXT(cleaneddata[[#This Row],[Order Date]],"mmm")</f>
        <v>May</v>
      </c>
      <c r="Y906">
        <f>cleaneddata[[#This Row],[Unit Price]]*cleaneddata[[#This Row],[Quantity]]*(1-cleaneddata[[#This Row],[Discount %]]/100)</f>
        <v>3022.1759999999999</v>
      </c>
      <c r="Z906">
        <f>cleaneddata[[#This Row],[sales]]-cleaneddata[[#This Row],[Cost]]</f>
        <v>1296.646</v>
      </c>
    </row>
    <row r="907" spans="1:26" x14ac:dyDescent="0.3">
      <c r="A907" t="s">
        <v>2398</v>
      </c>
      <c r="B907" s="1">
        <v>45697</v>
      </c>
      <c r="C907" t="s">
        <v>2399</v>
      </c>
      <c r="D907" t="s">
        <v>2884</v>
      </c>
      <c r="E907" s="1">
        <v>45702</v>
      </c>
      <c r="F907" t="s">
        <v>128</v>
      </c>
      <c r="G907" t="s">
        <v>98</v>
      </c>
      <c r="H907" t="s">
        <v>127</v>
      </c>
      <c r="I907" t="s">
        <v>2635</v>
      </c>
      <c r="J907" t="s">
        <v>2643</v>
      </c>
      <c r="K907" t="s">
        <v>25</v>
      </c>
      <c r="L907">
        <v>27</v>
      </c>
      <c r="M907">
        <v>3</v>
      </c>
      <c r="N907">
        <v>5</v>
      </c>
      <c r="O907" t="s">
        <v>1675</v>
      </c>
      <c r="P907" t="s">
        <v>44</v>
      </c>
      <c r="Q907" t="s">
        <v>58</v>
      </c>
      <c r="R907" t="s">
        <v>43</v>
      </c>
      <c r="S907" t="s">
        <v>129</v>
      </c>
      <c r="T907">
        <v>4</v>
      </c>
      <c r="U907">
        <v>425</v>
      </c>
      <c r="V907">
        <v>788.91</v>
      </c>
      <c r="W907">
        <v>5</v>
      </c>
      <c r="X907" t="str">
        <f>TEXT(cleaneddata[[#This Row],[Order Date]],"mmm")</f>
        <v>Feb</v>
      </c>
      <c r="Y907">
        <f>cleaneddata[[#This Row],[Unit Price]]*cleaneddata[[#This Row],[Quantity]]*(1-cleaneddata[[#This Row],[Discount %]]/100)</f>
        <v>1211.25</v>
      </c>
      <c r="Z907">
        <f>cleaneddata[[#This Row],[sales]]-cleaneddata[[#This Row],[Cost]]</f>
        <v>422.34000000000003</v>
      </c>
    </row>
    <row r="908" spans="1:26" x14ac:dyDescent="0.3">
      <c r="A908" t="s">
        <v>2400</v>
      </c>
      <c r="B908" s="1">
        <v>45755</v>
      </c>
      <c r="C908" t="s">
        <v>2401</v>
      </c>
      <c r="D908" t="s">
        <v>2883</v>
      </c>
      <c r="E908" s="1">
        <v>45757</v>
      </c>
      <c r="F908" t="s">
        <v>115</v>
      </c>
      <c r="G908" t="s">
        <v>66</v>
      </c>
      <c r="H908" t="s">
        <v>114</v>
      </c>
      <c r="I908" t="s">
        <v>2622</v>
      </c>
      <c r="J908" t="s">
        <v>2622</v>
      </c>
      <c r="K908" t="s">
        <v>52</v>
      </c>
      <c r="L908">
        <v>21</v>
      </c>
      <c r="M908">
        <v>1</v>
      </c>
      <c r="N908">
        <v>15</v>
      </c>
      <c r="O908" t="s">
        <v>165</v>
      </c>
      <c r="P908" t="s">
        <v>44</v>
      </c>
      <c r="Q908" t="s">
        <v>58</v>
      </c>
      <c r="R908" t="s">
        <v>62</v>
      </c>
      <c r="S908" t="s">
        <v>116</v>
      </c>
      <c r="T908">
        <v>3</v>
      </c>
      <c r="U908">
        <v>110.47</v>
      </c>
      <c r="V908">
        <v>54.28</v>
      </c>
      <c r="W908">
        <v>2</v>
      </c>
      <c r="X908" t="str">
        <f>TEXT(cleaneddata[[#This Row],[Order Date]],"mmm")</f>
        <v>Apr</v>
      </c>
      <c r="Y908">
        <f>cleaneddata[[#This Row],[Unit Price]]*cleaneddata[[#This Row],[Quantity]]*(1-cleaneddata[[#This Row],[Discount %]]/100)</f>
        <v>93.899500000000003</v>
      </c>
      <c r="Z908">
        <f>cleaneddata[[#This Row],[sales]]-cleaneddata[[#This Row],[Cost]]</f>
        <v>39.619500000000002</v>
      </c>
    </row>
    <row r="909" spans="1:26" x14ac:dyDescent="0.3">
      <c r="A909" t="s">
        <v>2402</v>
      </c>
      <c r="B909" s="1">
        <v>45383</v>
      </c>
      <c r="C909" t="s">
        <v>2403</v>
      </c>
      <c r="D909" t="s">
        <v>2882</v>
      </c>
      <c r="E909" s="1">
        <v>45389</v>
      </c>
      <c r="F909" t="s">
        <v>100</v>
      </c>
      <c r="G909" t="s">
        <v>98</v>
      </c>
      <c r="H909" t="s">
        <v>99</v>
      </c>
      <c r="I909" t="s">
        <v>2634</v>
      </c>
      <c r="J909" t="s">
        <v>2650</v>
      </c>
      <c r="K909" t="s">
        <v>25</v>
      </c>
      <c r="L909">
        <v>23</v>
      </c>
      <c r="M909">
        <v>2</v>
      </c>
      <c r="N909">
        <v>30</v>
      </c>
      <c r="O909" t="s">
        <v>646</v>
      </c>
      <c r="P909" t="s">
        <v>33</v>
      </c>
      <c r="Q909" t="s">
        <v>70</v>
      </c>
      <c r="R909" t="s">
        <v>43</v>
      </c>
      <c r="S909" t="s">
        <v>101</v>
      </c>
      <c r="T909">
        <v>1</v>
      </c>
      <c r="U909">
        <v>442.83</v>
      </c>
      <c r="V909">
        <v>416.21</v>
      </c>
      <c r="W909">
        <v>6</v>
      </c>
      <c r="X909" t="str">
        <f>TEXT(cleaneddata[[#This Row],[Order Date]],"mmm")</f>
        <v>Apr</v>
      </c>
      <c r="Y909">
        <f>cleaneddata[[#This Row],[Unit Price]]*cleaneddata[[#This Row],[Quantity]]*(1-cleaneddata[[#This Row],[Discount %]]/100)</f>
        <v>619.96199999999999</v>
      </c>
      <c r="Z909">
        <f>cleaneddata[[#This Row],[sales]]-cleaneddata[[#This Row],[Cost]]</f>
        <v>203.75200000000001</v>
      </c>
    </row>
    <row r="910" spans="1:26" x14ac:dyDescent="0.3">
      <c r="A910" t="s">
        <v>2404</v>
      </c>
      <c r="B910" s="1">
        <v>45438</v>
      </c>
      <c r="C910" t="s">
        <v>2405</v>
      </c>
      <c r="D910" t="s">
        <v>2881</v>
      </c>
      <c r="E910" s="1">
        <v>45440</v>
      </c>
      <c r="F910" t="s">
        <v>29</v>
      </c>
      <c r="G910" t="s">
        <v>27</v>
      </c>
      <c r="H910" t="s">
        <v>28</v>
      </c>
      <c r="I910" t="s">
        <v>2632</v>
      </c>
      <c r="J910" t="s">
        <v>2646</v>
      </c>
      <c r="K910" t="s">
        <v>25</v>
      </c>
      <c r="L910">
        <v>38</v>
      </c>
      <c r="M910">
        <v>1</v>
      </c>
      <c r="N910">
        <v>5</v>
      </c>
      <c r="O910" t="s">
        <v>2406</v>
      </c>
      <c r="P910" t="s">
        <v>33</v>
      </c>
      <c r="Q910" t="s">
        <v>117</v>
      </c>
      <c r="R910" t="s">
        <v>62</v>
      </c>
      <c r="S910" t="s">
        <v>30</v>
      </c>
      <c r="T910">
        <v>5</v>
      </c>
      <c r="U910">
        <v>333.15</v>
      </c>
      <c r="V910">
        <v>170.72</v>
      </c>
      <c r="W910">
        <v>2</v>
      </c>
      <c r="X910" t="str">
        <f>TEXT(cleaneddata[[#This Row],[Order Date]],"mmm")</f>
        <v>May</v>
      </c>
      <c r="Y910">
        <f>cleaneddata[[#This Row],[Unit Price]]*cleaneddata[[#This Row],[Quantity]]*(1-cleaneddata[[#This Row],[Discount %]]/100)</f>
        <v>316.49249999999995</v>
      </c>
      <c r="Z910">
        <f>cleaneddata[[#This Row],[sales]]-cleaneddata[[#This Row],[Cost]]</f>
        <v>145.77249999999995</v>
      </c>
    </row>
    <row r="911" spans="1:26" x14ac:dyDescent="0.3">
      <c r="A911" t="s">
        <v>2407</v>
      </c>
      <c r="B911" s="1">
        <v>45426</v>
      </c>
      <c r="C911" t="s">
        <v>2408</v>
      </c>
      <c r="D911" t="s">
        <v>2880</v>
      </c>
      <c r="E911" s="1">
        <v>45428</v>
      </c>
      <c r="F911" t="s">
        <v>122</v>
      </c>
      <c r="G911" t="s">
        <v>120</v>
      </c>
      <c r="H911" t="s">
        <v>121</v>
      </c>
      <c r="I911" t="s">
        <v>2659</v>
      </c>
      <c r="J911" t="s">
        <v>2681</v>
      </c>
      <c r="K911" t="s">
        <v>25</v>
      </c>
      <c r="L911">
        <v>18</v>
      </c>
      <c r="M911">
        <v>2</v>
      </c>
      <c r="N911">
        <v>25</v>
      </c>
      <c r="O911" t="s">
        <v>144</v>
      </c>
      <c r="P911" t="s">
        <v>33</v>
      </c>
      <c r="Q911" t="s">
        <v>58</v>
      </c>
      <c r="R911" t="s">
        <v>32</v>
      </c>
      <c r="S911" t="s">
        <v>123</v>
      </c>
      <c r="T911">
        <v>4</v>
      </c>
      <c r="U911">
        <v>330.65</v>
      </c>
      <c r="V911">
        <v>298.55</v>
      </c>
      <c r="W911">
        <v>2</v>
      </c>
      <c r="X911" t="str">
        <f>TEXT(cleaneddata[[#This Row],[Order Date]],"mmm")</f>
        <v>May</v>
      </c>
      <c r="Y911">
        <f>cleaneddata[[#This Row],[Unit Price]]*cleaneddata[[#This Row],[Quantity]]*(1-cleaneddata[[#This Row],[Discount %]]/100)</f>
        <v>495.97499999999997</v>
      </c>
      <c r="Z911">
        <f>cleaneddata[[#This Row],[sales]]-cleaneddata[[#This Row],[Cost]]</f>
        <v>197.42499999999995</v>
      </c>
    </row>
    <row r="912" spans="1:26" x14ac:dyDescent="0.3">
      <c r="A912" t="s">
        <v>2409</v>
      </c>
      <c r="B912" s="1">
        <v>46145</v>
      </c>
      <c r="C912" t="s">
        <v>2410</v>
      </c>
      <c r="D912" t="s">
        <v>2879</v>
      </c>
      <c r="E912" s="1">
        <v>46149</v>
      </c>
      <c r="F912" t="s">
        <v>56</v>
      </c>
      <c r="G912" t="s">
        <v>54</v>
      </c>
      <c r="H912" t="s">
        <v>55</v>
      </c>
      <c r="I912" t="s">
        <v>2641</v>
      </c>
      <c r="J912" t="s">
        <v>2692</v>
      </c>
      <c r="K912" t="s">
        <v>52</v>
      </c>
      <c r="L912">
        <v>58</v>
      </c>
      <c r="M912">
        <v>1</v>
      </c>
      <c r="N912">
        <v>10</v>
      </c>
      <c r="O912" t="s">
        <v>1692</v>
      </c>
      <c r="P912" t="s">
        <v>44</v>
      </c>
      <c r="Q912" t="s">
        <v>31</v>
      </c>
      <c r="R912" t="s">
        <v>32</v>
      </c>
      <c r="S912" t="s">
        <v>57</v>
      </c>
      <c r="T912">
        <v>3</v>
      </c>
      <c r="U912">
        <v>291.77999999999997</v>
      </c>
      <c r="V912">
        <v>179.16</v>
      </c>
      <c r="W912">
        <v>4</v>
      </c>
      <c r="X912" t="str">
        <f>TEXT(cleaneddata[[#This Row],[Order Date]],"mmm")</f>
        <v>May</v>
      </c>
      <c r="Y912">
        <f>cleaneddata[[#This Row],[Unit Price]]*cleaneddata[[#This Row],[Quantity]]*(1-cleaneddata[[#This Row],[Discount %]]/100)</f>
        <v>262.60199999999998</v>
      </c>
      <c r="Z912">
        <f>cleaneddata[[#This Row],[sales]]-cleaneddata[[#This Row],[Cost]]</f>
        <v>83.441999999999979</v>
      </c>
    </row>
    <row r="913" spans="1:26" x14ac:dyDescent="0.3">
      <c r="A913" t="s">
        <v>2411</v>
      </c>
      <c r="B913" s="1">
        <v>45331</v>
      </c>
      <c r="C913" t="s">
        <v>2412</v>
      </c>
      <c r="D913" t="s">
        <v>2878</v>
      </c>
      <c r="E913" s="1">
        <v>45334</v>
      </c>
      <c r="F913" t="s">
        <v>56</v>
      </c>
      <c r="G913" t="s">
        <v>54</v>
      </c>
      <c r="H913" t="s">
        <v>55</v>
      </c>
      <c r="I913" t="s">
        <v>2661</v>
      </c>
      <c r="J913" t="s">
        <v>2671</v>
      </c>
      <c r="K913" t="s">
        <v>25</v>
      </c>
      <c r="L913">
        <v>53</v>
      </c>
      <c r="M913">
        <v>1</v>
      </c>
      <c r="N913">
        <v>20</v>
      </c>
      <c r="O913" t="s">
        <v>2413</v>
      </c>
      <c r="P913" t="s">
        <v>75</v>
      </c>
      <c r="Q913" t="s">
        <v>117</v>
      </c>
      <c r="R913" t="s">
        <v>43</v>
      </c>
      <c r="S913" t="s">
        <v>57</v>
      </c>
      <c r="T913">
        <v>3</v>
      </c>
      <c r="U913">
        <v>374.37</v>
      </c>
      <c r="V913">
        <v>184.68</v>
      </c>
      <c r="W913">
        <v>3</v>
      </c>
      <c r="X913" t="str">
        <f>TEXT(cleaneddata[[#This Row],[Order Date]],"mmm")</f>
        <v>Feb</v>
      </c>
      <c r="Y913">
        <f>cleaneddata[[#This Row],[Unit Price]]*cleaneddata[[#This Row],[Quantity]]*(1-cleaneddata[[#This Row],[Discount %]]/100)</f>
        <v>299.49600000000004</v>
      </c>
      <c r="Z913">
        <f>cleaneddata[[#This Row],[sales]]-cleaneddata[[#This Row],[Cost]]</f>
        <v>114.81600000000003</v>
      </c>
    </row>
    <row r="914" spans="1:26" x14ac:dyDescent="0.3">
      <c r="A914" t="s">
        <v>2414</v>
      </c>
      <c r="B914" s="1">
        <v>45866</v>
      </c>
      <c r="C914" t="s">
        <v>2415</v>
      </c>
      <c r="D914" t="s">
        <v>2877</v>
      </c>
      <c r="E914" s="1">
        <v>45871</v>
      </c>
      <c r="F914" t="s">
        <v>29</v>
      </c>
      <c r="G914" t="s">
        <v>27</v>
      </c>
      <c r="H914" t="s">
        <v>28</v>
      </c>
      <c r="I914" t="s">
        <v>2623</v>
      </c>
      <c r="J914" t="s">
        <v>2696</v>
      </c>
      <c r="K914" t="s">
        <v>25</v>
      </c>
      <c r="L914">
        <v>45</v>
      </c>
      <c r="M914">
        <v>2</v>
      </c>
      <c r="N914">
        <v>20</v>
      </c>
      <c r="O914" t="s">
        <v>2416</v>
      </c>
      <c r="P914" t="s">
        <v>33</v>
      </c>
      <c r="Q914" t="s">
        <v>58</v>
      </c>
      <c r="R914" t="s">
        <v>71</v>
      </c>
      <c r="S914" t="s">
        <v>30</v>
      </c>
      <c r="T914">
        <v>3</v>
      </c>
      <c r="U914">
        <v>967.55</v>
      </c>
      <c r="V914">
        <v>1088.5</v>
      </c>
      <c r="W914">
        <v>5</v>
      </c>
      <c r="X914" t="str">
        <f>TEXT(cleaneddata[[#This Row],[Order Date]],"mmm")</f>
        <v>Jul</v>
      </c>
      <c r="Y914">
        <f>cleaneddata[[#This Row],[Unit Price]]*cleaneddata[[#This Row],[Quantity]]*(1-cleaneddata[[#This Row],[Discount %]]/100)</f>
        <v>1548.08</v>
      </c>
      <c r="Z914">
        <f>cleaneddata[[#This Row],[sales]]-cleaneddata[[#This Row],[Cost]]</f>
        <v>459.57999999999993</v>
      </c>
    </row>
    <row r="915" spans="1:26" x14ac:dyDescent="0.3">
      <c r="A915" t="s">
        <v>2417</v>
      </c>
      <c r="B915" s="1">
        <v>45731</v>
      </c>
      <c r="C915" t="s">
        <v>2418</v>
      </c>
      <c r="D915" t="s">
        <v>2876</v>
      </c>
      <c r="E915" s="1">
        <v>45735</v>
      </c>
      <c r="F915" t="s">
        <v>68</v>
      </c>
      <c r="G915" t="s">
        <v>66</v>
      </c>
      <c r="H915" t="s">
        <v>67</v>
      </c>
      <c r="I915" t="s">
        <v>2632</v>
      </c>
      <c r="J915" t="s">
        <v>2646</v>
      </c>
      <c r="K915" t="s">
        <v>25</v>
      </c>
      <c r="L915">
        <v>55</v>
      </c>
      <c r="M915">
        <v>1</v>
      </c>
      <c r="N915">
        <v>25</v>
      </c>
      <c r="O915" t="s">
        <v>2419</v>
      </c>
      <c r="P915" t="s">
        <v>33</v>
      </c>
      <c r="Q915" t="s">
        <v>58</v>
      </c>
      <c r="R915" t="s">
        <v>62</v>
      </c>
      <c r="S915" t="s">
        <v>69</v>
      </c>
      <c r="T915">
        <v>5</v>
      </c>
      <c r="U915">
        <v>367.91</v>
      </c>
      <c r="V915">
        <v>204.33</v>
      </c>
      <c r="W915">
        <v>4</v>
      </c>
      <c r="X915" t="str">
        <f>TEXT(cleaneddata[[#This Row],[Order Date]],"mmm")</f>
        <v>Mar</v>
      </c>
      <c r="Y915">
        <f>cleaneddata[[#This Row],[Unit Price]]*cleaneddata[[#This Row],[Quantity]]*(1-cleaneddata[[#This Row],[Discount %]]/100)</f>
        <v>275.9325</v>
      </c>
      <c r="Z915">
        <f>cleaneddata[[#This Row],[sales]]-cleaneddata[[#This Row],[Cost]]</f>
        <v>71.602499999999992</v>
      </c>
    </row>
    <row r="916" spans="1:26" x14ac:dyDescent="0.3">
      <c r="A916" t="s">
        <v>2420</v>
      </c>
      <c r="B916" s="1">
        <v>45971</v>
      </c>
      <c r="C916" t="s">
        <v>2421</v>
      </c>
      <c r="D916" t="s">
        <v>2875</v>
      </c>
      <c r="E916" s="1">
        <v>45978</v>
      </c>
      <c r="F916" t="s">
        <v>68</v>
      </c>
      <c r="G916" t="s">
        <v>66</v>
      </c>
      <c r="H916" t="s">
        <v>67</v>
      </c>
      <c r="I916" t="s">
        <v>2629</v>
      </c>
      <c r="J916" t="s">
        <v>2630</v>
      </c>
      <c r="K916" t="s">
        <v>52</v>
      </c>
      <c r="L916">
        <v>61</v>
      </c>
      <c r="M916">
        <v>1</v>
      </c>
      <c r="N916">
        <v>10</v>
      </c>
      <c r="O916" t="s">
        <v>1062</v>
      </c>
      <c r="P916" t="s">
        <v>44</v>
      </c>
      <c r="Q916" t="s">
        <v>58</v>
      </c>
      <c r="R916" t="s">
        <v>32</v>
      </c>
      <c r="S916" t="s">
        <v>69</v>
      </c>
      <c r="T916">
        <v>2</v>
      </c>
      <c r="U916">
        <v>73.37</v>
      </c>
      <c r="V916">
        <v>38.299999999999997</v>
      </c>
      <c r="W916">
        <v>7</v>
      </c>
      <c r="X916" t="str">
        <f>TEXT(cleaneddata[[#This Row],[Order Date]],"mmm")</f>
        <v>Nov</v>
      </c>
      <c r="Y916">
        <f>cleaneddata[[#This Row],[Unit Price]]*cleaneddata[[#This Row],[Quantity]]*(1-cleaneddata[[#This Row],[Discount %]]/100)</f>
        <v>66.033000000000001</v>
      </c>
      <c r="Z916">
        <f>cleaneddata[[#This Row],[sales]]-cleaneddata[[#This Row],[Cost]]</f>
        <v>27.733000000000004</v>
      </c>
    </row>
    <row r="917" spans="1:26" x14ac:dyDescent="0.3">
      <c r="A917" t="s">
        <v>2422</v>
      </c>
      <c r="B917" s="1">
        <v>45679</v>
      </c>
      <c r="C917" t="s">
        <v>2423</v>
      </c>
      <c r="D917" t="s">
        <v>2874</v>
      </c>
      <c r="E917" s="1">
        <v>45680</v>
      </c>
      <c r="F917" t="s">
        <v>128</v>
      </c>
      <c r="G917" t="s">
        <v>98</v>
      </c>
      <c r="H917" t="s">
        <v>127</v>
      </c>
      <c r="I917" t="s">
        <v>2668</v>
      </c>
      <c r="J917" t="s">
        <v>2682</v>
      </c>
      <c r="K917" t="s">
        <v>25</v>
      </c>
      <c r="L917">
        <v>37</v>
      </c>
      <c r="M917">
        <v>4</v>
      </c>
      <c r="N917">
        <v>5</v>
      </c>
      <c r="O917" t="s">
        <v>461</v>
      </c>
      <c r="P917" t="s">
        <v>33</v>
      </c>
      <c r="Q917" t="s">
        <v>31</v>
      </c>
      <c r="R917" t="s">
        <v>32</v>
      </c>
      <c r="S917" t="s">
        <v>129</v>
      </c>
      <c r="T917">
        <v>3</v>
      </c>
      <c r="U917">
        <v>358.62</v>
      </c>
      <c r="V917">
        <v>739.11</v>
      </c>
      <c r="W917">
        <v>1</v>
      </c>
      <c r="X917" t="str">
        <f>TEXT(cleaneddata[[#This Row],[Order Date]],"mmm")</f>
        <v>Jan</v>
      </c>
      <c r="Y917">
        <f>cleaneddata[[#This Row],[Unit Price]]*cleaneddata[[#This Row],[Quantity]]*(1-cleaneddata[[#This Row],[Discount %]]/100)</f>
        <v>1362.7559999999999</v>
      </c>
      <c r="Z917">
        <f>cleaneddata[[#This Row],[sales]]-cleaneddata[[#This Row],[Cost]]</f>
        <v>623.64599999999984</v>
      </c>
    </row>
    <row r="918" spans="1:26" x14ac:dyDescent="0.3">
      <c r="A918" t="s">
        <v>2424</v>
      </c>
      <c r="B918" s="1">
        <v>45313</v>
      </c>
      <c r="C918" t="s">
        <v>2425</v>
      </c>
      <c r="D918" t="s">
        <v>2873</v>
      </c>
      <c r="E918" s="1">
        <v>45318</v>
      </c>
      <c r="F918" t="s">
        <v>29</v>
      </c>
      <c r="G918" t="s">
        <v>27</v>
      </c>
      <c r="H918" t="s">
        <v>28</v>
      </c>
      <c r="I918" t="s">
        <v>2631</v>
      </c>
      <c r="J918" t="s">
        <v>2694</v>
      </c>
      <c r="K918" t="s">
        <v>52</v>
      </c>
      <c r="L918">
        <v>34</v>
      </c>
      <c r="M918">
        <v>4</v>
      </c>
      <c r="N918">
        <v>5</v>
      </c>
      <c r="O918" t="s">
        <v>2426</v>
      </c>
      <c r="P918" t="s">
        <v>33</v>
      </c>
      <c r="Q918" t="s">
        <v>117</v>
      </c>
      <c r="R918" t="s">
        <v>32</v>
      </c>
      <c r="S918" t="s">
        <v>30</v>
      </c>
      <c r="T918">
        <v>1</v>
      </c>
      <c r="U918">
        <v>802.89</v>
      </c>
      <c r="V918">
        <v>1746.36</v>
      </c>
      <c r="W918">
        <v>5</v>
      </c>
      <c r="X918" t="str">
        <f>TEXT(cleaneddata[[#This Row],[Order Date]],"mmm")</f>
        <v>Jan</v>
      </c>
      <c r="Y918">
        <f>cleaneddata[[#This Row],[Unit Price]]*cleaneddata[[#This Row],[Quantity]]*(1-cleaneddata[[#This Row],[Discount %]]/100)</f>
        <v>3050.982</v>
      </c>
      <c r="Z918">
        <f>cleaneddata[[#This Row],[sales]]-cleaneddata[[#This Row],[Cost]]</f>
        <v>1304.6220000000001</v>
      </c>
    </row>
    <row r="919" spans="1:26" x14ac:dyDescent="0.3">
      <c r="A919" t="s">
        <v>2427</v>
      </c>
      <c r="B919" s="1">
        <v>45424</v>
      </c>
      <c r="C919" t="s">
        <v>2428</v>
      </c>
      <c r="D919" t="s">
        <v>2872</v>
      </c>
      <c r="E919" s="1">
        <v>45425</v>
      </c>
      <c r="F919" t="s">
        <v>56</v>
      </c>
      <c r="G919" t="s">
        <v>54</v>
      </c>
      <c r="H919" t="s">
        <v>55</v>
      </c>
      <c r="I919" t="s">
        <v>2622</v>
      </c>
      <c r="J919" t="s">
        <v>2622</v>
      </c>
      <c r="K919" t="s">
        <v>25</v>
      </c>
      <c r="L919">
        <v>41</v>
      </c>
      <c r="M919">
        <v>5</v>
      </c>
      <c r="N919">
        <v>5</v>
      </c>
      <c r="O919" t="s">
        <v>2117</v>
      </c>
      <c r="P919" t="s">
        <v>33</v>
      </c>
      <c r="Q919" t="s">
        <v>31</v>
      </c>
      <c r="R919" t="s">
        <v>62</v>
      </c>
      <c r="S919" t="s">
        <v>57</v>
      </c>
      <c r="T919">
        <v>5</v>
      </c>
      <c r="U919">
        <v>586.54999999999995</v>
      </c>
      <c r="V919">
        <v>1620.6</v>
      </c>
      <c r="W919">
        <v>1</v>
      </c>
      <c r="X919" t="str">
        <f>TEXT(cleaneddata[[#This Row],[Order Date]],"mmm")</f>
        <v>May</v>
      </c>
      <c r="Y919">
        <f>cleaneddata[[#This Row],[Unit Price]]*cleaneddata[[#This Row],[Quantity]]*(1-cleaneddata[[#This Row],[Discount %]]/100)</f>
        <v>2786.1124999999997</v>
      </c>
      <c r="Z919">
        <f>cleaneddata[[#This Row],[sales]]-cleaneddata[[#This Row],[Cost]]</f>
        <v>1165.5124999999998</v>
      </c>
    </row>
    <row r="920" spans="1:26" x14ac:dyDescent="0.3">
      <c r="A920" t="s">
        <v>2429</v>
      </c>
      <c r="B920" s="1">
        <v>45688</v>
      </c>
      <c r="C920" t="s">
        <v>2430</v>
      </c>
      <c r="D920" t="s">
        <v>2871</v>
      </c>
      <c r="E920" s="1">
        <v>45692</v>
      </c>
      <c r="F920" t="s">
        <v>29</v>
      </c>
      <c r="G920" t="s">
        <v>27</v>
      </c>
      <c r="H920" t="s">
        <v>28</v>
      </c>
      <c r="I920" t="s">
        <v>2631</v>
      </c>
      <c r="J920" t="s">
        <v>2694</v>
      </c>
      <c r="K920" t="s">
        <v>25</v>
      </c>
      <c r="L920">
        <v>57</v>
      </c>
      <c r="M920">
        <v>4</v>
      </c>
      <c r="N920">
        <v>10</v>
      </c>
      <c r="O920" t="s">
        <v>2219</v>
      </c>
      <c r="P920" t="s">
        <v>75</v>
      </c>
      <c r="Q920" t="s">
        <v>58</v>
      </c>
      <c r="R920" t="s">
        <v>43</v>
      </c>
      <c r="S920" t="s">
        <v>30</v>
      </c>
      <c r="T920">
        <v>3</v>
      </c>
      <c r="U920">
        <v>447.01</v>
      </c>
      <c r="V920">
        <v>1252.56</v>
      </c>
      <c r="W920">
        <v>4</v>
      </c>
      <c r="X920" t="str">
        <f>TEXT(cleaneddata[[#This Row],[Order Date]],"mmm")</f>
        <v>Jan</v>
      </c>
      <c r="Y920">
        <f>cleaneddata[[#This Row],[Unit Price]]*cleaneddata[[#This Row],[Quantity]]*(1-cleaneddata[[#This Row],[Discount %]]/100)</f>
        <v>1609.2360000000001</v>
      </c>
      <c r="Z920">
        <f>cleaneddata[[#This Row],[sales]]-cleaneddata[[#This Row],[Cost]]</f>
        <v>356.67600000000016</v>
      </c>
    </row>
    <row r="921" spans="1:26" x14ac:dyDescent="0.3">
      <c r="A921" t="s">
        <v>2431</v>
      </c>
      <c r="B921" s="1">
        <v>45308</v>
      </c>
      <c r="C921" t="s">
        <v>776</v>
      </c>
      <c r="D921" t="s">
        <v>2870</v>
      </c>
      <c r="E921" s="1">
        <v>45310</v>
      </c>
      <c r="F921" t="s">
        <v>40</v>
      </c>
      <c r="G921" t="s">
        <v>38</v>
      </c>
      <c r="H921" t="s">
        <v>39</v>
      </c>
      <c r="I921" t="s">
        <v>2654</v>
      </c>
      <c r="J921" t="s">
        <v>2702</v>
      </c>
      <c r="K921" t="s">
        <v>52</v>
      </c>
      <c r="L921">
        <v>20</v>
      </c>
      <c r="M921">
        <v>5</v>
      </c>
      <c r="N921">
        <v>10</v>
      </c>
      <c r="O921" t="s">
        <v>2432</v>
      </c>
      <c r="P921" t="s">
        <v>75</v>
      </c>
      <c r="Q921" t="s">
        <v>42</v>
      </c>
      <c r="R921" t="s">
        <v>43</v>
      </c>
      <c r="S921" t="s">
        <v>41</v>
      </c>
      <c r="T921">
        <v>5</v>
      </c>
      <c r="U921">
        <v>450.15</v>
      </c>
      <c r="V921">
        <v>1647.09</v>
      </c>
      <c r="W921">
        <v>2</v>
      </c>
      <c r="X921" t="str">
        <f>TEXT(cleaneddata[[#This Row],[Order Date]],"mmm")</f>
        <v>Jan</v>
      </c>
      <c r="Y921">
        <f>cleaneddata[[#This Row],[Unit Price]]*cleaneddata[[#This Row],[Quantity]]*(1-cleaneddata[[#This Row],[Discount %]]/100)</f>
        <v>2025.675</v>
      </c>
      <c r="Z921">
        <f>cleaneddata[[#This Row],[sales]]-cleaneddata[[#This Row],[Cost]]</f>
        <v>378.58500000000004</v>
      </c>
    </row>
    <row r="922" spans="1:26" x14ac:dyDescent="0.3">
      <c r="A922" t="s">
        <v>2433</v>
      </c>
      <c r="B922" s="1">
        <v>46029</v>
      </c>
      <c r="C922" t="s">
        <v>2434</v>
      </c>
      <c r="D922" t="s">
        <v>2869</v>
      </c>
      <c r="E922" s="1">
        <v>46031</v>
      </c>
      <c r="F922" t="s">
        <v>56</v>
      </c>
      <c r="G922" t="s">
        <v>54</v>
      </c>
      <c r="H922" t="s">
        <v>55</v>
      </c>
      <c r="I922" t="s">
        <v>2654</v>
      </c>
      <c r="J922" t="s">
        <v>2702</v>
      </c>
      <c r="K922" t="s">
        <v>52</v>
      </c>
      <c r="L922">
        <v>48</v>
      </c>
      <c r="M922">
        <v>5</v>
      </c>
      <c r="N922">
        <v>0</v>
      </c>
      <c r="O922" t="s">
        <v>2435</v>
      </c>
      <c r="P922" t="s">
        <v>75</v>
      </c>
      <c r="Q922" t="s">
        <v>58</v>
      </c>
      <c r="R922" t="s">
        <v>32</v>
      </c>
      <c r="S922" t="s">
        <v>57</v>
      </c>
      <c r="T922">
        <v>4</v>
      </c>
      <c r="U922">
        <v>262.91000000000003</v>
      </c>
      <c r="V922">
        <v>1106.19</v>
      </c>
      <c r="W922">
        <v>2</v>
      </c>
      <c r="X922" t="str">
        <f>TEXT(cleaneddata[[#This Row],[Order Date]],"mmm")</f>
        <v>Jan</v>
      </c>
      <c r="Y922">
        <f>cleaneddata[[#This Row],[Unit Price]]*cleaneddata[[#This Row],[Quantity]]*(1-cleaneddata[[#This Row],[Discount %]]/100)</f>
        <v>1314.5500000000002</v>
      </c>
      <c r="Z922">
        <f>cleaneddata[[#This Row],[sales]]-cleaneddata[[#This Row],[Cost]]</f>
        <v>208.36000000000013</v>
      </c>
    </row>
    <row r="923" spans="1:26" x14ac:dyDescent="0.3">
      <c r="A923" t="s">
        <v>2436</v>
      </c>
      <c r="B923" s="1">
        <v>45615</v>
      </c>
      <c r="C923" t="s">
        <v>2437</v>
      </c>
      <c r="D923" t="s">
        <v>2868</v>
      </c>
      <c r="E923" s="1">
        <v>45618</v>
      </c>
      <c r="F923" t="s">
        <v>122</v>
      </c>
      <c r="G923" t="s">
        <v>120</v>
      </c>
      <c r="H923" t="s">
        <v>121</v>
      </c>
      <c r="I923" t="s">
        <v>2622</v>
      </c>
      <c r="J923" t="s">
        <v>2705</v>
      </c>
      <c r="K923" t="s">
        <v>25</v>
      </c>
      <c r="L923">
        <v>43</v>
      </c>
      <c r="M923">
        <v>3</v>
      </c>
      <c r="N923">
        <v>15</v>
      </c>
      <c r="O923" t="s">
        <v>2438</v>
      </c>
      <c r="P923" t="s">
        <v>44</v>
      </c>
      <c r="Q923" t="s">
        <v>58</v>
      </c>
      <c r="R923" t="s">
        <v>32</v>
      </c>
      <c r="S923" t="s">
        <v>123</v>
      </c>
      <c r="T923">
        <v>5</v>
      </c>
      <c r="U923">
        <v>394.92</v>
      </c>
      <c r="V923">
        <v>672.66</v>
      </c>
      <c r="W923">
        <v>3</v>
      </c>
      <c r="X923" t="str">
        <f>TEXT(cleaneddata[[#This Row],[Order Date]],"mmm")</f>
        <v>Nov</v>
      </c>
      <c r="Y923">
        <f>cleaneddata[[#This Row],[Unit Price]]*cleaneddata[[#This Row],[Quantity]]*(1-cleaneddata[[#This Row],[Discount %]]/100)</f>
        <v>1007.0459999999999</v>
      </c>
      <c r="Z923">
        <f>cleaneddata[[#This Row],[sales]]-cleaneddata[[#This Row],[Cost]]</f>
        <v>334.38599999999997</v>
      </c>
    </row>
    <row r="924" spans="1:26" x14ac:dyDescent="0.3">
      <c r="A924" t="s">
        <v>2439</v>
      </c>
      <c r="B924" s="1">
        <v>46138</v>
      </c>
      <c r="C924" t="s">
        <v>2440</v>
      </c>
      <c r="D924" t="s">
        <v>2729</v>
      </c>
      <c r="E924" s="1">
        <v>46141</v>
      </c>
      <c r="F924" t="s">
        <v>122</v>
      </c>
      <c r="G924" t="s">
        <v>120</v>
      </c>
      <c r="H924" t="s">
        <v>121</v>
      </c>
      <c r="I924" t="s">
        <v>2631</v>
      </c>
      <c r="J924" t="s">
        <v>2694</v>
      </c>
      <c r="K924" t="s">
        <v>52</v>
      </c>
      <c r="L924">
        <v>21</v>
      </c>
      <c r="M924">
        <v>2</v>
      </c>
      <c r="N924">
        <v>25</v>
      </c>
      <c r="O924" t="s">
        <v>1978</v>
      </c>
      <c r="P924" t="s">
        <v>75</v>
      </c>
      <c r="Q924" t="s">
        <v>31</v>
      </c>
      <c r="R924" t="s">
        <v>43</v>
      </c>
      <c r="S924" t="s">
        <v>123</v>
      </c>
      <c r="T924">
        <v>5</v>
      </c>
      <c r="U924">
        <v>724.07</v>
      </c>
      <c r="V924">
        <v>716.26</v>
      </c>
      <c r="W924">
        <v>3</v>
      </c>
      <c r="X924" t="str">
        <f>TEXT(cleaneddata[[#This Row],[Order Date]],"mmm")</f>
        <v>Apr</v>
      </c>
      <c r="Y924">
        <f>cleaneddata[[#This Row],[Unit Price]]*cleaneddata[[#This Row],[Quantity]]*(1-cleaneddata[[#This Row],[Discount %]]/100)</f>
        <v>1086.105</v>
      </c>
      <c r="Z924">
        <f>cleaneddata[[#This Row],[sales]]-cleaneddata[[#This Row],[Cost]]</f>
        <v>369.84500000000003</v>
      </c>
    </row>
    <row r="925" spans="1:26" x14ac:dyDescent="0.3">
      <c r="A925" t="s">
        <v>2441</v>
      </c>
      <c r="B925" s="1">
        <v>45873</v>
      </c>
      <c r="C925" t="s">
        <v>2442</v>
      </c>
      <c r="D925" t="s">
        <v>2728</v>
      </c>
      <c r="E925" s="1">
        <v>45879</v>
      </c>
      <c r="F925" t="s">
        <v>128</v>
      </c>
      <c r="G925" t="s">
        <v>98</v>
      </c>
      <c r="H925" t="s">
        <v>127</v>
      </c>
      <c r="I925" t="s">
        <v>2661</v>
      </c>
      <c r="J925" t="s">
        <v>2662</v>
      </c>
      <c r="K925" t="s">
        <v>25</v>
      </c>
      <c r="L925">
        <v>42</v>
      </c>
      <c r="M925">
        <v>4</v>
      </c>
      <c r="N925">
        <v>5</v>
      </c>
      <c r="O925" t="s">
        <v>1666</v>
      </c>
      <c r="P925" t="s">
        <v>33</v>
      </c>
      <c r="Q925" t="s">
        <v>117</v>
      </c>
      <c r="R925" t="s">
        <v>71</v>
      </c>
      <c r="S925" t="s">
        <v>129</v>
      </c>
      <c r="T925">
        <v>4</v>
      </c>
      <c r="U925">
        <v>940.18</v>
      </c>
      <c r="V925">
        <v>2707.63</v>
      </c>
      <c r="W925">
        <v>6</v>
      </c>
      <c r="X925" t="str">
        <f>TEXT(cleaneddata[[#This Row],[Order Date]],"mmm")</f>
        <v>Aug</v>
      </c>
      <c r="Y925">
        <f>cleaneddata[[#This Row],[Unit Price]]*cleaneddata[[#This Row],[Quantity]]*(1-cleaneddata[[#This Row],[Discount %]]/100)</f>
        <v>3572.6839999999997</v>
      </c>
      <c r="Z925">
        <f>cleaneddata[[#This Row],[sales]]-cleaneddata[[#This Row],[Cost]]</f>
        <v>865.05399999999963</v>
      </c>
    </row>
    <row r="926" spans="1:26" x14ac:dyDescent="0.3">
      <c r="A926" t="s">
        <v>2443</v>
      </c>
      <c r="B926" s="1">
        <v>45991</v>
      </c>
      <c r="C926" t="s">
        <v>2444</v>
      </c>
      <c r="D926" t="s">
        <v>2727</v>
      </c>
      <c r="E926" s="1">
        <v>45995</v>
      </c>
      <c r="F926" t="s">
        <v>68</v>
      </c>
      <c r="G926" t="s">
        <v>66</v>
      </c>
      <c r="H926" t="s">
        <v>67</v>
      </c>
      <c r="I926" t="s">
        <v>2625</v>
      </c>
      <c r="J926" t="s">
        <v>2626</v>
      </c>
      <c r="K926" t="s">
        <v>52</v>
      </c>
      <c r="L926">
        <v>27</v>
      </c>
      <c r="M926">
        <v>3</v>
      </c>
      <c r="N926">
        <v>15</v>
      </c>
      <c r="O926" t="s">
        <v>2445</v>
      </c>
      <c r="P926" t="s">
        <v>44</v>
      </c>
      <c r="Q926" t="s">
        <v>42</v>
      </c>
      <c r="R926" t="s">
        <v>32</v>
      </c>
      <c r="S926" t="s">
        <v>69</v>
      </c>
      <c r="T926">
        <v>3</v>
      </c>
      <c r="U926">
        <v>937.03</v>
      </c>
      <c r="V926">
        <v>1768.64</v>
      </c>
      <c r="W926">
        <v>4</v>
      </c>
      <c r="X926" t="str">
        <f>TEXT(cleaneddata[[#This Row],[Order Date]],"mmm")</f>
        <v>Nov</v>
      </c>
      <c r="Y926">
        <f>cleaneddata[[#This Row],[Unit Price]]*cleaneddata[[#This Row],[Quantity]]*(1-cleaneddata[[#This Row],[Discount %]]/100)</f>
        <v>2389.4265</v>
      </c>
      <c r="Z926">
        <f>cleaneddata[[#This Row],[sales]]-cleaneddata[[#This Row],[Cost]]</f>
        <v>620.78649999999993</v>
      </c>
    </row>
    <row r="927" spans="1:26" x14ac:dyDescent="0.3">
      <c r="A927" t="s">
        <v>2446</v>
      </c>
      <c r="B927" s="1">
        <v>45846</v>
      </c>
      <c r="C927" t="s">
        <v>2447</v>
      </c>
      <c r="D927" t="s">
        <v>2726</v>
      </c>
      <c r="E927" s="1">
        <v>45850</v>
      </c>
      <c r="F927" t="s">
        <v>100</v>
      </c>
      <c r="G927" t="s">
        <v>98</v>
      </c>
      <c r="H927" t="s">
        <v>99</v>
      </c>
      <c r="I927" t="s">
        <v>2665</v>
      </c>
      <c r="J927" t="s">
        <v>2666</v>
      </c>
      <c r="K927" t="s">
        <v>52</v>
      </c>
      <c r="L927">
        <v>28</v>
      </c>
      <c r="M927">
        <v>2</v>
      </c>
      <c r="N927">
        <v>10</v>
      </c>
      <c r="O927" t="s">
        <v>2448</v>
      </c>
      <c r="P927" t="s">
        <v>75</v>
      </c>
      <c r="Q927" t="s">
        <v>31</v>
      </c>
      <c r="R927" t="s">
        <v>71</v>
      </c>
      <c r="S927" t="s">
        <v>101</v>
      </c>
      <c r="T927">
        <v>4</v>
      </c>
      <c r="U927">
        <v>910.98</v>
      </c>
      <c r="V927">
        <v>1184.8499999999999</v>
      </c>
      <c r="W927">
        <v>4</v>
      </c>
      <c r="X927" t="str">
        <f>TEXT(cleaneddata[[#This Row],[Order Date]],"mmm")</f>
        <v>Jul</v>
      </c>
      <c r="Y927">
        <f>cleaneddata[[#This Row],[Unit Price]]*cleaneddata[[#This Row],[Quantity]]*(1-cleaneddata[[#This Row],[Discount %]]/100)</f>
        <v>1639.7640000000001</v>
      </c>
      <c r="Z927">
        <f>cleaneddata[[#This Row],[sales]]-cleaneddata[[#This Row],[Cost]]</f>
        <v>454.91400000000021</v>
      </c>
    </row>
    <row r="928" spans="1:26" x14ac:dyDescent="0.3">
      <c r="A928" t="s">
        <v>2449</v>
      </c>
      <c r="B928" s="1">
        <v>45383</v>
      </c>
      <c r="C928" t="s">
        <v>2450</v>
      </c>
      <c r="D928" t="s">
        <v>2867</v>
      </c>
      <c r="E928" s="1">
        <v>45389</v>
      </c>
      <c r="F928" t="s">
        <v>29</v>
      </c>
      <c r="G928" t="s">
        <v>27</v>
      </c>
      <c r="H928" t="s">
        <v>28</v>
      </c>
      <c r="I928" t="s">
        <v>2625</v>
      </c>
      <c r="J928" t="s">
        <v>2703</v>
      </c>
      <c r="K928" t="s">
        <v>52</v>
      </c>
      <c r="L928">
        <v>36</v>
      </c>
      <c r="M928">
        <v>3</v>
      </c>
      <c r="N928">
        <v>5</v>
      </c>
      <c r="O928" t="s">
        <v>2451</v>
      </c>
      <c r="P928" t="s">
        <v>44</v>
      </c>
      <c r="Q928" t="s">
        <v>58</v>
      </c>
      <c r="R928" t="s">
        <v>43</v>
      </c>
      <c r="S928" t="s">
        <v>30</v>
      </c>
      <c r="T928">
        <v>5</v>
      </c>
      <c r="U928">
        <v>252.82</v>
      </c>
      <c r="V928">
        <v>447.42</v>
      </c>
      <c r="W928">
        <v>6</v>
      </c>
      <c r="X928" t="str">
        <f>TEXT(cleaneddata[[#This Row],[Order Date]],"mmm")</f>
        <v>Apr</v>
      </c>
      <c r="Y928">
        <f>cleaneddata[[#This Row],[Unit Price]]*cleaneddata[[#This Row],[Quantity]]*(1-cleaneddata[[#This Row],[Discount %]]/100)</f>
        <v>720.53700000000003</v>
      </c>
      <c r="Z928">
        <f>cleaneddata[[#This Row],[sales]]-cleaneddata[[#This Row],[Cost]]</f>
        <v>273.11700000000002</v>
      </c>
    </row>
    <row r="929" spans="1:26" x14ac:dyDescent="0.3">
      <c r="A929" t="s">
        <v>2452</v>
      </c>
      <c r="B929" s="1">
        <v>45671</v>
      </c>
      <c r="C929" t="s">
        <v>2453</v>
      </c>
      <c r="D929" t="s">
        <v>2866</v>
      </c>
      <c r="E929" s="1">
        <v>45677</v>
      </c>
      <c r="F929" t="s">
        <v>115</v>
      </c>
      <c r="G929" t="s">
        <v>66</v>
      </c>
      <c r="H929" t="s">
        <v>114</v>
      </c>
      <c r="I929" t="s">
        <v>2661</v>
      </c>
      <c r="J929" t="s">
        <v>2671</v>
      </c>
      <c r="K929" t="s">
        <v>25</v>
      </c>
      <c r="L929">
        <v>58</v>
      </c>
      <c r="M929">
        <v>2</v>
      </c>
      <c r="N929">
        <v>30</v>
      </c>
      <c r="O929" t="s">
        <v>2454</v>
      </c>
      <c r="P929" t="s">
        <v>44</v>
      </c>
      <c r="Q929" t="s">
        <v>31</v>
      </c>
      <c r="R929" t="s">
        <v>32</v>
      </c>
      <c r="S929" t="s">
        <v>116</v>
      </c>
      <c r="T929">
        <v>2</v>
      </c>
      <c r="U929">
        <v>356.26</v>
      </c>
      <c r="V929">
        <v>308.16000000000003</v>
      </c>
      <c r="W929">
        <v>6</v>
      </c>
      <c r="X929" t="str">
        <f>TEXT(cleaneddata[[#This Row],[Order Date]],"mmm")</f>
        <v>Jan</v>
      </c>
      <c r="Y929">
        <f>cleaneddata[[#This Row],[Unit Price]]*cleaneddata[[#This Row],[Quantity]]*(1-cleaneddata[[#This Row],[Discount %]]/100)</f>
        <v>498.76399999999995</v>
      </c>
      <c r="Z929">
        <f>cleaneddata[[#This Row],[sales]]-cleaneddata[[#This Row],[Cost]]</f>
        <v>190.60399999999993</v>
      </c>
    </row>
    <row r="930" spans="1:26" x14ac:dyDescent="0.3">
      <c r="A930" t="s">
        <v>2455</v>
      </c>
      <c r="B930" s="1">
        <v>45851</v>
      </c>
      <c r="C930" t="s">
        <v>2456</v>
      </c>
      <c r="D930" t="s">
        <v>2865</v>
      </c>
      <c r="E930" s="1">
        <v>45854</v>
      </c>
      <c r="F930" t="s">
        <v>100</v>
      </c>
      <c r="G930" t="s">
        <v>98</v>
      </c>
      <c r="H930" t="s">
        <v>99</v>
      </c>
      <c r="I930" t="s">
        <v>2629</v>
      </c>
      <c r="J930" t="s">
        <v>2697</v>
      </c>
      <c r="K930" t="s">
        <v>25</v>
      </c>
      <c r="L930">
        <v>58</v>
      </c>
      <c r="M930">
        <v>3</v>
      </c>
      <c r="N930">
        <v>10</v>
      </c>
      <c r="O930" t="s">
        <v>877</v>
      </c>
      <c r="P930" t="s">
        <v>44</v>
      </c>
      <c r="Q930" t="s">
        <v>117</v>
      </c>
      <c r="R930" t="s">
        <v>43</v>
      </c>
      <c r="S930" t="s">
        <v>101</v>
      </c>
      <c r="T930">
        <v>1</v>
      </c>
      <c r="U930">
        <v>418.12</v>
      </c>
      <c r="V930">
        <v>685.76</v>
      </c>
      <c r="W930">
        <v>3</v>
      </c>
      <c r="X930" t="str">
        <f>TEXT(cleaneddata[[#This Row],[Order Date]],"mmm")</f>
        <v>Jul</v>
      </c>
      <c r="Y930">
        <f>cleaneddata[[#This Row],[Unit Price]]*cleaneddata[[#This Row],[Quantity]]*(1-cleaneddata[[#This Row],[Discount %]]/100)</f>
        <v>1128.9240000000002</v>
      </c>
      <c r="Z930">
        <f>cleaneddata[[#This Row],[sales]]-cleaneddata[[#This Row],[Cost]]</f>
        <v>443.16400000000021</v>
      </c>
    </row>
    <row r="931" spans="1:26" x14ac:dyDescent="0.3">
      <c r="A931" t="s">
        <v>2457</v>
      </c>
      <c r="B931" s="1">
        <v>45689</v>
      </c>
      <c r="C931" t="s">
        <v>2458</v>
      </c>
      <c r="D931" t="s">
        <v>2864</v>
      </c>
      <c r="E931" s="1">
        <v>45696</v>
      </c>
      <c r="F931" t="s">
        <v>122</v>
      </c>
      <c r="G931" t="s">
        <v>120</v>
      </c>
      <c r="H931" t="s">
        <v>121</v>
      </c>
      <c r="I931" t="s">
        <v>2672</v>
      </c>
      <c r="J931" t="s">
        <v>2690</v>
      </c>
      <c r="K931" t="s">
        <v>25</v>
      </c>
      <c r="L931">
        <v>32</v>
      </c>
      <c r="M931">
        <v>2</v>
      </c>
      <c r="N931">
        <v>0</v>
      </c>
      <c r="O931" t="s">
        <v>1271</v>
      </c>
      <c r="P931" t="s">
        <v>75</v>
      </c>
      <c r="Q931" t="s">
        <v>58</v>
      </c>
      <c r="R931" t="s">
        <v>71</v>
      </c>
      <c r="S931" t="s">
        <v>123</v>
      </c>
      <c r="T931">
        <v>3</v>
      </c>
      <c r="U931">
        <v>554.15</v>
      </c>
      <c r="V931">
        <v>813.15</v>
      </c>
      <c r="W931">
        <v>7</v>
      </c>
      <c r="X931" t="str">
        <f>TEXT(cleaneddata[[#This Row],[Order Date]],"mmm")</f>
        <v>Feb</v>
      </c>
      <c r="Y931">
        <f>cleaneddata[[#This Row],[Unit Price]]*cleaneddata[[#This Row],[Quantity]]*(1-cleaneddata[[#This Row],[Discount %]]/100)</f>
        <v>1108.3</v>
      </c>
      <c r="Z931">
        <f>cleaneddata[[#This Row],[sales]]-cleaneddata[[#This Row],[Cost]]</f>
        <v>295.14999999999998</v>
      </c>
    </row>
    <row r="932" spans="1:26" x14ac:dyDescent="0.3">
      <c r="A932" t="s">
        <v>2459</v>
      </c>
      <c r="B932" s="1">
        <v>45427</v>
      </c>
      <c r="C932" t="s">
        <v>2460</v>
      </c>
      <c r="D932" t="s">
        <v>2863</v>
      </c>
      <c r="E932" s="1">
        <v>45431</v>
      </c>
      <c r="F932" t="s">
        <v>115</v>
      </c>
      <c r="G932" t="s">
        <v>66</v>
      </c>
      <c r="H932" t="s">
        <v>114</v>
      </c>
      <c r="I932" t="s">
        <v>2623</v>
      </c>
      <c r="J932" t="s">
        <v>2624</v>
      </c>
      <c r="K932" t="s">
        <v>52</v>
      </c>
      <c r="L932">
        <v>39</v>
      </c>
      <c r="M932">
        <v>3</v>
      </c>
      <c r="N932">
        <v>25</v>
      </c>
      <c r="O932" t="s">
        <v>506</v>
      </c>
      <c r="P932" t="s">
        <v>75</v>
      </c>
      <c r="Q932" t="s">
        <v>70</v>
      </c>
      <c r="R932" t="s">
        <v>62</v>
      </c>
      <c r="S932" t="s">
        <v>116</v>
      </c>
      <c r="T932">
        <v>1</v>
      </c>
      <c r="U932">
        <v>680.97</v>
      </c>
      <c r="V932">
        <v>1178.71</v>
      </c>
      <c r="W932">
        <v>4</v>
      </c>
      <c r="X932" t="str">
        <f>TEXT(cleaneddata[[#This Row],[Order Date]],"mmm")</f>
        <v>May</v>
      </c>
      <c r="Y932">
        <f>cleaneddata[[#This Row],[Unit Price]]*cleaneddata[[#This Row],[Quantity]]*(1-cleaneddata[[#This Row],[Discount %]]/100)</f>
        <v>1532.1825000000001</v>
      </c>
      <c r="Z932">
        <f>cleaneddata[[#This Row],[sales]]-cleaneddata[[#This Row],[Cost]]</f>
        <v>353.47250000000008</v>
      </c>
    </row>
    <row r="933" spans="1:26" x14ac:dyDescent="0.3">
      <c r="A933" t="s">
        <v>2461</v>
      </c>
      <c r="B933" s="1">
        <v>45562</v>
      </c>
      <c r="C933" t="s">
        <v>2462</v>
      </c>
      <c r="D933" t="s">
        <v>2862</v>
      </c>
      <c r="E933" s="1">
        <v>45566</v>
      </c>
      <c r="F933" t="s">
        <v>100</v>
      </c>
      <c r="G933" t="s">
        <v>98</v>
      </c>
      <c r="H933" t="s">
        <v>99</v>
      </c>
      <c r="I933" t="s">
        <v>2679</v>
      </c>
      <c r="J933" t="s">
        <v>2685</v>
      </c>
      <c r="K933" t="s">
        <v>25</v>
      </c>
      <c r="L933">
        <v>45</v>
      </c>
      <c r="M933">
        <v>2</v>
      </c>
      <c r="N933">
        <v>15</v>
      </c>
      <c r="O933" t="s">
        <v>677</v>
      </c>
      <c r="P933" t="s">
        <v>33</v>
      </c>
      <c r="Q933" t="s">
        <v>42</v>
      </c>
      <c r="R933" t="s">
        <v>62</v>
      </c>
      <c r="S933" t="s">
        <v>101</v>
      </c>
      <c r="T933">
        <v>1</v>
      </c>
      <c r="U933">
        <v>256.25</v>
      </c>
      <c r="V933">
        <v>224.44</v>
      </c>
      <c r="W933">
        <v>4</v>
      </c>
      <c r="X933" t="str">
        <f>TEXT(cleaneddata[[#This Row],[Order Date]],"mmm")</f>
        <v>Sep</v>
      </c>
      <c r="Y933">
        <f>cleaneddata[[#This Row],[Unit Price]]*cleaneddata[[#This Row],[Quantity]]*(1-cleaneddata[[#This Row],[Discount %]]/100)</f>
        <v>435.625</v>
      </c>
      <c r="Z933">
        <f>cleaneddata[[#This Row],[sales]]-cleaneddata[[#This Row],[Cost]]</f>
        <v>211.185</v>
      </c>
    </row>
    <row r="934" spans="1:26" x14ac:dyDescent="0.3">
      <c r="A934" t="s">
        <v>2463</v>
      </c>
      <c r="B934" s="1">
        <v>45971</v>
      </c>
      <c r="C934" t="s">
        <v>2464</v>
      </c>
      <c r="D934" t="s">
        <v>2861</v>
      </c>
      <c r="E934" s="1">
        <v>45978</v>
      </c>
      <c r="F934" t="s">
        <v>29</v>
      </c>
      <c r="G934" t="s">
        <v>27</v>
      </c>
      <c r="H934" t="s">
        <v>28</v>
      </c>
      <c r="I934" t="s">
        <v>2663</v>
      </c>
      <c r="J934" t="s">
        <v>2694</v>
      </c>
      <c r="K934" t="s">
        <v>25</v>
      </c>
      <c r="L934">
        <v>44</v>
      </c>
      <c r="M934">
        <v>1</v>
      </c>
      <c r="N934">
        <v>10</v>
      </c>
      <c r="O934" t="s">
        <v>791</v>
      </c>
      <c r="P934" t="s">
        <v>33</v>
      </c>
      <c r="Q934" t="s">
        <v>70</v>
      </c>
      <c r="R934" t="s">
        <v>43</v>
      </c>
      <c r="S934" t="s">
        <v>30</v>
      </c>
      <c r="T934">
        <v>1</v>
      </c>
      <c r="U934">
        <v>340.44</v>
      </c>
      <c r="V934">
        <v>186.83</v>
      </c>
      <c r="W934">
        <v>7</v>
      </c>
      <c r="X934" t="str">
        <f>TEXT(cleaneddata[[#This Row],[Order Date]],"mmm")</f>
        <v>Nov</v>
      </c>
      <c r="Y934">
        <f>cleaneddata[[#This Row],[Unit Price]]*cleaneddata[[#This Row],[Quantity]]*(1-cleaneddata[[#This Row],[Discount %]]/100)</f>
        <v>306.39600000000002</v>
      </c>
      <c r="Z934">
        <f>cleaneddata[[#This Row],[sales]]-cleaneddata[[#This Row],[Cost]]</f>
        <v>119.566</v>
      </c>
    </row>
    <row r="935" spans="1:26" x14ac:dyDescent="0.3">
      <c r="A935" t="s">
        <v>2465</v>
      </c>
      <c r="B935" s="1">
        <v>45763</v>
      </c>
      <c r="C935" t="s">
        <v>2466</v>
      </c>
      <c r="D935" t="s">
        <v>2860</v>
      </c>
      <c r="E935" s="1">
        <v>45768</v>
      </c>
      <c r="F935" t="s">
        <v>68</v>
      </c>
      <c r="G935" t="s">
        <v>66</v>
      </c>
      <c r="H935" t="s">
        <v>67</v>
      </c>
      <c r="I935" t="s">
        <v>2625</v>
      </c>
      <c r="J935" t="s">
        <v>2703</v>
      </c>
      <c r="K935" t="s">
        <v>25</v>
      </c>
      <c r="L935">
        <v>58</v>
      </c>
      <c r="M935">
        <v>5</v>
      </c>
      <c r="N935">
        <v>0</v>
      </c>
      <c r="O935" t="s">
        <v>2467</v>
      </c>
      <c r="P935" t="s">
        <v>33</v>
      </c>
      <c r="Q935" t="s">
        <v>42</v>
      </c>
      <c r="R935" t="s">
        <v>62</v>
      </c>
      <c r="S935" t="s">
        <v>69</v>
      </c>
      <c r="T935">
        <v>2</v>
      </c>
      <c r="U935">
        <v>674.64</v>
      </c>
      <c r="V935">
        <v>1988.82</v>
      </c>
      <c r="W935">
        <v>5</v>
      </c>
      <c r="X935" t="str">
        <f>TEXT(cleaneddata[[#This Row],[Order Date]],"mmm")</f>
        <v>Apr</v>
      </c>
      <c r="Y935">
        <f>cleaneddata[[#This Row],[Unit Price]]*cleaneddata[[#This Row],[Quantity]]*(1-cleaneddata[[#This Row],[Discount %]]/100)</f>
        <v>3373.2</v>
      </c>
      <c r="Z935">
        <f>cleaneddata[[#This Row],[sales]]-cleaneddata[[#This Row],[Cost]]</f>
        <v>1384.3799999999999</v>
      </c>
    </row>
    <row r="936" spans="1:26" x14ac:dyDescent="0.3">
      <c r="A936" t="s">
        <v>2468</v>
      </c>
      <c r="B936" s="1">
        <v>45982</v>
      </c>
      <c r="C936" t="s">
        <v>2469</v>
      </c>
      <c r="D936" t="s">
        <v>2859</v>
      </c>
      <c r="E936" s="1">
        <v>45986</v>
      </c>
      <c r="F936" t="s">
        <v>40</v>
      </c>
      <c r="G936" t="s">
        <v>38</v>
      </c>
      <c r="H936" t="s">
        <v>39</v>
      </c>
      <c r="I936" t="s">
        <v>2661</v>
      </c>
      <c r="J936" t="s">
        <v>2700</v>
      </c>
      <c r="K936" t="s">
        <v>25</v>
      </c>
      <c r="L936">
        <v>50</v>
      </c>
      <c r="M936">
        <v>4</v>
      </c>
      <c r="N936">
        <v>25</v>
      </c>
      <c r="O936" t="s">
        <v>368</v>
      </c>
      <c r="P936" t="s">
        <v>44</v>
      </c>
      <c r="Q936" t="s">
        <v>31</v>
      </c>
      <c r="R936" t="s">
        <v>71</v>
      </c>
      <c r="S936" t="s">
        <v>41</v>
      </c>
      <c r="T936">
        <v>1</v>
      </c>
      <c r="U936">
        <v>637.44000000000005</v>
      </c>
      <c r="V936">
        <v>1555.32</v>
      </c>
      <c r="W936">
        <v>4</v>
      </c>
      <c r="X936" t="str">
        <f>TEXT(cleaneddata[[#This Row],[Order Date]],"mmm")</f>
        <v>Nov</v>
      </c>
      <c r="Y936">
        <f>cleaneddata[[#This Row],[Unit Price]]*cleaneddata[[#This Row],[Quantity]]*(1-cleaneddata[[#This Row],[Discount %]]/100)</f>
        <v>1912.3200000000002</v>
      </c>
      <c r="Z936">
        <f>cleaneddata[[#This Row],[sales]]-cleaneddata[[#This Row],[Cost]]</f>
        <v>357.00000000000023</v>
      </c>
    </row>
    <row r="937" spans="1:26" x14ac:dyDescent="0.3">
      <c r="A937" t="s">
        <v>2470</v>
      </c>
      <c r="B937" s="1">
        <v>45552</v>
      </c>
      <c r="C937" t="s">
        <v>2471</v>
      </c>
      <c r="D937" t="s">
        <v>2858</v>
      </c>
      <c r="E937" s="1">
        <v>45558</v>
      </c>
      <c r="F937" t="s">
        <v>115</v>
      </c>
      <c r="G937" t="s">
        <v>66</v>
      </c>
      <c r="H937" t="s">
        <v>114</v>
      </c>
      <c r="I937" t="s">
        <v>2654</v>
      </c>
      <c r="J937" t="s">
        <v>2655</v>
      </c>
      <c r="K937" t="s">
        <v>25</v>
      </c>
      <c r="L937">
        <v>53</v>
      </c>
      <c r="M937">
        <v>4</v>
      </c>
      <c r="N937">
        <v>5</v>
      </c>
      <c r="O937" t="s">
        <v>2472</v>
      </c>
      <c r="P937" t="s">
        <v>44</v>
      </c>
      <c r="Q937" t="s">
        <v>31</v>
      </c>
      <c r="R937" t="s">
        <v>71</v>
      </c>
      <c r="S937" t="s">
        <v>116</v>
      </c>
      <c r="T937">
        <v>3</v>
      </c>
      <c r="U937">
        <v>800.88</v>
      </c>
      <c r="V937">
        <v>1889.51</v>
      </c>
      <c r="W937">
        <v>6</v>
      </c>
      <c r="X937" t="str">
        <f>TEXT(cleaneddata[[#This Row],[Order Date]],"mmm")</f>
        <v>Sep</v>
      </c>
      <c r="Y937">
        <f>cleaneddata[[#This Row],[Unit Price]]*cleaneddata[[#This Row],[Quantity]]*(1-cleaneddata[[#This Row],[Discount %]]/100)</f>
        <v>3043.3440000000001</v>
      </c>
      <c r="Z937">
        <f>cleaneddata[[#This Row],[sales]]-cleaneddata[[#This Row],[Cost]]</f>
        <v>1153.8340000000001</v>
      </c>
    </row>
    <row r="938" spans="1:26" x14ac:dyDescent="0.3">
      <c r="A938" t="s">
        <v>2473</v>
      </c>
      <c r="B938" s="1">
        <v>45923</v>
      </c>
      <c r="C938" t="s">
        <v>2474</v>
      </c>
      <c r="D938" t="s">
        <v>2857</v>
      </c>
      <c r="E938" s="1">
        <v>45924</v>
      </c>
      <c r="F938" t="s">
        <v>115</v>
      </c>
      <c r="G938" t="s">
        <v>66</v>
      </c>
      <c r="H938" t="s">
        <v>114</v>
      </c>
      <c r="I938" t="s">
        <v>2641</v>
      </c>
      <c r="J938" t="s">
        <v>2642</v>
      </c>
      <c r="K938" t="s">
        <v>25</v>
      </c>
      <c r="L938">
        <v>24</v>
      </c>
      <c r="M938">
        <v>3</v>
      </c>
      <c r="N938">
        <v>20</v>
      </c>
      <c r="O938" t="s">
        <v>2475</v>
      </c>
      <c r="P938" t="s">
        <v>44</v>
      </c>
      <c r="Q938" t="s">
        <v>42</v>
      </c>
      <c r="R938" t="s">
        <v>43</v>
      </c>
      <c r="S938" t="s">
        <v>116</v>
      </c>
      <c r="T938">
        <v>1</v>
      </c>
      <c r="U938">
        <v>217.31</v>
      </c>
      <c r="V938">
        <v>373.2</v>
      </c>
      <c r="W938">
        <v>1</v>
      </c>
      <c r="X938" t="str">
        <f>TEXT(cleaneddata[[#This Row],[Order Date]],"mmm")</f>
        <v>Sep</v>
      </c>
      <c r="Y938">
        <f>cleaneddata[[#This Row],[Unit Price]]*cleaneddata[[#This Row],[Quantity]]*(1-cleaneddata[[#This Row],[Discount %]]/100)</f>
        <v>521.5440000000001</v>
      </c>
      <c r="Z938">
        <f>cleaneddata[[#This Row],[sales]]-cleaneddata[[#This Row],[Cost]]</f>
        <v>148.34400000000011</v>
      </c>
    </row>
    <row r="939" spans="1:26" x14ac:dyDescent="0.3">
      <c r="A939" t="s">
        <v>2476</v>
      </c>
      <c r="B939" s="1">
        <v>45296</v>
      </c>
      <c r="C939" t="s">
        <v>2477</v>
      </c>
      <c r="D939" t="s">
        <v>2856</v>
      </c>
      <c r="E939" s="1">
        <v>45300</v>
      </c>
      <c r="F939" t="s">
        <v>122</v>
      </c>
      <c r="G939" t="s">
        <v>120</v>
      </c>
      <c r="H939" t="s">
        <v>121</v>
      </c>
      <c r="I939" t="s">
        <v>2625</v>
      </c>
      <c r="J939" t="s">
        <v>2667</v>
      </c>
      <c r="K939" t="s">
        <v>52</v>
      </c>
      <c r="L939">
        <v>45</v>
      </c>
      <c r="M939">
        <v>2</v>
      </c>
      <c r="N939">
        <v>30</v>
      </c>
      <c r="O939" t="s">
        <v>677</v>
      </c>
      <c r="P939" t="s">
        <v>75</v>
      </c>
      <c r="Q939" t="s">
        <v>58</v>
      </c>
      <c r="R939" t="s">
        <v>32</v>
      </c>
      <c r="S939" t="s">
        <v>123</v>
      </c>
      <c r="T939">
        <v>5</v>
      </c>
      <c r="U939">
        <v>242.03</v>
      </c>
      <c r="V939">
        <v>213.33</v>
      </c>
      <c r="W939">
        <v>4</v>
      </c>
      <c r="X939" t="str">
        <f>TEXT(cleaneddata[[#This Row],[Order Date]],"mmm")</f>
        <v>Jan</v>
      </c>
      <c r="Y939">
        <f>cleaneddata[[#This Row],[Unit Price]]*cleaneddata[[#This Row],[Quantity]]*(1-cleaneddata[[#This Row],[Discount %]]/100)</f>
        <v>338.84199999999998</v>
      </c>
      <c r="Z939">
        <f>cleaneddata[[#This Row],[sales]]-cleaneddata[[#This Row],[Cost]]</f>
        <v>125.51199999999997</v>
      </c>
    </row>
    <row r="940" spans="1:26" x14ac:dyDescent="0.3">
      <c r="A940" t="s">
        <v>2478</v>
      </c>
      <c r="B940" s="1">
        <v>45933</v>
      </c>
      <c r="C940" t="s">
        <v>2479</v>
      </c>
      <c r="D940" t="s">
        <v>2855</v>
      </c>
      <c r="E940" s="1">
        <v>45939</v>
      </c>
      <c r="F940" t="s">
        <v>140</v>
      </c>
      <c r="G940" t="s">
        <v>38</v>
      </c>
      <c r="H940" t="s">
        <v>139</v>
      </c>
      <c r="I940" t="s">
        <v>2631</v>
      </c>
      <c r="J940" t="s">
        <v>2694</v>
      </c>
      <c r="K940" t="s">
        <v>52</v>
      </c>
      <c r="L940">
        <v>38</v>
      </c>
      <c r="M940">
        <v>5</v>
      </c>
      <c r="N940">
        <v>10</v>
      </c>
      <c r="O940" t="s">
        <v>2480</v>
      </c>
      <c r="P940" t="s">
        <v>44</v>
      </c>
      <c r="Q940" t="s">
        <v>31</v>
      </c>
      <c r="R940" t="s">
        <v>71</v>
      </c>
      <c r="S940" t="s">
        <v>141</v>
      </c>
      <c r="T940">
        <v>4</v>
      </c>
      <c r="U940">
        <v>335.53</v>
      </c>
      <c r="V940">
        <v>1155.73</v>
      </c>
      <c r="W940">
        <v>6</v>
      </c>
      <c r="X940" t="str">
        <f>TEXT(cleaneddata[[#This Row],[Order Date]],"mmm")</f>
        <v>Oct</v>
      </c>
      <c r="Y940">
        <f>cleaneddata[[#This Row],[Unit Price]]*cleaneddata[[#This Row],[Quantity]]*(1-cleaneddata[[#This Row],[Discount %]]/100)</f>
        <v>1509.885</v>
      </c>
      <c r="Z940">
        <f>cleaneddata[[#This Row],[sales]]-cleaneddata[[#This Row],[Cost]]</f>
        <v>354.15499999999997</v>
      </c>
    </row>
    <row r="941" spans="1:26" x14ac:dyDescent="0.3">
      <c r="A941" t="s">
        <v>2481</v>
      </c>
      <c r="B941" s="1">
        <v>45733</v>
      </c>
      <c r="C941" t="s">
        <v>2482</v>
      </c>
      <c r="D941" t="s">
        <v>2854</v>
      </c>
      <c r="E941" s="1">
        <v>45740</v>
      </c>
      <c r="F941" t="s">
        <v>40</v>
      </c>
      <c r="G941" t="s">
        <v>38</v>
      </c>
      <c r="H941" t="s">
        <v>39</v>
      </c>
      <c r="I941" t="s">
        <v>2633</v>
      </c>
      <c r="J941" t="s">
        <v>2695</v>
      </c>
      <c r="K941" t="s">
        <v>25</v>
      </c>
      <c r="L941">
        <v>40</v>
      </c>
      <c r="M941">
        <v>5</v>
      </c>
      <c r="N941">
        <v>5</v>
      </c>
      <c r="O941" t="s">
        <v>975</v>
      </c>
      <c r="P941" t="s">
        <v>33</v>
      </c>
      <c r="Q941" t="s">
        <v>70</v>
      </c>
      <c r="R941" t="s">
        <v>32</v>
      </c>
      <c r="S941" t="s">
        <v>41</v>
      </c>
      <c r="T941">
        <v>1</v>
      </c>
      <c r="U941">
        <v>713.22</v>
      </c>
      <c r="V941">
        <v>1970.88</v>
      </c>
      <c r="W941">
        <v>7</v>
      </c>
      <c r="X941" t="str">
        <f>TEXT(cleaneddata[[#This Row],[Order Date]],"mmm")</f>
        <v>Mar</v>
      </c>
      <c r="Y941">
        <f>cleaneddata[[#This Row],[Unit Price]]*cleaneddata[[#This Row],[Quantity]]*(1-cleaneddata[[#This Row],[Discount %]]/100)</f>
        <v>3387.7950000000001</v>
      </c>
      <c r="Z941">
        <f>cleaneddata[[#This Row],[sales]]-cleaneddata[[#This Row],[Cost]]</f>
        <v>1416.915</v>
      </c>
    </row>
    <row r="942" spans="1:26" x14ac:dyDescent="0.3">
      <c r="A942" t="s">
        <v>2483</v>
      </c>
      <c r="B942" s="1">
        <v>45495</v>
      </c>
      <c r="C942" t="s">
        <v>2484</v>
      </c>
      <c r="D942" t="s">
        <v>2853</v>
      </c>
      <c r="E942" s="1">
        <v>45501</v>
      </c>
      <c r="F942" t="s">
        <v>29</v>
      </c>
      <c r="G942" t="s">
        <v>27</v>
      </c>
      <c r="H942" t="s">
        <v>28</v>
      </c>
      <c r="I942" t="s">
        <v>2639</v>
      </c>
      <c r="J942" t="s">
        <v>2687</v>
      </c>
      <c r="K942" t="s">
        <v>52</v>
      </c>
      <c r="L942">
        <v>31</v>
      </c>
      <c r="M942">
        <v>4</v>
      </c>
      <c r="N942">
        <v>0</v>
      </c>
      <c r="O942" t="s">
        <v>2485</v>
      </c>
      <c r="P942" t="s">
        <v>33</v>
      </c>
      <c r="Q942" t="s">
        <v>58</v>
      </c>
      <c r="R942" t="s">
        <v>32</v>
      </c>
      <c r="S942" t="s">
        <v>30</v>
      </c>
      <c r="T942">
        <v>3</v>
      </c>
      <c r="U942">
        <v>146.41999999999999</v>
      </c>
      <c r="V942">
        <v>357.52</v>
      </c>
      <c r="W942">
        <v>6</v>
      </c>
      <c r="X942" t="str">
        <f>TEXT(cleaneddata[[#This Row],[Order Date]],"mmm")</f>
        <v>Jul</v>
      </c>
      <c r="Y942">
        <f>cleaneddata[[#This Row],[Unit Price]]*cleaneddata[[#This Row],[Quantity]]*(1-cleaneddata[[#This Row],[Discount %]]/100)</f>
        <v>585.67999999999995</v>
      </c>
      <c r="Z942">
        <f>cleaneddata[[#This Row],[sales]]-cleaneddata[[#This Row],[Cost]]</f>
        <v>228.15999999999997</v>
      </c>
    </row>
    <row r="943" spans="1:26" x14ac:dyDescent="0.3">
      <c r="A943" t="s">
        <v>2486</v>
      </c>
      <c r="B943" s="1">
        <v>45569</v>
      </c>
      <c r="C943" t="s">
        <v>2487</v>
      </c>
      <c r="D943" t="s">
        <v>2852</v>
      </c>
      <c r="E943" s="1">
        <v>45571</v>
      </c>
      <c r="F943" t="s">
        <v>122</v>
      </c>
      <c r="G943" t="s">
        <v>120</v>
      </c>
      <c r="H943" t="s">
        <v>121</v>
      </c>
      <c r="I943" t="s">
        <v>2654</v>
      </c>
      <c r="J943" t="s">
        <v>2684</v>
      </c>
      <c r="K943" t="s">
        <v>52</v>
      </c>
      <c r="L943">
        <v>61</v>
      </c>
      <c r="M943">
        <v>4</v>
      </c>
      <c r="N943">
        <v>5</v>
      </c>
      <c r="O943" t="s">
        <v>1560</v>
      </c>
      <c r="P943" t="s">
        <v>33</v>
      </c>
      <c r="Q943" t="s">
        <v>117</v>
      </c>
      <c r="R943" t="s">
        <v>32</v>
      </c>
      <c r="S943" t="s">
        <v>123</v>
      </c>
      <c r="T943">
        <v>5</v>
      </c>
      <c r="U943">
        <v>215.84</v>
      </c>
      <c r="V943">
        <v>513.41</v>
      </c>
      <c r="W943">
        <v>2</v>
      </c>
      <c r="X943" t="str">
        <f>TEXT(cleaneddata[[#This Row],[Order Date]],"mmm")</f>
        <v>Oct</v>
      </c>
      <c r="Y943">
        <f>cleaneddata[[#This Row],[Unit Price]]*cleaneddata[[#This Row],[Quantity]]*(1-cleaneddata[[#This Row],[Discount %]]/100)</f>
        <v>820.19200000000001</v>
      </c>
      <c r="Z943">
        <f>cleaneddata[[#This Row],[sales]]-cleaneddata[[#This Row],[Cost]]</f>
        <v>306.78200000000004</v>
      </c>
    </row>
    <row r="944" spans="1:26" x14ac:dyDescent="0.3">
      <c r="A944" t="s">
        <v>2488</v>
      </c>
      <c r="B944" s="1">
        <v>45514</v>
      </c>
      <c r="C944" t="s">
        <v>2489</v>
      </c>
      <c r="D944" t="s">
        <v>2851</v>
      </c>
      <c r="E944" s="1">
        <v>45518</v>
      </c>
      <c r="F944" t="s">
        <v>68</v>
      </c>
      <c r="G944" t="s">
        <v>66</v>
      </c>
      <c r="H944" t="s">
        <v>67</v>
      </c>
      <c r="I944" t="s">
        <v>2625</v>
      </c>
      <c r="J944" t="s">
        <v>2651</v>
      </c>
      <c r="K944" t="s">
        <v>25</v>
      </c>
      <c r="L944">
        <v>48</v>
      </c>
      <c r="M944">
        <v>4</v>
      </c>
      <c r="N944">
        <v>10</v>
      </c>
      <c r="O944" t="s">
        <v>1253</v>
      </c>
      <c r="P944" t="s">
        <v>44</v>
      </c>
      <c r="Q944" t="s">
        <v>58</v>
      </c>
      <c r="R944" t="s">
        <v>62</v>
      </c>
      <c r="S944" t="s">
        <v>69</v>
      </c>
      <c r="T944">
        <v>4</v>
      </c>
      <c r="U944">
        <v>516.5</v>
      </c>
      <c r="V944">
        <v>1313.65</v>
      </c>
      <c r="W944">
        <v>4</v>
      </c>
      <c r="X944" t="str">
        <f>TEXT(cleaneddata[[#This Row],[Order Date]],"mmm")</f>
        <v>Aug</v>
      </c>
      <c r="Y944">
        <f>cleaneddata[[#This Row],[Unit Price]]*cleaneddata[[#This Row],[Quantity]]*(1-cleaneddata[[#This Row],[Discount %]]/100)</f>
        <v>1859.4</v>
      </c>
      <c r="Z944">
        <f>cleaneddata[[#This Row],[sales]]-cleaneddata[[#This Row],[Cost]]</f>
        <v>545.75</v>
      </c>
    </row>
    <row r="945" spans="1:26" x14ac:dyDescent="0.3">
      <c r="A945" t="s">
        <v>2490</v>
      </c>
      <c r="B945" s="1">
        <v>45538</v>
      </c>
      <c r="C945" t="s">
        <v>2491</v>
      </c>
      <c r="D945" t="s">
        <v>2850</v>
      </c>
      <c r="E945" s="1">
        <v>45542</v>
      </c>
      <c r="F945" t="s">
        <v>140</v>
      </c>
      <c r="G945" t="s">
        <v>38</v>
      </c>
      <c r="H945" t="s">
        <v>139</v>
      </c>
      <c r="I945" t="s">
        <v>2623</v>
      </c>
      <c r="J945" t="s">
        <v>2691</v>
      </c>
      <c r="K945" t="s">
        <v>25</v>
      </c>
      <c r="L945">
        <v>30</v>
      </c>
      <c r="M945">
        <v>5</v>
      </c>
      <c r="N945">
        <v>30</v>
      </c>
      <c r="O945" t="s">
        <v>87</v>
      </c>
      <c r="P945" t="s">
        <v>44</v>
      </c>
      <c r="Q945" t="s">
        <v>31</v>
      </c>
      <c r="R945" t="s">
        <v>32</v>
      </c>
      <c r="S945" t="s">
        <v>141</v>
      </c>
      <c r="T945">
        <v>1</v>
      </c>
      <c r="U945">
        <v>790.89</v>
      </c>
      <c r="V945">
        <v>1990.33</v>
      </c>
      <c r="W945">
        <v>4</v>
      </c>
      <c r="X945" t="str">
        <f>TEXT(cleaneddata[[#This Row],[Order Date]],"mmm")</f>
        <v>Sep</v>
      </c>
      <c r="Y945">
        <f>cleaneddata[[#This Row],[Unit Price]]*cleaneddata[[#This Row],[Quantity]]*(1-cleaneddata[[#This Row],[Discount %]]/100)</f>
        <v>2768.1149999999998</v>
      </c>
      <c r="Z945">
        <f>cleaneddata[[#This Row],[sales]]-cleaneddata[[#This Row],[Cost]]</f>
        <v>777.78499999999985</v>
      </c>
    </row>
    <row r="946" spans="1:26" x14ac:dyDescent="0.3">
      <c r="A946" t="s">
        <v>2492</v>
      </c>
      <c r="B946" s="1">
        <v>45856</v>
      </c>
      <c r="C946" t="s">
        <v>2493</v>
      </c>
      <c r="D946" t="s">
        <v>2849</v>
      </c>
      <c r="E946" s="1">
        <v>45863</v>
      </c>
      <c r="F946" t="s">
        <v>40</v>
      </c>
      <c r="G946" t="s">
        <v>38</v>
      </c>
      <c r="H946" t="s">
        <v>39</v>
      </c>
      <c r="I946" t="s">
        <v>2629</v>
      </c>
      <c r="J946" t="s">
        <v>2697</v>
      </c>
      <c r="K946" t="s">
        <v>52</v>
      </c>
      <c r="L946">
        <v>62</v>
      </c>
      <c r="M946">
        <v>2</v>
      </c>
      <c r="N946">
        <v>30</v>
      </c>
      <c r="O946" t="s">
        <v>2494</v>
      </c>
      <c r="P946" t="s">
        <v>75</v>
      </c>
      <c r="Q946" t="s">
        <v>58</v>
      </c>
      <c r="R946" t="s">
        <v>43</v>
      </c>
      <c r="S946" t="s">
        <v>41</v>
      </c>
      <c r="T946">
        <v>5</v>
      </c>
      <c r="U946">
        <v>676.04</v>
      </c>
      <c r="V946">
        <v>590.66</v>
      </c>
      <c r="W946">
        <v>7</v>
      </c>
      <c r="X946" t="str">
        <f>TEXT(cleaneddata[[#This Row],[Order Date]],"mmm")</f>
        <v>Jul</v>
      </c>
      <c r="Y946">
        <f>cleaneddata[[#This Row],[Unit Price]]*cleaneddata[[#This Row],[Quantity]]*(1-cleaneddata[[#This Row],[Discount %]]/100)</f>
        <v>946.4559999999999</v>
      </c>
      <c r="Z946">
        <f>cleaneddata[[#This Row],[sales]]-cleaneddata[[#This Row],[Cost]]</f>
        <v>355.79599999999994</v>
      </c>
    </row>
    <row r="947" spans="1:26" x14ac:dyDescent="0.3">
      <c r="A947" t="s">
        <v>2495</v>
      </c>
      <c r="B947" s="1">
        <v>45916</v>
      </c>
      <c r="C947" t="s">
        <v>2496</v>
      </c>
      <c r="D947" t="s">
        <v>2848</v>
      </c>
      <c r="E947" s="1">
        <v>45917</v>
      </c>
      <c r="F947" t="s">
        <v>56</v>
      </c>
      <c r="G947" t="s">
        <v>54</v>
      </c>
      <c r="H947" t="s">
        <v>55</v>
      </c>
      <c r="I947" t="s">
        <v>2661</v>
      </c>
      <c r="J947" t="s">
        <v>2671</v>
      </c>
      <c r="K947" t="s">
        <v>25</v>
      </c>
      <c r="L947">
        <v>27</v>
      </c>
      <c r="M947">
        <v>2</v>
      </c>
      <c r="N947">
        <v>0</v>
      </c>
      <c r="O947" t="s">
        <v>2497</v>
      </c>
      <c r="P947" t="s">
        <v>75</v>
      </c>
      <c r="Q947" t="s">
        <v>31</v>
      </c>
      <c r="R947" t="s">
        <v>62</v>
      </c>
      <c r="S947" t="s">
        <v>57</v>
      </c>
      <c r="T947">
        <v>3</v>
      </c>
      <c r="U947">
        <v>697.42</v>
      </c>
      <c r="V947">
        <v>829.01</v>
      </c>
      <c r="W947">
        <v>1</v>
      </c>
      <c r="X947" t="str">
        <f>TEXT(cleaneddata[[#This Row],[Order Date]],"mmm")</f>
        <v>Sep</v>
      </c>
      <c r="Y947">
        <f>cleaneddata[[#This Row],[Unit Price]]*cleaneddata[[#This Row],[Quantity]]*(1-cleaneddata[[#This Row],[Discount %]]/100)</f>
        <v>1394.84</v>
      </c>
      <c r="Z947">
        <f>cleaneddata[[#This Row],[sales]]-cleaneddata[[#This Row],[Cost]]</f>
        <v>565.82999999999993</v>
      </c>
    </row>
    <row r="948" spans="1:26" x14ac:dyDescent="0.3">
      <c r="A948" t="s">
        <v>2498</v>
      </c>
      <c r="B948" s="1">
        <v>45794</v>
      </c>
      <c r="C948" t="s">
        <v>2499</v>
      </c>
      <c r="D948" t="s">
        <v>2847</v>
      </c>
      <c r="E948" s="1">
        <v>45801</v>
      </c>
      <c r="F948" t="s">
        <v>122</v>
      </c>
      <c r="G948" t="s">
        <v>120</v>
      </c>
      <c r="H948" t="s">
        <v>121</v>
      </c>
      <c r="I948" t="s">
        <v>2637</v>
      </c>
      <c r="J948" t="s">
        <v>99</v>
      </c>
      <c r="K948" t="s">
        <v>25</v>
      </c>
      <c r="L948">
        <v>59</v>
      </c>
      <c r="M948">
        <v>1</v>
      </c>
      <c r="N948">
        <v>10</v>
      </c>
      <c r="O948" t="s">
        <v>1933</v>
      </c>
      <c r="P948" t="s">
        <v>33</v>
      </c>
      <c r="Q948" t="s">
        <v>42</v>
      </c>
      <c r="R948" t="s">
        <v>43</v>
      </c>
      <c r="S948" t="s">
        <v>123</v>
      </c>
      <c r="T948">
        <v>3</v>
      </c>
      <c r="U948">
        <v>745.67</v>
      </c>
      <c r="V948">
        <v>442.38</v>
      </c>
      <c r="W948">
        <v>7</v>
      </c>
      <c r="X948" t="str">
        <f>TEXT(cleaneddata[[#This Row],[Order Date]],"mmm")</f>
        <v>May</v>
      </c>
      <c r="Y948">
        <f>cleaneddata[[#This Row],[Unit Price]]*cleaneddata[[#This Row],[Quantity]]*(1-cleaneddata[[#This Row],[Discount %]]/100)</f>
        <v>671.10299999999995</v>
      </c>
      <c r="Z948">
        <f>cleaneddata[[#This Row],[sales]]-cleaneddata[[#This Row],[Cost]]</f>
        <v>228.72299999999996</v>
      </c>
    </row>
    <row r="949" spans="1:26" x14ac:dyDescent="0.3">
      <c r="A949" t="s">
        <v>2500</v>
      </c>
      <c r="B949" s="1">
        <v>45889</v>
      </c>
      <c r="C949" t="s">
        <v>2501</v>
      </c>
      <c r="D949" t="s">
        <v>2846</v>
      </c>
      <c r="E949" s="1">
        <v>45896</v>
      </c>
      <c r="F949" t="s">
        <v>100</v>
      </c>
      <c r="G949" t="s">
        <v>98</v>
      </c>
      <c r="H949" t="s">
        <v>99</v>
      </c>
      <c r="I949" t="s">
        <v>2668</v>
      </c>
      <c r="J949" t="s">
        <v>2669</v>
      </c>
      <c r="K949" t="s">
        <v>25</v>
      </c>
      <c r="L949">
        <v>46</v>
      </c>
      <c r="M949">
        <v>4</v>
      </c>
      <c r="N949">
        <v>20</v>
      </c>
      <c r="O949" t="s">
        <v>2502</v>
      </c>
      <c r="P949" t="s">
        <v>75</v>
      </c>
      <c r="Q949" t="s">
        <v>70</v>
      </c>
      <c r="R949" t="s">
        <v>62</v>
      </c>
      <c r="S949" t="s">
        <v>101</v>
      </c>
      <c r="T949">
        <v>1</v>
      </c>
      <c r="U949">
        <v>265.48</v>
      </c>
      <c r="V949">
        <v>429.89</v>
      </c>
      <c r="W949">
        <v>7</v>
      </c>
      <c r="X949" t="str">
        <f>TEXT(cleaneddata[[#This Row],[Order Date]],"mmm")</f>
        <v>Aug</v>
      </c>
      <c r="Y949">
        <f>cleaneddata[[#This Row],[Unit Price]]*cleaneddata[[#This Row],[Quantity]]*(1-cleaneddata[[#This Row],[Discount %]]/100)</f>
        <v>849.53600000000006</v>
      </c>
      <c r="Z949">
        <f>cleaneddata[[#This Row],[sales]]-cleaneddata[[#This Row],[Cost]]</f>
        <v>419.64600000000007</v>
      </c>
    </row>
    <row r="950" spans="1:26" x14ac:dyDescent="0.3">
      <c r="A950" t="s">
        <v>2503</v>
      </c>
      <c r="B950" s="1">
        <v>45595</v>
      </c>
      <c r="C950" t="s">
        <v>2504</v>
      </c>
      <c r="D950" t="s">
        <v>2845</v>
      </c>
      <c r="E950" s="1">
        <v>45597</v>
      </c>
      <c r="F950" t="s">
        <v>115</v>
      </c>
      <c r="G950" t="s">
        <v>66</v>
      </c>
      <c r="H950" t="s">
        <v>114</v>
      </c>
      <c r="I950" t="s">
        <v>2665</v>
      </c>
      <c r="J950" t="s">
        <v>2666</v>
      </c>
      <c r="K950" t="s">
        <v>25</v>
      </c>
      <c r="L950">
        <v>26</v>
      </c>
      <c r="M950">
        <v>1</v>
      </c>
      <c r="N950">
        <v>10</v>
      </c>
      <c r="O950" t="s">
        <v>78</v>
      </c>
      <c r="P950" t="s">
        <v>33</v>
      </c>
      <c r="Q950" t="s">
        <v>70</v>
      </c>
      <c r="R950" t="s">
        <v>43</v>
      </c>
      <c r="S950" t="s">
        <v>116</v>
      </c>
      <c r="T950">
        <v>5</v>
      </c>
      <c r="U950">
        <v>559.69000000000005</v>
      </c>
      <c r="V950">
        <v>279.51</v>
      </c>
      <c r="W950">
        <v>2</v>
      </c>
      <c r="X950" t="str">
        <f>TEXT(cleaneddata[[#This Row],[Order Date]],"mmm")</f>
        <v>Oct</v>
      </c>
      <c r="Y950">
        <f>cleaneddata[[#This Row],[Unit Price]]*cleaneddata[[#This Row],[Quantity]]*(1-cleaneddata[[#This Row],[Discount %]]/100)</f>
        <v>503.72100000000006</v>
      </c>
      <c r="Z950">
        <f>cleaneddata[[#This Row],[sales]]-cleaneddata[[#This Row],[Cost]]</f>
        <v>224.21100000000007</v>
      </c>
    </row>
    <row r="951" spans="1:26" x14ac:dyDescent="0.3">
      <c r="A951" t="s">
        <v>2505</v>
      </c>
      <c r="B951" s="1">
        <v>45871</v>
      </c>
      <c r="C951" t="s">
        <v>2506</v>
      </c>
      <c r="D951" t="s">
        <v>2844</v>
      </c>
      <c r="E951" s="1">
        <v>45873</v>
      </c>
      <c r="F951" t="s">
        <v>29</v>
      </c>
      <c r="G951" t="s">
        <v>27</v>
      </c>
      <c r="H951" t="s">
        <v>28</v>
      </c>
      <c r="I951" t="s">
        <v>2623</v>
      </c>
      <c r="J951" t="s">
        <v>2624</v>
      </c>
      <c r="K951" t="s">
        <v>25</v>
      </c>
      <c r="L951">
        <v>35</v>
      </c>
      <c r="M951">
        <v>1</v>
      </c>
      <c r="N951">
        <v>10</v>
      </c>
      <c r="O951" t="s">
        <v>2507</v>
      </c>
      <c r="P951" t="s">
        <v>44</v>
      </c>
      <c r="Q951" t="s">
        <v>70</v>
      </c>
      <c r="R951" t="s">
        <v>43</v>
      </c>
      <c r="S951" t="s">
        <v>30</v>
      </c>
      <c r="T951">
        <v>4</v>
      </c>
      <c r="U951">
        <v>260.85000000000002</v>
      </c>
      <c r="V951">
        <v>184.68</v>
      </c>
      <c r="W951">
        <v>2</v>
      </c>
      <c r="X951" t="str">
        <f>TEXT(cleaneddata[[#This Row],[Order Date]],"mmm")</f>
        <v>Aug</v>
      </c>
      <c r="Y951">
        <f>cleaneddata[[#This Row],[Unit Price]]*cleaneddata[[#This Row],[Quantity]]*(1-cleaneddata[[#This Row],[Discount %]]/100)</f>
        <v>234.76500000000001</v>
      </c>
      <c r="Z951">
        <f>cleaneddata[[#This Row],[sales]]-cleaneddata[[#This Row],[Cost]]</f>
        <v>50.085000000000008</v>
      </c>
    </row>
    <row r="952" spans="1:26" x14ac:dyDescent="0.3">
      <c r="A952" t="s">
        <v>2508</v>
      </c>
      <c r="B952" s="1">
        <v>45764</v>
      </c>
      <c r="C952" t="s">
        <v>2509</v>
      </c>
      <c r="D952" t="s">
        <v>2843</v>
      </c>
      <c r="E952" s="1">
        <v>45770</v>
      </c>
      <c r="F952" t="s">
        <v>29</v>
      </c>
      <c r="G952" t="s">
        <v>27</v>
      </c>
      <c r="H952" t="s">
        <v>28</v>
      </c>
      <c r="I952" t="s">
        <v>2631</v>
      </c>
      <c r="J952" t="s">
        <v>2711</v>
      </c>
      <c r="K952" t="s">
        <v>52</v>
      </c>
      <c r="L952">
        <v>33</v>
      </c>
      <c r="M952">
        <v>5</v>
      </c>
      <c r="N952">
        <v>5</v>
      </c>
      <c r="O952" t="s">
        <v>1728</v>
      </c>
      <c r="P952" t="s">
        <v>44</v>
      </c>
      <c r="Q952" t="s">
        <v>42</v>
      </c>
      <c r="R952" t="s">
        <v>43</v>
      </c>
      <c r="S952" t="s">
        <v>30</v>
      </c>
      <c r="T952">
        <v>5</v>
      </c>
      <c r="U952">
        <v>471.62</v>
      </c>
      <c r="V952">
        <v>1499.6</v>
      </c>
      <c r="W952">
        <v>6</v>
      </c>
      <c r="X952" t="str">
        <f>TEXT(cleaneddata[[#This Row],[Order Date]],"mmm")</f>
        <v>Apr</v>
      </c>
      <c r="Y952">
        <f>cleaneddata[[#This Row],[Unit Price]]*cleaneddata[[#This Row],[Quantity]]*(1-cleaneddata[[#This Row],[Discount %]]/100)</f>
        <v>2240.1949999999997</v>
      </c>
      <c r="Z952">
        <f>cleaneddata[[#This Row],[sales]]-cleaneddata[[#This Row],[Cost]]</f>
        <v>740.5949999999998</v>
      </c>
    </row>
    <row r="953" spans="1:26" x14ac:dyDescent="0.3">
      <c r="A953" t="s">
        <v>2510</v>
      </c>
      <c r="B953" s="1">
        <v>45865</v>
      </c>
      <c r="C953" t="s">
        <v>2511</v>
      </c>
      <c r="D953" t="s">
        <v>2842</v>
      </c>
      <c r="E953" s="1">
        <v>45871</v>
      </c>
      <c r="F953" t="s">
        <v>100</v>
      </c>
      <c r="G953" t="s">
        <v>98</v>
      </c>
      <c r="H953" t="s">
        <v>99</v>
      </c>
      <c r="I953" t="s">
        <v>2665</v>
      </c>
      <c r="J953" t="s">
        <v>2719</v>
      </c>
      <c r="K953" t="s">
        <v>25</v>
      </c>
      <c r="L953">
        <v>63</v>
      </c>
      <c r="M953">
        <v>1</v>
      </c>
      <c r="N953">
        <v>5</v>
      </c>
      <c r="O953" t="s">
        <v>2031</v>
      </c>
      <c r="P953" t="s">
        <v>75</v>
      </c>
      <c r="Q953" t="s">
        <v>70</v>
      </c>
      <c r="R953" t="s">
        <v>32</v>
      </c>
      <c r="S953" t="s">
        <v>101</v>
      </c>
      <c r="T953">
        <v>4</v>
      </c>
      <c r="U953">
        <v>910.33</v>
      </c>
      <c r="V953">
        <v>695.63</v>
      </c>
      <c r="W953">
        <v>6</v>
      </c>
      <c r="X953" t="str">
        <f>TEXT(cleaneddata[[#This Row],[Order Date]],"mmm")</f>
        <v>Jul</v>
      </c>
      <c r="Y953">
        <f>cleaneddata[[#This Row],[Unit Price]]*cleaneddata[[#This Row],[Quantity]]*(1-cleaneddata[[#This Row],[Discount %]]/100)</f>
        <v>864.81349999999998</v>
      </c>
      <c r="Z953">
        <f>cleaneddata[[#This Row],[sales]]-cleaneddata[[#This Row],[Cost]]</f>
        <v>169.18349999999998</v>
      </c>
    </row>
    <row r="954" spans="1:26" x14ac:dyDescent="0.3">
      <c r="A954" t="s">
        <v>2512</v>
      </c>
      <c r="B954" s="1">
        <v>45982</v>
      </c>
      <c r="C954" t="s">
        <v>2513</v>
      </c>
      <c r="D954" t="s">
        <v>2841</v>
      </c>
      <c r="E954" s="1">
        <v>45989</v>
      </c>
      <c r="F954" t="s">
        <v>100</v>
      </c>
      <c r="G954" t="s">
        <v>98</v>
      </c>
      <c r="H954" t="s">
        <v>99</v>
      </c>
      <c r="I954" t="s">
        <v>2633</v>
      </c>
      <c r="J954" t="s">
        <v>2695</v>
      </c>
      <c r="K954" t="s">
        <v>52</v>
      </c>
      <c r="L954">
        <v>18</v>
      </c>
      <c r="M954">
        <v>1</v>
      </c>
      <c r="N954">
        <v>10</v>
      </c>
      <c r="O954" t="s">
        <v>2303</v>
      </c>
      <c r="P954" t="s">
        <v>75</v>
      </c>
      <c r="Q954" t="s">
        <v>58</v>
      </c>
      <c r="R954" t="s">
        <v>43</v>
      </c>
      <c r="S954" t="s">
        <v>101</v>
      </c>
      <c r="T954">
        <v>3</v>
      </c>
      <c r="U954">
        <v>270.11</v>
      </c>
      <c r="V954">
        <v>196.63</v>
      </c>
      <c r="W954">
        <v>7</v>
      </c>
      <c r="X954" t="str">
        <f>TEXT(cleaneddata[[#This Row],[Order Date]],"mmm")</f>
        <v>Nov</v>
      </c>
      <c r="Y954">
        <f>cleaneddata[[#This Row],[Unit Price]]*cleaneddata[[#This Row],[Quantity]]*(1-cleaneddata[[#This Row],[Discount %]]/100)</f>
        <v>243.09900000000002</v>
      </c>
      <c r="Z954">
        <f>cleaneddata[[#This Row],[sales]]-cleaneddata[[#This Row],[Cost]]</f>
        <v>46.469000000000023</v>
      </c>
    </row>
    <row r="955" spans="1:26" x14ac:dyDescent="0.3">
      <c r="A955" t="s">
        <v>2514</v>
      </c>
      <c r="B955" s="1">
        <v>46142</v>
      </c>
      <c r="C955" t="s">
        <v>1890</v>
      </c>
      <c r="D955" t="s">
        <v>2840</v>
      </c>
      <c r="E955" s="1">
        <v>46148</v>
      </c>
      <c r="F955" t="s">
        <v>100</v>
      </c>
      <c r="G955" t="s">
        <v>98</v>
      </c>
      <c r="H955" t="s">
        <v>99</v>
      </c>
      <c r="I955" t="s">
        <v>2623</v>
      </c>
      <c r="J955" t="s">
        <v>2691</v>
      </c>
      <c r="K955" t="s">
        <v>52</v>
      </c>
      <c r="L955">
        <v>62</v>
      </c>
      <c r="M955">
        <v>1</v>
      </c>
      <c r="N955">
        <v>30</v>
      </c>
      <c r="O955" t="s">
        <v>2515</v>
      </c>
      <c r="P955" t="s">
        <v>75</v>
      </c>
      <c r="Q955" t="s">
        <v>70</v>
      </c>
      <c r="R955" t="s">
        <v>71</v>
      </c>
      <c r="S955" t="s">
        <v>101</v>
      </c>
      <c r="T955">
        <v>4</v>
      </c>
      <c r="U955">
        <v>104.66</v>
      </c>
      <c r="V955">
        <v>44.09</v>
      </c>
      <c r="W955">
        <v>6</v>
      </c>
      <c r="X955" t="str">
        <f>TEXT(cleaneddata[[#This Row],[Order Date]],"mmm")</f>
        <v>Apr</v>
      </c>
      <c r="Y955">
        <f>cleaneddata[[#This Row],[Unit Price]]*cleaneddata[[#This Row],[Quantity]]*(1-cleaneddata[[#This Row],[Discount %]]/100)</f>
        <v>73.261999999999986</v>
      </c>
      <c r="Z955">
        <f>cleaneddata[[#This Row],[sales]]-cleaneddata[[#This Row],[Cost]]</f>
        <v>29.171999999999983</v>
      </c>
    </row>
    <row r="956" spans="1:26" x14ac:dyDescent="0.3">
      <c r="A956" t="s">
        <v>2516</v>
      </c>
      <c r="B956" s="1">
        <v>45500</v>
      </c>
      <c r="C956" t="s">
        <v>2517</v>
      </c>
      <c r="D956" t="s">
        <v>2839</v>
      </c>
      <c r="E956" s="1">
        <v>45507</v>
      </c>
      <c r="F956" t="s">
        <v>115</v>
      </c>
      <c r="G956" t="s">
        <v>66</v>
      </c>
      <c r="H956" t="s">
        <v>114</v>
      </c>
      <c r="I956" t="s">
        <v>2623</v>
      </c>
      <c r="J956" t="s">
        <v>2701</v>
      </c>
      <c r="K956" t="s">
        <v>25</v>
      </c>
      <c r="L956">
        <v>39</v>
      </c>
      <c r="M956">
        <v>2</v>
      </c>
      <c r="N956">
        <v>5</v>
      </c>
      <c r="O956" t="s">
        <v>37</v>
      </c>
      <c r="P956" t="s">
        <v>75</v>
      </c>
      <c r="Q956" t="s">
        <v>70</v>
      </c>
      <c r="R956" t="s">
        <v>32</v>
      </c>
      <c r="S956" t="s">
        <v>116</v>
      </c>
      <c r="T956">
        <v>3</v>
      </c>
      <c r="U956">
        <v>685.15</v>
      </c>
      <c r="V956">
        <v>788.52</v>
      </c>
      <c r="W956">
        <v>7</v>
      </c>
      <c r="X956" t="str">
        <f>TEXT(cleaneddata[[#This Row],[Order Date]],"mmm")</f>
        <v>Jul</v>
      </c>
      <c r="Y956">
        <f>cleaneddata[[#This Row],[Unit Price]]*cleaneddata[[#This Row],[Quantity]]*(1-cleaneddata[[#This Row],[Discount %]]/100)</f>
        <v>1301.7849999999999</v>
      </c>
      <c r="Z956">
        <f>cleaneddata[[#This Row],[sales]]-cleaneddata[[#This Row],[Cost]]</f>
        <v>513.26499999999987</v>
      </c>
    </row>
    <row r="957" spans="1:26" x14ac:dyDescent="0.3">
      <c r="A957" t="s">
        <v>2518</v>
      </c>
      <c r="B957" s="1">
        <v>45785</v>
      </c>
      <c r="C957" t="s">
        <v>2519</v>
      </c>
      <c r="D957" t="s">
        <v>2838</v>
      </c>
      <c r="E957" s="1">
        <v>45787</v>
      </c>
      <c r="F957" t="s">
        <v>122</v>
      </c>
      <c r="G957" t="s">
        <v>120</v>
      </c>
      <c r="H957" t="s">
        <v>121</v>
      </c>
      <c r="I957" t="s">
        <v>2631</v>
      </c>
      <c r="J957" t="s">
        <v>2694</v>
      </c>
      <c r="K957" t="s">
        <v>25</v>
      </c>
      <c r="L957">
        <v>38</v>
      </c>
      <c r="M957">
        <v>4</v>
      </c>
      <c r="N957">
        <v>30</v>
      </c>
      <c r="O957" t="s">
        <v>2520</v>
      </c>
      <c r="P957" t="s">
        <v>33</v>
      </c>
      <c r="Q957" t="s">
        <v>31</v>
      </c>
      <c r="R957" t="s">
        <v>62</v>
      </c>
      <c r="S957" t="s">
        <v>123</v>
      </c>
      <c r="T957">
        <v>1</v>
      </c>
      <c r="U957">
        <v>659.52</v>
      </c>
      <c r="V957">
        <v>1091.3399999999999</v>
      </c>
      <c r="W957">
        <v>2</v>
      </c>
      <c r="X957" t="str">
        <f>TEXT(cleaneddata[[#This Row],[Order Date]],"mmm")</f>
        <v>May</v>
      </c>
      <c r="Y957">
        <f>cleaneddata[[#This Row],[Unit Price]]*cleaneddata[[#This Row],[Quantity]]*(1-cleaneddata[[#This Row],[Discount %]]/100)</f>
        <v>1846.6559999999997</v>
      </c>
      <c r="Z957">
        <f>cleaneddata[[#This Row],[sales]]-cleaneddata[[#This Row],[Cost]]</f>
        <v>755.3159999999998</v>
      </c>
    </row>
    <row r="958" spans="1:26" x14ac:dyDescent="0.3">
      <c r="A958" t="s">
        <v>2521</v>
      </c>
      <c r="B958" s="1">
        <v>45697</v>
      </c>
      <c r="C958" t="s">
        <v>2522</v>
      </c>
      <c r="D958" t="s">
        <v>2837</v>
      </c>
      <c r="E958" s="1">
        <v>45702</v>
      </c>
      <c r="F958" t="s">
        <v>29</v>
      </c>
      <c r="G958" t="s">
        <v>27</v>
      </c>
      <c r="H958" t="s">
        <v>28</v>
      </c>
      <c r="I958" t="s">
        <v>2663</v>
      </c>
      <c r="J958" t="s">
        <v>2670</v>
      </c>
      <c r="K958" t="s">
        <v>25</v>
      </c>
      <c r="L958">
        <v>52</v>
      </c>
      <c r="M958">
        <v>4</v>
      </c>
      <c r="N958">
        <v>25</v>
      </c>
      <c r="O958" t="s">
        <v>953</v>
      </c>
      <c r="P958" t="s">
        <v>44</v>
      </c>
      <c r="Q958" t="s">
        <v>70</v>
      </c>
      <c r="R958" t="s">
        <v>71</v>
      </c>
      <c r="S958" t="s">
        <v>30</v>
      </c>
      <c r="T958">
        <v>3</v>
      </c>
      <c r="U958">
        <v>984.14</v>
      </c>
      <c r="V958">
        <v>2382.88</v>
      </c>
      <c r="W958">
        <v>5</v>
      </c>
      <c r="X958" t="str">
        <f>TEXT(cleaneddata[[#This Row],[Order Date]],"mmm")</f>
        <v>Feb</v>
      </c>
      <c r="Y958">
        <f>cleaneddata[[#This Row],[Unit Price]]*cleaneddata[[#This Row],[Quantity]]*(1-cleaneddata[[#This Row],[Discount %]]/100)</f>
        <v>2952.42</v>
      </c>
      <c r="Z958">
        <f>cleaneddata[[#This Row],[sales]]-cleaneddata[[#This Row],[Cost]]</f>
        <v>569.54</v>
      </c>
    </row>
    <row r="959" spans="1:26" x14ac:dyDescent="0.3">
      <c r="A959" t="s">
        <v>2523</v>
      </c>
      <c r="B959" s="1">
        <v>45642</v>
      </c>
      <c r="C959" t="s">
        <v>2524</v>
      </c>
      <c r="D959" t="s">
        <v>2836</v>
      </c>
      <c r="E959" s="1">
        <v>45645</v>
      </c>
      <c r="F959" t="s">
        <v>56</v>
      </c>
      <c r="G959" t="s">
        <v>54</v>
      </c>
      <c r="H959" t="s">
        <v>55</v>
      </c>
      <c r="I959" t="s">
        <v>2641</v>
      </c>
      <c r="J959" t="s">
        <v>2713</v>
      </c>
      <c r="K959" t="s">
        <v>25</v>
      </c>
      <c r="L959">
        <v>36</v>
      </c>
      <c r="M959">
        <v>5</v>
      </c>
      <c r="N959">
        <v>20</v>
      </c>
      <c r="O959" t="s">
        <v>1952</v>
      </c>
      <c r="P959" t="s">
        <v>33</v>
      </c>
      <c r="Q959" t="s">
        <v>70</v>
      </c>
      <c r="R959" t="s">
        <v>62</v>
      </c>
      <c r="S959" t="s">
        <v>57</v>
      </c>
      <c r="T959">
        <v>5</v>
      </c>
      <c r="U959">
        <v>234.99</v>
      </c>
      <c r="V959">
        <v>600.51</v>
      </c>
      <c r="W959">
        <v>3</v>
      </c>
      <c r="X959" t="str">
        <f>TEXT(cleaneddata[[#This Row],[Order Date]],"mmm")</f>
        <v>Dec</v>
      </c>
      <c r="Y959">
        <f>cleaneddata[[#This Row],[Unit Price]]*cleaneddata[[#This Row],[Quantity]]*(1-cleaneddata[[#This Row],[Discount %]]/100)</f>
        <v>939.96</v>
      </c>
      <c r="Z959">
        <f>cleaneddata[[#This Row],[sales]]-cleaneddata[[#This Row],[Cost]]</f>
        <v>339.45000000000005</v>
      </c>
    </row>
    <row r="960" spans="1:26" x14ac:dyDescent="0.3">
      <c r="A960" t="s">
        <v>2525</v>
      </c>
      <c r="B960" s="1">
        <v>45771</v>
      </c>
      <c r="C960" t="s">
        <v>2526</v>
      </c>
      <c r="D960" t="s">
        <v>2835</v>
      </c>
      <c r="E960" s="1">
        <v>45773</v>
      </c>
      <c r="F960" t="s">
        <v>122</v>
      </c>
      <c r="G960" t="s">
        <v>120</v>
      </c>
      <c r="H960" t="s">
        <v>121</v>
      </c>
      <c r="I960" t="s">
        <v>2629</v>
      </c>
      <c r="J960" t="s">
        <v>2689</v>
      </c>
      <c r="K960" t="s">
        <v>52</v>
      </c>
      <c r="L960">
        <v>47</v>
      </c>
      <c r="M960">
        <v>3</v>
      </c>
      <c r="N960">
        <v>25</v>
      </c>
      <c r="O960" t="s">
        <v>2527</v>
      </c>
      <c r="P960" t="s">
        <v>33</v>
      </c>
      <c r="Q960" t="s">
        <v>42</v>
      </c>
      <c r="R960" t="s">
        <v>71</v>
      </c>
      <c r="S960" t="s">
        <v>123</v>
      </c>
      <c r="T960">
        <v>1</v>
      </c>
      <c r="U960">
        <v>416.91</v>
      </c>
      <c r="V960">
        <v>512.08000000000004</v>
      </c>
      <c r="W960">
        <v>2</v>
      </c>
      <c r="X960" t="str">
        <f>TEXT(cleaneddata[[#This Row],[Order Date]],"mmm")</f>
        <v>Apr</v>
      </c>
      <c r="Y960">
        <f>cleaneddata[[#This Row],[Unit Price]]*cleaneddata[[#This Row],[Quantity]]*(1-cleaneddata[[#This Row],[Discount %]]/100)</f>
        <v>938.04750000000001</v>
      </c>
      <c r="Z960">
        <f>cleaneddata[[#This Row],[sales]]-cleaneddata[[#This Row],[Cost]]</f>
        <v>425.96749999999997</v>
      </c>
    </row>
    <row r="961" spans="1:26" x14ac:dyDescent="0.3">
      <c r="A961" t="s">
        <v>2528</v>
      </c>
      <c r="B961" s="1">
        <v>46188</v>
      </c>
      <c r="C961" t="s">
        <v>2529</v>
      </c>
      <c r="D961" t="s">
        <v>2834</v>
      </c>
      <c r="E961" s="1">
        <v>46194</v>
      </c>
      <c r="F961" t="s">
        <v>122</v>
      </c>
      <c r="G961" t="s">
        <v>120</v>
      </c>
      <c r="H961" t="s">
        <v>121</v>
      </c>
      <c r="I961" t="s">
        <v>2641</v>
      </c>
      <c r="J961" t="s">
        <v>2642</v>
      </c>
      <c r="K961" t="s">
        <v>25</v>
      </c>
      <c r="L961">
        <v>57</v>
      </c>
      <c r="M961">
        <v>2</v>
      </c>
      <c r="N961">
        <v>25</v>
      </c>
      <c r="O961" t="s">
        <v>1560</v>
      </c>
      <c r="P961" t="s">
        <v>75</v>
      </c>
      <c r="Q961" t="s">
        <v>58</v>
      </c>
      <c r="R961" t="s">
        <v>43</v>
      </c>
      <c r="S961" t="s">
        <v>123</v>
      </c>
      <c r="T961">
        <v>5</v>
      </c>
      <c r="U961">
        <v>275.22000000000003</v>
      </c>
      <c r="V961">
        <v>210.18</v>
      </c>
      <c r="W961">
        <v>6</v>
      </c>
      <c r="X961" t="str">
        <f>TEXT(cleaneddata[[#This Row],[Order Date]],"mmm")</f>
        <v>Jun</v>
      </c>
      <c r="Y961">
        <f>cleaneddata[[#This Row],[Unit Price]]*cleaneddata[[#This Row],[Quantity]]*(1-cleaneddata[[#This Row],[Discount %]]/100)</f>
        <v>412.83000000000004</v>
      </c>
      <c r="Z961">
        <f>cleaneddata[[#This Row],[sales]]-cleaneddata[[#This Row],[Cost]]</f>
        <v>202.65000000000003</v>
      </c>
    </row>
    <row r="962" spans="1:26" x14ac:dyDescent="0.3">
      <c r="A962" t="s">
        <v>2530</v>
      </c>
      <c r="B962" s="1">
        <v>45364</v>
      </c>
      <c r="C962" t="s">
        <v>2531</v>
      </c>
      <c r="D962" t="s">
        <v>2833</v>
      </c>
      <c r="E962" s="1">
        <v>45368</v>
      </c>
      <c r="F962" t="s">
        <v>56</v>
      </c>
      <c r="G962" t="s">
        <v>54</v>
      </c>
      <c r="H962" t="s">
        <v>55</v>
      </c>
      <c r="I962" t="s">
        <v>2625</v>
      </c>
      <c r="J962" t="s">
        <v>2651</v>
      </c>
      <c r="K962" t="s">
        <v>25</v>
      </c>
      <c r="L962">
        <v>27</v>
      </c>
      <c r="M962">
        <v>1</v>
      </c>
      <c r="N962">
        <v>20</v>
      </c>
      <c r="O962" t="s">
        <v>2532</v>
      </c>
      <c r="P962" t="s">
        <v>75</v>
      </c>
      <c r="Q962" t="s">
        <v>70</v>
      </c>
      <c r="R962" t="s">
        <v>62</v>
      </c>
      <c r="S962" t="s">
        <v>57</v>
      </c>
      <c r="T962">
        <v>4</v>
      </c>
      <c r="U962">
        <v>504.6</v>
      </c>
      <c r="V962">
        <v>290.61</v>
      </c>
      <c r="W962">
        <v>4</v>
      </c>
      <c r="X962" t="str">
        <f>TEXT(cleaneddata[[#This Row],[Order Date]],"mmm")</f>
        <v>Mar</v>
      </c>
      <c r="Y962">
        <f>cleaneddata[[#This Row],[Unit Price]]*cleaneddata[[#This Row],[Quantity]]*(1-cleaneddata[[#This Row],[Discount %]]/100)</f>
        <v>403.68000000000006</v>
      </c>
      <c r="Z962">
        <f>cleaneddata[[#This Row],[sales]]-cleaneddata[[#This Row],[Cost]]</f>
        <v>113.07000000000005</v>
      </c>
    </row>
    <row r="963" spans="1:26" x14ac:dyDescent="0.3">
      <c r="A963" t="s">
        <v>2533</v>
      </c>
      <c r="B963" s="1">
        <v>46112</v>
      </c>
      <c r="C963" t="s">
        <v>2534</v>
      </c>
      <c r="D963" t="s">
        <v>2832</v>
      </c>
      <c r="E963" s="1">
        <v>46114</v>
      </c>
      <c r="F963" t="s">
        <v>100</v>
      </c>
      <c r="G963" t="s">
        <v>98</v>
      </c>
      <c r="H963" t="s">
        <v>99</v>
      </c>
      <c r="I963" t="s">
        <v>2665</v>
      </c>
      <c r="J963" t="s">
        <v>2693</v>
      </c>
      <c r="K963" t="s">
        <v>25</v>
      </c>
      <c r="L963">
        <v>64</v>
      </c>
      <c r="M963">
        <v>5</v>
      </c>
      <c r="N963">
        <v>15</v>
      </c>
      <c r="O963" t="s">
        <v>978</v>
      </c>
      <c r="P963" t="s">
        <v>33</v>
      </c>
      <c r="Q963" t="s">
        <v>117</v>
      </c>
      <c r="R963" t="s">
        <v>62</v>
      </c>
      <c r="S963" t="s">
        <v>101</v>
      </c>
      <c r="T963">
        <v>5</v>
      </c>
      <c r="U963">
        <v>55.13</v>
      </c>
      <c r="V963">
        <v>183.29</v>
      </c>
      <c r="W963">
        <v>2</v>
      </c>
      <c r="X963" t="str">
        <f>TEXT(cleaneddata[[#This Row],[Order Date]],"mmm")</f>
        <v>Mar</v>
      </c>
      <c r="Y963">
        <f>cleaneddata[[#This Row],[Unit Price]]*cleaneddata[[#This Row],[Quantity]]*(1-cleaneddata[[#This Row],[Discount %]]/100)</f>
        <v>234.30250000000001</v>
      </c>
      <c r="Z963">
        <f>cleaneddata[[#This Row],[sales]]-cleaneddata[[#This Row],[Cost]]</f>
        <v>51.012500000000017</v>
      </c>
    </row>
    <row r="964" spans="1:26" x14ac:dyDescent="0.3">
      <c r="A964" t="s">
        <v>2535</v>
      </c>
      <c r="B964" s="1">
        <v>45959</v>
      </c>
      <c r="C964" t="s">
        <v>2536</v>
      </c>
      <c r="D964" t="s">
        <v>2831</v>
      </c>
      <c r="E964" s="1">
        <v>45966</v>
      </c>
      <c r="F964" t="s">
        <v>140</v>
      </c>
      <c r="G964" t="s">
        <v>38</v>
      </c>
      <c r="H964" t="s">
        <v>139</v>
      </c>
      <c r="I964" t="s">
        <v>2665</v>
      </c>
      <c r="J964" t="s">
        <v>2666</v>
      </c>
      <c r="K964" t="s">
        <v>52</v>
      </c>
      <c r="L964">
        <v>32</v>
      </c>
      <c r="M964">
        <v>2</v>
      </c>
      <c r="N964">
        <v>30</v>
      </c>
      <c r="O964" t="s">
        <v>2537</v>
      </c>
      <c r="P964" t="s">
        <v>33</v>
      </c>
      <c r="Q964" t="s">
        <v>70</v>
      </c>
      <c r="R964" t="s">
        <v>71</v>
      </c>
      <c r="S964" t="s">
        <v>141</v>
      </c>
      <c r="T964">
        <v>4</v>
      </c>
      <c r="U964">
        <v>620.28</v>
      </c>
      <c r="V964">
        <v>449.52</v>
      </c>
      <c r="W964">
        <v>7</v>
      </c>
      <c r="X964" t="str">
        <f>TEXT(cleaneddata[[#This Row],[Order Date]],"mmm")</f>
        <v>Oct</v>
      </c>
      <c r="Y964">
        <f>cleaneddata[[#This Row],[Unit Price]]*cleaneddata[[#This Row],[Quantity]]*(1-cleaneddata[[#This Row],[Discount %]]/100)</f>
        <v>868.39199999999994</v>
      </c>
      <c r="Z964">
        <f>cleaneddata[[#This Row],[sales]]-cleaneddata[[#This Row],[Cost]]</f>
        <v>418.87199999999996</v>
      </c>
    </row>
    <row r="965" spans="1:26" x14ac:dyDescent="0.3">
      <c r="A965" t="s">
        <v>2538</v>
      </c>
      <c r="B965" s="1">
        <v>45845</v>
      </c>
      <c r="C965" t="s">
        <v>2539</v>
      </c>
      <c r="D965" t="s">
        <v>2830</v>
      </c>
      <c r="E965" s="1">
        <v>45846</v>
      </c>
      <c r="F965" t="s">
        <v>122</v>
      </c>
      <c r="G965" t="s">
        <v>120</v>
      </c>
      <c r="H965" t="s">
        <v>121</v>
      </c>
      <c r="I965" t="s">
        <v>2631</v>
      </c>
      <c r="J965" t="s">
        <v>2711</v>
      </c>
      <c r="K965" t="s">
        <v>52</v>
      </c>
      <c r="L965">
        <v>39</v>
      </c>
      <c r="M965">
        <v>4</v>
      </c>
      <c r="N965">
        <v>30</v>
      </c>
      <c r="O965" t="s">
        <v>2540</v>
      </c>
      <c r="P965" t="s">
        <v>75</v>
      </c>
      <c r="Q965" t="s">
        <v>58</v>
      </c>
      <c r="R965" t="s">
        <v>62</v>
      </c>
      <c r="S965" t="s">
        <v>123</v>
      </c>
      <c r="T965">
        <v>3</v>
      </c>
      <c r="U965">
        <v>602.02</v>
      </c>
      <c r="V965">
        <v>1280.58</v>
      </c>
      <c r="W965">
        <v>1</v>
      </c>
      <c r="X965" t="str">
        <f>TEXT(cleaneddata[[#This Row],[Order Date]],"mmm")</f>
        <v>Jul</v>
      </c>
      <c r="Y965">
        <f>cleaneddata[[#This Row],[Unit Price]]*cleaneddata[[#This Row],[Quantity]]*(1-cleaneddata[[#This Row],[Discount %]]/100)</f>
        <v>1685.6559999999999</v>
      </c>
      <c r="Z965">
        <f>cleaneddata[[#This Row],[sales]]-cleaneddata[[#This Row],[Cost]]</f>
        <v>405.07600000000002</v>
      </c>
    </row>
    <row r="966" spans="1:26" x14ac:dyDescent="0.3">
      <c r="A966" t="s">
        <v>2541</v>
      </c>
      <c r="B966" s="1">
        <v>46115</v>
      </c>
      <c r="C966" t="s">
        <v>2542</v>
      </c>
      <c r="D966" t="s">
        <v>2829</v>
      </c>
      <c r="E966" s="1">
        <v>46121</v>
      </c>
      <c r="F966" t="s">
        <v>140</v>
      </c>
      <c r="G966" t="s">
        <v>38</v>
      </c>
      <c r="H966" t="s">
        <v>139</v>
      </c>
      <c r="I966" t="s">
        <v>2675</v>
      </c>
      <c r="J966" t="s">
        <v>2676</v>
      </c>
      <c r="K966" t="s">
        <v>52</v>
      </c>
      <c r="L966">
        <v>44</v>
      </c>
      <c r="M966">
        <v>3</v>
      </c>
      <c r="N966">
        <v>15</v>
      </c>
      <c r="O966" t="s">
        <v>1114</v>
      </c>
      <c r="P966" t="s">
        <v>44</v>
      </c>
      <c r="Q966" t="s">
        <v>42</v>
      </c>
      <c r="R966" t="s">
        <v>62</v>
      </c>
      <c r="S966" t="s">
        <v>141</v>
      </c>
      <c r="T966">
        <v>4</v>
      </c>
      <c r="U966">
        <v>919.07</v>
      </c>
      <c r="V966">
        <v>1806.77</v>
      </c>
      <c r="W966">
        <v>6</v>
      </c>
      <c r="X966" t="str">
        <f>TEXT(cleaneddata[[#This Row],[Order Date]],"mmm")</f>
        <v>Apr</v>
      </c>
      <c r="Y966">
        <f>cleaneddata[[#This Row],[Unit Price]]*cleaneddata[[#This Row],[Quantity]]*(1-cleaneddata[[#This Row],[Discount %]]/100)</f>
        <v>2343.6284999999998</v>
      </c>
      <c r="Z966">
        <f>cleaneddata[[#This Row],[sales]]-cleaneddata[[#This Row],[Cost]]</f>
        <v>536.85849999999982</v>
      </c>
    </row>
    <row r="967" spans="1:26" x14ac:dyDescent="0.3">
      <c r="A967" t="s">
        <v>2543</v>
      </c>
      <c r="B967" s="1">
        <v>45649</v>
      </c>
      <c r="C967" t="s">
        <v>2544</v>
      </c>
      <c r="D967" t="s">
        <v>2828</v>
      </c>
      <c r="E967" s="1">
        <v>45656</v>
      </c>
      <c r="F967" t="s">
        <v>56</v>
      </c>
      <c r="G967" t="s">
        <v>54</v>
      </c>
      <c r="H967" t="s">
        <v>55</v>
      </c>
      <c r="I967" t="s">
        <v>2622</v>
      </c>
      <c r="J967" t="s">
        <v>2704</v>
      </c>
      <c r="K967" t="s">
        <v>25</v>
      </c>
      <c r="L967">
        <v>63</v>
      </c>
      <c r="M967">
        <v>1</v>
      </c>
      <c r="N967">
        <v>0</v>
      </c>
      <c r="O967" t="s">
        <v>2545</v>
      </c>
      <c r="P967" t="s">
        <v>44</v>
      </c>
      <c r="Q967" t="s">
        <v>42</v>
      </c>
      <c r="R967" t="s">
        <v>71</v>
      </c>
      <c r="S967" t="s">
        <v>57</v>
      </c>
      <c r="T967">
        <v>3</v>
      </c>
      <c r="U967">
        <v>109.08</v>
      </c>
      <c r="V967">
        <v>78.849999999999994</v>
      </c>
      <c r="W967">
        <v>7</v>
      </c>
      <c r="X967" t="str">
        <f>TEXT(cleaneddata[[#This Row],[Order Date]],"mmm")</f>
        <v>Dec</v>
      </c>
      <c r="Y967">
        <f>cleaneddata[[#This Row],[Unit Price]]*cleaneddata[[#This Row],[Quantity]]*(1-cleaneddata[[#This Row],[Discount %]]/100)</f>
        <v>109.08</v>
      </c>
      <c r="Z967">
        <f>cleaneddata[[#This Row],[sales]]-cleaneddata[[#This Row],[Cost]]</f>
        <v>30.230000000000004</v>
      </c>
    </row>
    <row r="968" spans="1:26" x14ac:dyDescent="0.3">
      <c r="A968" t="s">
        <v>2546</v>
      </c>
      <c r="B968" s="1">
        <v>45595</v>
      </c>
      <c r="C968" t="s">
        <v>2547</v>
      </c>
      <c r="D968" t="s">
        <v>2827</v>
      </c>
      <c r="E968" s="1">
        <v>45599</v>
      </c>
      <c r="F968" t="s">
        <v>122</v>
      </c>
      <c r="G968" t="s">
        <v>120</v>
      </c>
      <c r="H968" t="s">
        <v>121</v>
      </c>
      <c r="I968" t="s">
        <v>2661</v>
      </c>
      <c r="J968" t="s">
        <v>2671</v>
      </c>
      <c r="K968" t="s">
        <v>52</v>
      </c>
      <c r="L968">
        <v>58</v>
      </c>
      <c r="M968">
        <v>3</v>
      </c>
      <c r="N968">
        <v>10</v>
      </c>
      <c r="O968" t="s">
        <v>1857</v>
      </c>
      <c r="P968" t="s">
        <v>44</v>
      </c>
      <c r="Q968" t="s">
        <v>58</v>
      </c>
      <c r="R968" t="s">
        <v>62</v>
      </c>
      <c r="S968" t="s">
        <v>123</v>
      </c>
      <c r="T968">
        <v>1</v>
      </c>
      <c r="U968">
        <v>378.02</v>
      </c>
      <c r="V968">
        <v>695.47</v>
      </c>
      <c r="W968">
        <v>4</v>
      </c>
      <c r="X968" t="str">
        <f>TEXT(cleaneddata[[#This Row],[Order Date]],"mmm")</f>
        <v>Oct</v>
      </c>
      <c r="Y968">
        <f>cleaneddata[[#This Row],[Unit Price]]*cleaneddata[[#This Row],[Quantity]]*(1-cleaneddata[[#This Row],[Discount %]]/100)</f>
        <v>1020.654</v>
      </c>
      <c r="Z968">
        <f>cleaneddata[[#This Row],[sales]]-cleaneddata[[#This Row],[Cost]]</f>
        <v>325.18399999999997</v>
      </c>
    </row>
    <row r="969" spans="1:26" x14ac:dyDescent="0.3">
      <c r="A969" t="s">
        <v>2548</v>
      </c>
      <c r="B969" s="1">
        <v>45383</v>
      </c>
      <c r="C969" t="s">
        <v>2549</v>
      </c>
      <c r="D969" t="s">
        <v>2826</v>
      </c>
      <c r="E969" s="1">
        <v>45388</v>
      </c>
      <c r="F969" t="s">
        <v>128</v>
      </c>
      <c r="G969" t="s">
        <v>98</v>
      </c>
      <c r="H969" t="s">
        <v>127</v>
      </c>
      <c r="I969" t="s">
        <v>2629</v>
      </c>
      <c r="J969" t="s">
        <v>2630</v>
      </c>
      <c r="K969" t="s">
        <v>25</v>
      </c>
      <c r="L969">
        <v>31</v>
      </c>
      <c r="M969">
        <v>2</v>
      </c>
      <c r="N969">
        <v>20</v>
      </c>
      <c r="O969" t="s">
        <v>183</v>
      </c>
      <c r="P969" t="s">
        <v>33</v>
      </c>
      <c r="Q969" t="s">
        <v>58</v>
      </c>
      <c r="R969" t="s">
        <v>32</v>
      </c>
      <c r="S969" t="s">
        <v>129</v>
      </c>
      <c r="T969">
        <v>4</v>
      </c>
      <c r="U969">
        <v>483.93</v>
      </c>
      <c r="V969">
        <v>419.99</v>
      </c>
      <c r="W969">
        <v>5</v>
      </c>
      <c r="X969" t="str">
        <f>TEXT(cleaneddata[[#This Row],[Order Date]],"mmm")</f>
        <v>Apr</v>
      </c>
      <c r="Y969">
        <f>cleaneddata[[#This Row],[Unit Price]]*cleaneddata[[#This Row],[Quantity]]*(1-cleaneddata[[#This Row],[Discount %]]/100)</f>
        <v>774.28800000000001</v>
      </c>
      <c r="Z969">
        <f>cleaneddata[[#This Row],[sales]]-cleaneddata[[#This Row],[Cost]]</f>
        <v>354.298</v>
      </c>
    </row>
    <row r="970" spans="1:26" x14ac:dyDescent="0.3">
      <c r="A970" t="s">
        <v>2550</v>
      </c>
      <c r="B970" s="1">
        <v>45772</v>
      </c>
      <c r="C970" t="s">
        <v>2551</v>
      </c>
      <c r="D970" t="s">
        <v>2825</v>
      </c>
      <c r="E970" s="1">
        <v>45775</v>
      </c>
      <c r="F970" t="s">
        <v>56</v>
      </c>
      <c r="G970" t="s">
        <v>54</v>
      </c>
      <c r="H970" t="s">
        <v>55</v>
      </c>
      <c r="I970" t="s">
        <v>2622</v>
      </c>
      <c r="J970" t="s">
        <v>2686</v>
      </c>
      <c r="K970" t="s">
        <v>25</v>
      </c>
      <c r="L970">
        <v>47</v>
      </c>
      <c r="M970">
        <v>2</v>
      </c>
      <c r="N970">
        <v>0</v>
      </c>
      <c r="O970" t="s">
        <v>211</v>
      </c>
      <c r="P970" t="s">
        <v>44</v>
      </c>
      <c r="Q970" t="s">
        <v>58</v>
      </c>
      <c r="R970" t="s">
        <v>62</v>
      </c>
      <c r="S970" t="s">
        <v>57</v>
      </c>
      <c r="T970">
        <v>2</v>
      </c>
      <c r="U970">
        <v>798.82</v>
      </c>
      <c r="V970">
        <v>944.73</v>
      </c>
      <c r="W970">
        <v>3</v>
      </c>
      <c r="X970" t="str">
        <f>TEXT(cleaneddata[[#This Row],[Order Date]],"mmm")</f>
        <v>Apr</v>
      </c>
      <c r="Y970">
        <f>cleaneddata[[#This Row],[Unit Price]]*cleaneddata[[#This Row],[Quantity]]*(1-cleaneddata[[#This Row],[Discount %]]/100)</f>
        <v>1597.64</v>
      </c>
      <c r="Z970">
        <f>cleaneddata[[#This Row],[sales]]-cleaneddata[[#This Row],[Cost]]</f>
        <v>652.91000000000008</v>
      </c>
    </row>
    <row r="971" spans="1:26" x14ac:dyDescent="0.3">
      <c r="A971" t="s">
        <v>2552</v>
      </c>
      <c r="B971" s="1">
        <v>45936</v>
      </c>
      <c r="C971" t="s">
        <v>24</v>
      </c>
      <c r="D971" t="s">
        <v>2824</v>
      </c>
      <c r="E971" s="1">
        <v>45943</v>
      </c>
      <c r="F971" t="s">
        <v>115</v>
      </c>
      <c r="G971" t="s">
        <v>66</v>
      </c>
      <c r="H971" t="s">
        <v>114</v>
      </c>
      <c r="I971" t="s">
        <v>2623</v>
      </c>
      <c r="J971" t="s">
        <v>2691</v>
      </c>
      <c r="K971" t="s">
        <v>25</v>
      </c>
      <c r="L971">
        <v>61</v>
      </c>
      <c r="M971">
        <v>5</v>
      </c>
      <c r="N971">
        <v>20</v>
      </c>
      <c r="O971" t="s">
        <v>1703</v>
      </c>
      <c r="P971" t="s">
        <v>33</v>
      </c>
      <c r="Q971" t="s">
        <v>31</v>
      </c>
      <c r="R971" t="s">
        <v>32</v>
      </c>
      <c r="S971" t="s">
        <v>116</v>
      </c>
      <c r="T971">
        <v>3</v>
      </c>
      <c r="U971">
        <v>958.58</v>
      </c>
      <c r="V971">
        <v>3229.77</v>
      </c>
      <c r="W971">
        <v>7</v>
      </c>
      <c r="X971" t="str">
        <f>TEXT(cleaneddata[[#This Row],[Order Date]],"mmm")</f>
        <v>Oct</v>
      </c>
      <c r="Y971">
        <f>cleaneddata[[#This Row],[Unit Price]]*cleaneddata[[#This Row],[Quantity]]*(1-cleaneddata[[#This Row],[Discount %]]/100)</f>
        <v>3834.3200000000006</v>
      </c>
      <c r="Z971">
        <f>cleaneddata[[#This Row],[sales]]-cleaneddata[[#This Row],[Cost]]</f>
        <v>604.55000000000064</v>
      </c>
    </row>
    <row r="972" spans="1:26" x14ac:dyDescent="0.3">
      <c r="A972" t="s">
        <v>2553</v>
      </c>
      <c r="B972" s="1">
        <v>45956</v>
      </c>
      <c r="C972" t="s">
        <v>2554</v>
      </c>
      <c r="D972" t="s">
        <v>2823</v>
      </c>
      <c r="E972" s="1">
        <v>45959</v>
      </c>
      <c r="F972" t="s">
        <v>122</v>
      </c>
      <c r="G972" t="s">
        <v>120</v>
      </c>
      <c r="H972" t="s">
        <v>121</v>
      </c>
      <c r="I972" t="s">
        <v>2635</v>
      </c>
      <c r="J972" t="s">
        <v>2720</v>
      </c>
      <c r="K972" t="s">
        <v>52</v>
      </c>
      <c r="L972">
        <v>63</v>
      </c>
      <c r="M972">
        <v>4</v>
      </c>
      <c r="N972">
        <v>30</v>
      </c>
      <c r="O972" t="s">
        <v>983</v>
      </c>
      <c r="P972" t="s">
        <v>33</v>
      </c>
      <c r="Q972" t="s">
        <v>58</v>
      </c>
      <c r="R972" t="s">
        <v>62</v>
      </c>
      <c r="S972" t="s">
        <v>123</v>
      </c>
      <c r="T972">
        <v>1</v>
      </c>
      <c r="U972">
        <v>529.69000000000005</v>
      </c>
      <c r="V972">
        <v>927.93</v>
      </c>
      <c r="W972">
        <v>3</v>
      </c>
      <c r="X972" t="str">
        <f>TEXT(cleaneddata[[#This Row],[Order Date]],"mmm")</f>
        <v>Oct</v>
      </c>
      <c r="Y972">
        <f>cleaneddata[[#This Row],[Unit Price]]*cleaneddata[[#This Row],[Quantity]]*(1-cleaneddata[[#This Row],[Discount %]]/100)</f>
        <v>1483.1320000000001</v>
      </c>
      <c r="Z972">
        <f>cleaneddata[[#This Row],[sales]]-cleaneddata[[#This Row],[Cost]]</f>
        <v>555.20200000000011</v>
      </c>
    </row>
    <row r="973" spans="1:26" x14ac:dyDescent="0.3">
      <c r="A973" t="s">
        <v>2555</v>
      </c>
      <c r="B973" s="1">
        <v>45853</v>
      </c>
      <c r="C973" t="s">
        <v>2556</v>
      </c>
      <c r="D973" t="s">
        <v>2725</v>
      </c>
      <c r="E973" s="1">
        <v>45855</v>
      </c>
      <c r="F973" t="s">
        <v>56</v>
      </c>
      <c r="G973" t="s">
        <v>54</v>
      </c>
      <c r="H973" t="s">
        <v>55</v>
      </c>
      <c r="I973" t="s">
        <v>2623</v>
      </c>
      <c r="J973" t="s">
        <v>2624</v>
      </c>
      <c r="K973" t="s">
        <v>25</v>
      </c>
      <c r="L973">
        <v>22</v>
      </c>
      <c r="M973">
        <v>3</v>
      </c>
      <c r="N973">
        <v>10</v>
      </c>
      <c r="O973" t="s">
        <v>207</v>
      </c>
      <c r="P973" t="s">
        <v>75</v>
      </c>
      <c r="Q973" t="s">
        <v>31</v>
      </c>
      <c r="R973" t="s">
        <v>32</v>
      </c>
      <c r="S973" t="s">
        <v>57</v>
      </c>
      <c r="T973">
        <v>1</v>
      </c>
      <c r="U973">
        <v>485.62</v>
      </c>
      <c r="V973">
        <v>1108.8800000000001</v>
      </c>
      <c r="W973">
        <v>2</v>
      </c>
      <c r="X973" t="str">
        <f>TEXT(cleaneddata[[#This Row],[Order Date]],"mmm")</f>
        <v>Jul</v>
      </c>
      <c r="Y973">
        <f>cleaneddata[[#This Row],[Unit Price]]*cleaneddata[[#This Row],[Quantity]]*(1-cleaneddata[[#This Row],[Discount %]]/100)</f>
        <v>1311.1740000000002</v>
      </c>
      <c r="Z973">
        <f>cleaneddata[[#This Row],[sales]]-cleaneddata[[#This Row],[Cost]]</f>
        <v>202.2940000000001</v>
      </c>
    </row>
    <row r="974" spans="1:26" x14ac:dyDescent="0.3">
      <c r="A974" t="s">
        <v>2557</v>
      </c>
      <c r="B974" s="1">
        <v>45308</v>
      </c>
      <c r="C974" t="s">
        <v>1914</v>
      </c>
      <c r="D974" t="s">
        <v>2724</v>
      </c>
      <c r="E974" s="1">
        <v>45313</v>
      </c>
      <c r="F974" t="s">
        <v>29</v>
      </c>
      <c r="G974" t="s">
        <v>27</v>
      </c>
      <c r="H974" t="s">
        <v>28</v>
      </c>
      <c r="I974" t="s">
        <v>2668</v>
      </c>
      <c r="J974" t="s">
        <v>2708</v>
      </c>
      <c r="K974" t="s">
        <v>25</v>
      </c>
      <c r="L974">
        <v>33</v>
      </c>
      <c r="M974">
        <v>1</v>
      </c>
      <c r="N974">
        <v>25</v>
      </c>
      <c r="O974" t="s">
        <v>247</v>
      </c>
      <c r="P974" t="s">
        <v>33</v>
      </c>
      <c r="Q974" t="s">
        <v>58</v>
      </c>
      <c r="R974" t="s">
        <v>62</v>
      </c>
      <c r="S974" t="s">
        <v>30</v>
      </c>
      <c r="T974">
        <v>3</v>
      </c>
      <c r="U974">
        <v>978.57</v>
      </c>
      <c r="V974">
        <v>621.89</v>
      </c>
      <c r="W974">
        <v>5</v>
      </c>
      <c r="X974" t="str">
        <f>TEXT(cleaneddata[[#This Row],[Order Date]],"mmm")</f>
        <v>Jan</v>
      </c>
      <c r="Y974">
        <f>cleaneddata[[#This Row],[Unit Price]]*cleaneddata[[#This Row],[Quantity]]*(1-cleaneddata[[#This Row],[Discount %]]/100)</f>
        <v>733.92750000000001</v>
      </c>
      <c r="Z974">
        <f>cleaneddata[[#This Row],[sales]]-cleaneddata[[#This Row],[Cost]]</f>
        <v>112.03750000000002</v>
      </c>
    </row>
    <row r="975" spans="1:26" x14ac:dyDescent="0.3">
      <c r="A975" t="s">
        <v>2558</v>
      </c>
      <c r="B975" s="1">
        <v>45356</v>
      </c>
      <c r="C975" t="s">
        <v>2559</v>
      </c>
      <c r="D975" t="s">
        <v>2723</v>
      </c>
      <c r="E975" s="1">
        <v>45358</v>
      </c>
      <c r="F975" t="s">
        <v>29</v>
      </c>
      <c r="G975" t="s">
        <v>27</v>
      </c>
      <c r="H975" t="s">
        <v>28</v>
      </c>
      <c r="I975" t="s">
        <v>2679</v>
      </c>
      <c r="J975" t="s">
        <v>2680</v>
      </c>
      <c r="K975" t="s">
        <v>25</v>
      </c>
      <c r="L975">
        <v>24</v>
      </c>
      <c r="M975">
        <v>5</v>
      </c>
      <c r="N975">
        <v>10</v>
      </c>
      <c r="O975" t="s">
        <v>526</v>
      </c>
      <c r="P975" t="s">
        <v>44</v>
      </c>
      <c r="Q975" t="s">
        <v>117</v>
      </c>
      <c r="R975" t="s">
        <v>43</v>
      </c>
      <c r="S975" t="s">
        <v>30</v>
      </c>
      <c r="T975">
        <v>3</v>
      </c>
      <c r="U975">
        <v>896.05</v>
      </c>
      <c r="V975">
        <v>2235.54</v>
      </c>
      <c r="W975">
        <v>2</v>
      </c>
      <c r="X975" t="str">
        <f>TEXT(cleaneddata[[#This Row],[Order Date]],"mmm")</f>
        <v>Mar</v>
      </c>
      <c r="Y975">
        <f>cleaneddata[[#This Row],[Unit Price]]*cleaneddata[[#This Row],[Quantity]]*(1-cleaneddata[[#This Row],[Discount %]]/100)</f>
        <v>4032.2249999999999</v>
      </c>
      <c r="Z975">
        <f>cleaneddata[[#This Row],[sales]]-cleaneddata[[#This Row],[Cost]]</f>
        <v>1796.6849999999999</v>
      </c>
    </row>
    <row r="976" spans="1:26" x14ac:dyDescent="0.3">
      <c r="A976" t="s">
        <v>2560</v>
      </c>
      <c r="B976" s="1">
        <v>45486</v>
      </c>
      <c r="C976" t="s">
        <v>2561</v>
      </c>
      <c r="D976" t="s">
        <v>2722</v>
      </c>
      <c r="E976" s="1">
        <v>45493</v>
      </c>
      <c r="F976" t="s">
        <v>29</v>
      </c>
      <c r="G976" t="s">
        <v>27</v>
      </c>
      <c r="H976" t="s">
        <v>28</v>
      </c>
      <c r="I976" t="s">
        <v>2633</v>
      </c>
      <c r="J976" t="s">
        <v>2678</v>
      </c>
      <c r="K976" t="s">
        <v>52</v>
      </c>
      <c r="L976">
        <v>20</v>
      </c>
      <c r="M976">
        <v>5</v>
      </c>
      <c r="N976">
        <v>5</v>
      </c>
      <c r="O976" t="s">
        <v>2281</v>
      </c>
      <c r="P976" t="s">
        <v>33</v>
      </c>
      <c r="Q976" t="s">
        <v>31</v>
      </c>
      <c r="R976" t="s">
        <v>32</v>
      </c>
      <c r="S976" t="s">
        <v>30</v>
      </c>
      <c r="T976">
        <v>3</v>
      </c>
      <c r="U976">
        <v>212.99</v>
      </c>
      <c r="V976">
        <v>708.84</v>
      </c>
      <c r="W976">
        <v>7</v>
      </c>
      <c r="X976" t="str">
        <f>TEXT(cleaneddata[[#This Row],[Order Date]],"mmm")</f>
        <v>Jul</v>
      </c>
      <c r="Y976">
        <f>cleaneddata[[#This Row],[Unit Price]]*cleaneddata[[#This Row],[Quantity]]*(1-cleaneddata[[#This Row],[Discount %]]/100)</f>
        <v>1011.7025</v>
      </c>
      <c r="Z976">
        <f>cleaneddata[[#This Row],[sales]]-cleaneddata[[#This Row],[Cost]]</f>
        <v>302.86249999999995</v>
      </c>
    </row>
    <row r="977" spans="1:26" x14ac:dyDescent="0.3">
      <c r="A977" t="s">
        <v>2562</v>
      </c>
      <c r="B977" s="1">
        <v>46180</v>
      </c>
      <c r="C977" t="s">
        <v>2563</v>
      </c>
      <c r="D977" t="s">
        <v>2822</v>
      </c>
      <c r="E977" s="1">
        <v>46185</v>
      </c>
      <c r="F977" t="s">
        <v>122</v>
      </c>
      <c r="G977" t="s">
        <v>120</v>
      </c>
      <c r="H977" t="s">
        <v>121</v>
      </c>
      <c r="I977" t="s">
        <v>2675</v>
      </c>
      <c r="J977" t="s">
        <v>2699</v>
      </c>
      <c r="K977" t="s">
        <v>25</v>
      </c>
      <c r="L977">
        <v>42</v>
      </c>
      <c r="M977">
        <v>3</v>
      </c>
      <c r="N977">
        <v>5</v>
      </c>
      <c r="O977" t="s">
        <v>1114</v>
      </c>
      <c r="P977" t="s">
        <v>75</v>
      </c>
      <c r="Q977" t="s">
        <v>58</v>
      </c>
      <c r="R977" t="s">
        <v>71</v>
      </c>
      <c r="S977" t="s">
        <v>123</v>
      </c>
      <c r="T977">
        <v>3</v>
      </c>
      <c r="U977">
        <v>758.48</v>
      </c>
      <c r="V977">
        <v>1485.26</v>
      </c>
      <c r="W977">
        <v>5</v>
      </c>
      <c r="X977" t="str">
        <f>TEXT(cleaneddata[[#This Row],[Order Date]],"mmm")</f>
        <v>Jun</v>
      </c>
      <c r="Y977">
        <f>cleaneddata[[#This Row],[Unit Price]]*cleaneddata[[#This Row],[Quantity]]*(1-cleaneddata[[#This Row],[Discount %]]/100)</f>
        <v>2161.6680000000001</v>
      </c>
      <c r="Z977">
        <f>cleaneddata[[#This Row],[sales]]-cleaneddata[[#This Row],[Cost]]</f>
        <v>676.40800000000013</v>
      </c>
    </row>
    <row r="978" spans="1:26" x14ac:dyDescent="0.3">
      <c r="A978" t="s">
        <v>2564</v>
      </c>
      <c r="B978" s="1">
        <v>45723</v>
      </c>
      <c r="C978" t="s">
        <v>2565</v>
      </c>
      <c r="D978" t="s">
        <v>2821</v>
      </c>
      <c r="E978" s="1">
        <v>45725</v>
      </c>
      <c r="F978" t="s">
        <v>68</v>
      </c>
      <c r="G978" t="s">
        <v>66</v>
      </c>
      <c r="H978" t="s">
        <v>67</v>
      </c>
      <c r="I978" t="s">
        <v>2629</v>
      </c>
      <c r="J978" t="s">
        <v>2697</v>
      </c>
      <c r="K978" t="s">
        <v>52</v>
      </c>
      <c r="L978">
        <v>52</v>
      </c>
      <c r="M978">
        <v>1</v>
      </c>
      <c r="N978">
        <v>25</v>
      </c>
      <c r="O978" t="s">
        <v>1522</v>
      </c>
      <c r="P978" t="s">
        <v>75</v>
      </c>
      <c r="Q978" t="s">
        <v>42</v>
      </c>
      <c r="R978" t="s">
        <v>71</v>
      </c>
      <c r="S978" t="s">
        <v>69</v>
      </c>
      <c r="T978">
        <v>1</v>
      </c>
      <c r="U978">
        <v>196.55</v>
      </c>
      <c r="V978">
        <v>119.13</v>
      </c>
      <c r="W978">
        <v>2</v>
      </c>
      <c r="X978" t="str">
        <f>TEXT(cleaneddata[[#This Row],[Order Date]],"mmm")</f>
        <v>Mar</v>
      </c>
      <c r="Y978">
        <f>cleaneddata[[#This Row],[Unit Price]]*cleaneddata[[#This Row],[Quantity]]*(1-cleaneddata[[#This Row],[Discount %]]/100)</f>
        <v>147.41250000000002</v>
      </c>
      <c r="Z978">
        <f>cleaneddata[[#This Row],[sales]]-cleaneddata[[#This Row],[Cost]]</f>
        <v>28.282500000000027</v>
      </c>
    </row>
    <row r="979" spans="1:26" x14ac:dyDescent="0.3">
      <c r="A979" t="s">
        <v>2566</v>
      </c>
      <c r="B979" s="1">
        <v>45518</v>
      </c>
      <c r="C979" t="s">
        <v>2567</v>
      </c>
      <c r="D979" t="s">
        <v>2820</v>
      </c>
      <c r="E979" s="1">
        <v>45522</v>
      </c>
      <c r="F979" t="s">
        <v>100</v>
      </c>
      <c r="G979" t="s">
        <v>98</v>
      </c>
      <c r="H979" t="s">
        <v>99</v>
      </c>
      <c r="I979" t="s">
        <v>2629</v>
      </c>
      <c r="J979" t="s">
        <v>2630</v>
      </c>
      <c r="K979" t="s">
        <v>25</v>
      </c>
      <c r="L979">
        <v>20</v>
      </c>
      <c r="M979">
        <v>3</v>
      </c>
      <c r="N979">
        <v>25</v>
      </c>
      <c r="O979" t="s">
        <v>1837</v>
      </c>
      <c r="P979" t="s">
        <v>44</v>
      </c>
      <c r="Q979" t="s">
        <v>42</v>
      </c>
      <c r="R979" t="s">
        <v>71</v>
      </c>
      <c r="S979" t="s">
        <v>101</v>
      </c>
      <c r="T979">
        <v>4</v>
      </c>
      <c r="U979">
        <v>79.69</v>
      </c>
      <c r="V979">
        <v>117.84</v>
      </c>
      <c r="W979">
        <v>4</v>
      </c>
      <c r="X979" t="str">
        <f>TEXT(cleaneddata[[#This Row],[Order Date]],"mmm")</f>
        <v>Aug</v>
      </c>
      <c r="Y979">
        <f>cleaneddata[[#This Row],[Unit Price]]*cleaneddata[[#This Row],[Quantity]]*(1-cleaneddata[[#This Row],[Discount %]]/100)</f>
        <v>179.30250000000001</v>
      </c>
      <c r="Z979">
        <f>cleaneddata[[#This Row],[sales]]-cleaneddata[[#This Row],[Cost]]</f>
        <v>61.462500000000006</v>
      </c>
    </row>
    <row r="980" spans="1:26" x14ac:dyDescent="0.3">
      <c r="A980" t="s">
        <v>2568</v>
      </c>
      <c r="B980" s="1">
        <v>45469</v>
      </c>
      <c r="C980" t="s">
        <v>2569</v>
      </c>
      <c r="D980" t="s">
        <v>2819</v>
      </c>
      <c r="E980" s="1">
        <v>45472</v>
      </c>
      <c r="F980" t="s">
        <v>56</v>
      </c>
      <c r="G980" t="s">
        <v>54</v>
      </c>
      <c r="H980" t="s">
        <v>55</v>
      </c>
      <c r="I980" t="s">
        <v>2656</v>
      </c>
      <c r="J980" t="s">
        <v>2683</v>
      </c>
      <c r="K980" t="s">
        <v>25</v>
      </c>
      <c r="L980">
        <v>32</v>
      </c>
      <c r="M980">
        <v>5</v>
      </c>
      <c r="N980">
        <v>10</v>
      </c>
      <c r="O980" t="s">
        <v>1070</v>
      </c>
      <c r="P980" t="s">
        <v>44</v>
      </c>
      <c r="Q980" t="s">
        <v>31</v>
      </c>
      <c r="R980" t="s">
        <v>62</v>
      </c>
      <c r="S980" t="s">
        <v>57</v>
      </c>
      <c r="T980">
        <v>3</v>
      </c>
      <c r="U980">
        <v>403.9</v>
      </c>
      <c r="V980">
        <v>1021.45</v>
      </c>
      <c r="W980">
        <v>3</v>
      </c>
      <c r="X980" t="str">
        <f>TEXT(cleaneddata[[#This Row],[Order Date]],"mmm")</f>
        <v>Jun</v>
      </c>
      <c r="Y980">
        <f>cleaneddata[[#This Row],[Unit Price]]*cleaneddata[[#This Row],[Quantity]]*(1-cleaneddata[[#This Row],[Discount %]]/100)</f>
        <v>1817.55</v>
      </c>
      <c r="Z980">
        <f>cleaneddata[[#This Row],[sales]]-cleaneddata[[#This Row],[Cost]]</f>
        <v>796.09999999999991</v>
      </c>
    </row>
    <row r="981" spans="1:26" x14ac:dyDescent="0.3">
      <c r="A981" t="s">
        <v>2570</v>
      </c>
      <c r="B981" s="1">
        <v>45823</v>
      </c>
      <c r="C981" t="s">
        <v>2571</v>
      </c>
      <c r="D981" t="s">
        <v>2818</v>
      </c>
      <c r="E981" s="1">
        <v>45827</v>
      </c>
      <c r="F981" t="s">
        <v>29</v>
      </c>
      <c r="G981" t="s">
        <v>27</v>
      </c>
      <c r="H981" t="s">
        <v>28</v>
      </c>
      <c r="I981" t="s">
        <v>2656</v>
      </c>
      <c r="J981" t="s">
        <v>2657</v>
      </c>
      <c r="K981" t="s">
        <v>52</v>
      </c>
      <c r="L981">
        <v>32</v>
      </c>
      <c r="M981">
        <v>4</v>
      </c>
      <c r="N981">
        <v>5</v>
      </c>
      <c r="O981" t="s">
        <v>2572</v>
      </c>
      <c r="P981" t="s">
        <v>44</v>
      </c>
      <c r="Q981" t="s">
        <v>31</v>
      </c>
      <c r="R981" t="s">
        <v>32</v>
      </c>
      <c r="S981" t="s">
        <v>30</v>
      </c>
      <c r="T981">
        <v>1</v>
      </c>
      <c r="U981">
        <v>546.95000000000005</v>
      </c>
      <c r="V981">
        <v>1243.27</v>
      </c>
      <c r="W981">
        <v>4</v>
      </c>
      <c r="X981" t="str">
        <f>TEXT(cleaneddata[[#This Row],[Order Date]],"mmm")</f>
        <v>Jun</v>
      </c>
      <c r="Y981">
        <f>cleaneddata[[#This Row],[Unit Price]]*cleaneddata[[#This Row],[Quantity]]*(1-cleaneddata[[#This Row],[Discount %]]/100)</f>
        <v>2078.41</v>
      </c>
      <c r="Z981">
        <f>cleaneddata[[#This Row],[sales]]-cleaneddata[[#This Row],[Cost]]</f>
        <v>835.13999999999987</v>
      </c>
    </row>
    <row r="982" spans="1:26" x14ac:dyDescent="0.3">
      <c r="A982" t="s">
        <v>2573</v>
      </c>
      <c r="B982" s="1">
        <v>45834</v>
      </c>
      <c r="C982" t="s">
        <v>2574</v>
      </c>
      <c r="D982" t="s">
        <v>2817</v>
      </c>
      <c r="E982" s="1">
        <v>45835</v>
      </c>
      <c r="F982" t="s">
        <v>122</v>
      </c>
      <c r="G982" t="s">
        <v>120</v>
      </c>
      <c r="H982" t="s">
        <v>121</v>
      </c>
      <c r="I982" t="s">
        <v>2625</v>
      </c>
      <c r="J982" t="s">
        <v>2626</v>
      </c>
      <c r="K982" t="s">
        <v>52</v>
      </c>
      <c r="L982">
        <v>61</v>
      </c>
      <c r="M982">
        <v>5</v>
      </c>
      <c r="N982">
        <v>5</v>
      </c>
      <c r="O982" t="s">
        <v>78</v>
      </c>
      <c r="P982" t="s">
        <v>33</v>
      </c>
      <c r="Q982" t="s">
        <v>31</v>
      </c>
      <c r="R982" t="s">
        <v>71</v>
      </c>
      <c r="S982" t="s">
        <v>123</v>
      </c>
      <c r="T982">
        <v>5</v>
      </c>
      <c r="U982">
        <v>390.5</v>
      </c>
      <c r="V982">
        <v>943.12</v>
      </c>
      <c r="W982">
        <v>1</v>
      </c>
      <c r="X982" t="str">
        <f>TEXT(cleaneddata[[#This Row],[Order Date]],"mmm")</f>
        <v>Jun</v>
      </c>
      <c r="Y982">
        <f>cleaneddata[[#This Row],[Unit Price]]*cleaneddata[[#This Row],[Quantity]]*(1-cleaneddata[[#This Row],[Discount %]]/100)</f>
        <v>1854.875</v>
      </c>
      <c r="Z982">
        <f>cleaneddata[[#This Row],[sales]]-cleaneddata[[#This Row],[Cost]]</f>
        <v>911.755</v>
      </c>
    </row>
    <row r="983" spans="1:26" x14ac:dyDescent="0.3">
      <c r="A983" t="s">
        <v>2575</v>
      </c>
      <c r="B983" s="1">
        <v>45821</v>
      </c>
      <c r="C983" t="s">
        <v>2576</v>
      </c>
      <c r="D983" t="s">
        <v>2816</v>
      </c>
      <c r="E983" s="1">
        <v>45828</v>
      </c>
      <c r="F983" t="s">
        <v>29</v>
      </c>
      <c r="G983" t="s">
        <v>27</v>
      </c>
      <c r="H983" t="s">
        <v>28</v>
      </c>
      <c r="I983" t="s">
        <v>2622</v>
      </c>
      <c r="J983" t="s">
        <v>2704</v>
      </c>
      <c r="K983" t="s">
        <v>52</v>
      </c>
      <c r="L983">
        <v>51</v>
      </c>
      <c r="M983">
        <v>2</v>
      </c>
      <c r="N983">
        <v>30</v>
      </c>
      <c r="O983" t="s">
        <v>2577</v>
      </c>
      <c r="P983" t="s">
        <v>33</v>
      </c>
      <c r="Q983" t="s">
        <v>58</v>
      </c>
      <c r="R983" t="s">
        <v>62</v>
      </c>
      <c r="S983" t="s">
        <v>30</v>
      </c>
      <c r="T983">
        <v>4</v>
      </c>
      <c r="U983">
        <v>727.5</v>
      </c>
      <c r="V983">
        <v>578.54999999999995</v>
      </c>
      <c r="W983">
        <v>7</v>
      </c>
      <c r="X983" t="str">
        <f>TEXT(cleaneddata[[#This Row],[Order Date]],"mmm")</f>
        <v>Jun</v>
      </c>
      <c r="Y983">
        <f>cleaneddata[[#This Row],[Unit Price]]*cleaneddata[[#This Row],[Quantity]]*(1-cleaneddata[[#This Row],[Discount %]]/100)</f>
        <v>1018.4999999999999</v>
      </c>
      <c r="Z983">
        <f>cleaneddata[[#This Row],[sales]]-cleaneddata[[#This Row],[Cost]]</f>
        <v>439.94999999999993</v>
      </c>
    </row>
    <row r="984" spans="1:26" x14ac:dyDescent="0.3">
      <c r="A984" t="s">
        <v>2578</v>
      </c>
      <c r="B984" s="1">
        <v>45594</v>
      </c>
      <c r="C984" t="s">
        <v>1476</v>
      </c>
      <c r="D984" t="s">
        <v>2815</v>
      </c>
      <c r="E984" s="1">
        <v>45595</v>
      </c>
      <c r="F984" t="s">
        <v>56</v>
      </c>
      <c r="G984" t="s">
        <v>54</v>
      </c>
      <c r="H984" t="s">
        <v>55</v>
      </c>
      <c r="I984" t="s">
        <v>2663</v>
      </c>
      <c r="J984" t="s">
        <v>2694</v>
      </c>
      <c r="K984" t="s">
        <v>52</v>
      </c>
      <c r="L984">
        <v>40</v>
      </c>
      <c r="M984">
        <v>3</v>
      </c>
      <c r="N984">
        <v>0</v>
      </c>
      <c r="O984" t="s">
        <v>2579</v>
      </c>
      <c r="P984" t="s">
        <v>75</v>
      </c>
      <c r="Q984" t="s">
        <v>31</v>
      </c>
      <c r="R984" t="s">
        <v>43</v>
      </c>
      <c r="S984" t="s">
        <v>57</v>
      </c>
      <c r="T984">
        <v>4</v>
      </c>
      <c r="U984">
        <v>853.64</v>
      </c>
      <c r="V984">
        <v>1561.47</v>
      </c>
      <c r="W984">
        <v>1</v>
      </c>
      <c r="X984" t="str">
        <f>TEXT(cleaneddata[[#This Row],[Order Date]],"mmm")</f>
        <v>Oct</v>
      </c>
      <c r="Y984">
        <f>cleaneddata[[#This Row],[Unit Price]]*cleaneddata[[#This Row],[Quantity]]*(1-cleaneddata[[#This Row],[Discount %]]/100)</f>
        <v>2560.92</v>
      </c>
      <c r="Z984">
        <f>cleaneddata[[#This Row],[sales]]-cleaneddata[[#This Row],[Cost]]</f>
        <v>999.45</v>
      </c>
    </row>
    <row r="985" spans="1:26" x14ac:dyDescent="0.3">
      <c r="A985" t="s">
        <v>2580</v>
      </c>
      <c r="B985" s="1">
        <v>45443</v>
      </c>
      <c r="C985" t="s">
        <v>2581</v>
      </c>
      <c r="D985" t="s">
        <v>2814</v>
      </c>
      <c r="E985" s="1">
        <v>45450</v>
      </c>
      <c r="F985" t="s">
        <v>68</v>
      </c>
      <c r="G985" t="s">
        <v>66</v>
      </c>
      <c r="H985" t="s">
        <v>67</v>
      </c>
      <c r="I985" t="s">
        <v>2629</v>
      </c>
      <c r="J985" t="s">
        <v>2709</v>
      </c>
      <c r="K985" t="s">
        <v>52</v>
      </c>
      <c r="L985">
        <v>55</v>
      </c>
      <c r="M985">
        <v>3</v>
      </c>
      <c r="N985">
        <v>0</v>
      </c>
      <c r="O985" t="s">
        <v>2582</v>
      </c>
      <c r="P985" t="s">
        <v>75</v>
      </c>
      <c r="Q985" t="s">
        <v>70</v>
      </c>
      <c r="R985" t="s">
        <v>71</v>
      </c>
      <c r="S985" t="s">
        <v>69</v>
      </c>
      <c r="T985">
        <v>5</v>
      </c>
      <c r="U985">
        <v>81.34</v>
      </c>
      <c r="V985">
        <v>201.33</v>
      </c>
      <c r="W985">
        <v>7</v>
      </c>
      <c r="X985" t="str">
        <f>TEXT(cleaneddata[[#This Row],[Order Date]],"mmm")</f>
        <v>May</v>
      </c>
      <c r="Y985">
        <f>cleaneddata[[#This Row],[Unit Price]]*cleaneddata[[#This Row],[Quantity]]*(1-cleaneddata[[#This Row],[Discount %]]/100)</f>
        <v>244.02</v>
      </c>
      <c r="Z985">
        <f>cleaneddata[[#This Row],[sales]]-cleaneddata[[#This Row],[Cost]]</f>
        <v>42.69</v>
      </c>
    </row>
    <row r="986" spans="1:26" x14ac:dyDescent="0.3">
      <c r="A986" t="s">
        <v>2583</v>
      </c>
      <c r="B986" s="1">
        <v>45419</v>
      </c>
      <c r="C986" t="s">
        <v>2584</v>
      </c>
      <c r="D986" t="s">
        <v>2813</v>
      </c>
      <c r="E986" s="1">
        <v>45425</v>
      </c>
      <c r="F986" t="s">
        <v>56</v>
      </c>
      <c r="G986" t="s">
        <v>54</v>
      </c>
      <c r="H986" t="s">
        <v>55</v>
      </c>
      <c r="I986" t="s">
        <v>2679</v>
      </c>
      <c r="J986" t="s">
        <v>2680</v>
      </c>
      <c r="K986" t="s">
        <v>25</v>
      </c>
      <c r="L986">
        <v>38</v>
      </c>
      <c r="M986">
        <v>1</v>
      </c>
      <c r="N986">
        <v>20</v>
      </c>
      <c r="O986" t="s">
        <v>302</v>
      </c>
      <c r="P986" t="s">
        <v>33</v>
      </c>
      <c r="Q986" t="s">
        <v>117</v>
      </c>
      <c r="R986" t="s">
        <v>71</v>
      </c>
      <c r="S986" t="s">
        <v>57</v>
      </c>
      <c r="T986">
        <v>4</v>
      </c>
      <c r="U986">
        <v>470.84</v>
      </c>
      <c r="V986">
        <v>248.13</v>
      </c>
      <c r="W986">
        <v>6</v>
      </c>
      <c r="X986" t="str">
        <f>TEXT(cleaneddata[[#This Row],[Order Date]],"mmm")</f>
        <v>May</v>
      </c>
      <c r="Y986">
        <f>cleaneddata[[#This Row],[Unit Price]]*cleaneddata[[#This Row],[Quantity]]*(1-cleaneddata[[#This Row],[Discount %]]/100)</f>
        <v>376.67200000000003</v>
      </c>
      <c r="Z986">
        <f>cleaneddata[[#This Row],[sales]]-cleaneddata[[#This Row],[Cost]]</f>
        <v>128.54200000000003</v>
      </c>
    </row>
    <row r="987" spans="1:26" x14ac:dyDescent="0.3">
      <c r="A987" t="s">
        <v>2585</v>
      </c>
      <c r="B987" s="1">
        <v>45731</v>
      </c>
      <c r="C987" t="s">
        <v>2586</v>
      </c>
      <c r="D987" t="s">
        <v>2812</v>
      </c>
      <c r="E987" s="1">
        <v>45732</v>
      </c>
      <c r="F987" t="s">
        <v>140</v>
      </c>
      <c r="G987" t="s">
        <v>38</v>
      </c>
      <c r="H987" t="s">
        <v>139</v>
      </c>
      <c r="I987" t="s">
        <v>2668</v>
      </c>
      <c r="J987" t="s">
        <v>2708</v>
      </c>
      <c r="K987" t="s">
        <v>52</v>
      </c>
      <c r="L987">
        <v>38</v>
      </c>
      <c r="M987">
        <v>2</v>
      </c>
      <c r="N987">
        <v>10</v>
      </c>
      <c r="O987" t="s">
        <v>2587</v>
      </c>
      <c r="P987" t="s">
        <v>33</v>
      </c>
      <c r="Q987" t="s">
        <v>117</v>
      </c>
      <c r="R987" t="s">
        <v>62</v>
      </c>
      <c r="S987" t="s">
        <v>141</v>
      </c>
      <c r="T987">
        <v>3</v>
      </c>
      <c r="U987">
        <v>489.97</v>
      </c>
      <c r="V987">
        <v>540.54999999999995</v>
      </c>
      <c r="W987">
        <v>1</v>
      </c>
      <c r="X987" t="str">
        <f>TEXT(cleaneddata[[#This Row],[Order Date]],"mmm")</f>
        <v>Mar</v>
      </c>
      <c r="Y987">
        <f>cleaneddata[[#This Row],[Unit Price]]*cleaneddata[[#This Row],[Quantity]]*(1-cleaneddata[[#This Row],[Discount %]]/100)</f>
        <v>881.94600000000003</v>
      </c>
      <c r="Z987">
        <f>cleaneddata[[#This Row],[sales]]-cleaneddata[[#This Row],[Cost]]</f>
        <v>341.39600000000007</v>
      </c>
    </row>
    <row r="988" spans="1:26" x14ac:dyDescent="0.3">
      <c r="A988" t="s">
        <v>2588</v>
      </c>
      <c r="B988" s="1">
        <v>45924</v>
      </c>
      <c r="C988" t="s">
        <v>2589</v>
      </c>
      <c r="D988" t="s">
        <v>2811</v>
      </c>
      <c r="E988" s="1">
        <v>45929</v>
      </c>
      <c r="F988" t="s">
        <v>100</v>
      </c>
      <c r="G988" t="s">
        <v>98</v>
      </c>
      <c r="H988" t="s">
        <v>99</v>
      </c>
      <c r="I988" t="s">
        <v>2629</v>
      </c>
      <c r="J988" t="s">
        <v>2709</v>
      </c>
      <c r="K988" t="s">
        <v>52</v>
      </c>
      <c r="L988">
        <v>57</v>
      </c>
      <c r="M988">
        <v>2</v>
      </c>
      <c r="N988">
        <v>25</v>
      </c>
      <c r="O988" t="s">
        <v>479</v>
      </c>
      <c r="P988" t="s">
        <v>33</v>
      </c>
      <c r="Q988" t="s">
        <v>31</v>
      </c>
      <c r="R988" t="s">
        <v>32</v>
      </c>
      <c r="S988" t="s">
        <v>101</v>
      </c>
      <c r="T988">
        <v>5</v>
      </c>
      <c r="U988">
        <v>64.44</v>
      </c>
      <c r="V988">
        <v>54.81</v>
      </c>
      <c r="W988">
        <v>5</v>
      </c>
      <c r="X988" t="str">
        <f>TEXT(cleaneddata[[#This Row],[Order Date]],"mmm")</f>
        <v>Sep</v>
      </c>
      <c r="Y988">
        <f>cleaneddata[[#This Row],[Unit Price]]*cleaneddata[[#This Row],[Quantity]]*(1-cleaneddata[[#This Row],[Discount %]]/100)</f>
        <v>96.66</v>
      </c>
      <c r="Z988">
        <f>cleaneddata[[#This Row],[sales]]-cleaneddata[[#This Row],[Cost]]</f>
        <v>41.849999999999994</v>
      </c>
    </row>
    <row r="989" spans="1:26" x14ac:dyDescent="0.3">
      <c r="A989" t="s">
        <v>2590</v>
      </c>
      <c r="B989" s="1">
        <v>46068</v>
      </c>
      <c r="C989" t="s">
        <v>2591</v>
      </c>
      <c r="D989" t="s">
        <v>2810</v>
      </c>
      <c r="E989" s="1">
        <v>46069</v>
      </c>
      <c r="F989" t="s">
        <v>29</v>
      </c>
      <c r="G989" t="s">
        <v>27</v>
      </c>
      <c r="H989" t="s">
        <v>28</v>
      </c>
      <c r="I989" t="s">
        <v>2627</v>
      </c>
      <c r="J989" t="s">
        <v>2628</v>
      </c>
      <c r="K989" t="s">
        <v>52</v>
      </c>
      <c r="L989">
        <v>51</v>
      </c>
      <c r="M989">
        <v>1</v>
      </c>
      <c r="N989">
        <v>20</v>
      </c>
      <c r="O989" t="s">
        <v>2592</v>
      </c>
      <c r="P989" t="s">
        <v>44</v>
      </c>
      <c r="Q989" t="s">
        <v>117</v>
      </c>
      <c r="R989" t="s">
        <v>32</v>
      </c>
      <c r="S989" t="s">
        <v>30</v>
      </c>
      <c r="T989">
        <v>5</v>
      </c>
      <c r="U989">
        <v>513.03</v>
      </c>
      <c r="V989">
        <v>275.32</v>
      </c>
      <c r="W989">
        <v>1</v>
      </c>
      <c r="X989" t="str">
        <f>TEXT(cleaneddata[[#This Row],[Order Date]],"mmm")</f>
        <v>Feb</v>
      </c>
      <c r="Y989">
        <f>cleaneddata[[#This Row],[Unit Price]]*cleaneddata[[#This Row],[Quantity]]*(1-cleaneddata[[#This Row],[Discount %]]/100)</f>
        <v>410.42399999999998</v>
      </c>
      <c r="Z989">
        <f>cleaneddata[[#This Row],[sales]]-cleaneddata[[#This Row],[Cost]]</f>
        <v>135.10399999999998</v>
      </c>
    </row>
    <row r="990" spans="1:26" x14ac:dyDescent="0.3">
      <c r="A990" t="s">
        <v>2593</v>
      </c>
      <c r="B990" s="1">
        <v>45471</v>
      </c>
      <c r="C990" t="s">
        <v>2599</v>
      </c>
      <c r="D990" t="s">
        <v>2809</v>
      </c>
      <c r="E990" s="1">
        <v>45477</v>
      </c>
      <c r="F990" t="s">
        <v>40</v>
      </c>
      <c r="G990" t="s">
        <v>38</v>
      </c>
      <c r="H990" t="s">
        <v>39</v>
      </c>
      <c r="I990" t="s">
        <v>2656</v>
      </c>
      <c r="J990" t="s">
        <v>2683</v>
      </c>
      <c r="K990" t="s">
        <v>25</v>
      </c>
      <c r="L990">
        <v>34</v>
      </c>
      <c r="M990">
        <v>5</v>
      </c>
      <c r="N990">
        <v>5</v>
      </c>
      <c r="O990" t="s">
        <v>1739</v>
      </c>
      <c r="P990" t="s">
        <v>44</v>
      </c>
      <c r="Q990" t="s">
        <v>42</v>
      </c>
      <c r="R990" t="s">
        <v>71</v>
      </c>
      <c r="S990" t="s">
        <v>41</v>
      </c>
      <c r="T990">
        <v>2</v>
      </c>
      <c r="U990">
        <v>248.92</v>
      </c>
      <c r="V990">
        <v>919.11</v>
      </c>
      <c r="W990">
        <v>6</v>
      </c>
      <c r="X990" t="str">
        <f>TEXT(cleaneddata[[#This Row],[Order Date]],"mmm")</f>
        <v>Jun</v>
      </c>
      <c r="Y990">
        <f>cleaneddata[[#This Row],[Unit Price]]*cleaneddata[[#This Row],[Quantity]]*(1-cleaneddata[[#This Row],[Discount %]]/100)</f>
        <v>1182.3699999999999</v>
      </c>
      <c r="Z990">
        <f>cleaneddata[[#This Row],[sales]]-cleaneddata[[#This Row],[Cost]]</f>
        <v>263.25999999999988</v>
      </c>
    </row>
    <row r="991" spans="1:26" x14ac:dyDescent="0.3">
      <c r="A991" t="s">
        <v>2594</v>
      </c>
      <c r="B991" s="1">
        <v>45664</v>
      </c>
      <c r="C991" t="s">
        <v>2601</v>
      </c>
      <c r="D991" t="s">
        <v>2808</v>
      </c>
      <c r="E991" s="1">
        <v>45667</v>
      </c>
      <c r="F991" t="s">
        <v>29</v>
      </c>
      <c r="G991" t="s">
        <v>27</v>
      </c>
      <c r="H991" t="s">
        <v>28</v>
      </c>
      <c r="I991" t="s">
        <v>2633</v>
      </c>
      <c r="J991" t="s">
        <v>2678</v>
      </c>
      <c r="K991" t="s">
        <v>25</v>
      </c>
      <c r="L991">
        <v>49</v>
      </c>
      <c r="M991">
        <v>1</v>
      </c>
      <c r="N991">
        <v>0</v>
      </c>
      <c r="O991" t="s">
        <v>1998</v>
      </c>
      <c r="P991" t="s">
        <v>75</v>
      </c>
      <c r="Q991" t="s">
        <v>58</v>
      </c>
      <c r="R991" t="s">
        <v>71</v>
      </c>
      <c r="S991" t="s">
        <v>30</v>
      </c>
      <c r="T991">
        <v>1</v>
      </c>
      <c r="U991">
        <v>740.15</v>
      </c>
      <c r="V991">
        <v>467.7</v>
      </c>
      <c r="W991">
        <v>3</v>
      </c>
      <c r="X991" t="str">
        <f>TEXT(cleaneddata[[#This Row],[Order Date]],"mmm")</f>
        <v>Jan</v>
      </c>
      <c r="Y991">
        <f>cleaneddata[[#This Row],[Unit Price]]*cleaneddata[[#This Row],[Quantity]]*(1-cleaneddata[[#This Row],[Discount %]]/100)</f>
        <v>740.15</v>
      </c>
      <c r="Z991">
        <f>cleaneddata[[#This Row],[sales]]-cleaneddata[[#This Row],[Cost]]</f>
        <v>272.45</v>
      </c>
    </row>
    <row r="992" spans="1:26" x14ac:dyDescent="0.3">
      <c r="A992" t="s">
        <v>2595</v>
      </c>
      <c r="B992" s="1">
        <v>45999</v>
      </c>
      <c r="C992" t="s">
        <v>2603</v>
      </c>
      <c r="D992" t="s">
        <v>2807</v>
      </c>
      <c r="E992" s="1">
        <v>46002</v>
      </c>
      <c r="F992" t="s">
        <v>56</v>
      </c>
      <c r="G992" t="s">
        <v>54</v>
      </c>
      <c r="H992" t="s">
        <v>55</v>
      </c>
      <c r="I992" t="s">
        <v>2661</v>
      </c>
      <c r="J992" t="s">
        <v>2700</v>
      </c>
      <c r="K992" t="s">
        <v>25</v>
      </c>
      <c r="L992">
        <v>38</v>
      </c>
      <c r="M992">
        <v>4</v>
      </c>
      <c r="N992">
        <v>10</v>
      </c>
      <c r="O992" t="s">
        <v>2604</v>
      </c>
      <c r="P992" t="s">
        <v>33</v>
      </c>
      <c r="Q992" t="s">
        <v>58</v>
      </c>
      <c r="R992" t="s">
        <v>32</v>
      </c>
      <c r="S992" t="s">
        <v>57</v>
      </c>
      <c r="T992">
        <v>3</v>
      </c>
      <c r="U992">
        <v>359.41</v>
      </c>
      <c r="V992">
        <v>744.26</v>
      </c>
      <c r="W992">
        <v>3</v>
      </c>
      <c r="X992" t="str">
        <f>TEXT(cleaneddata[[#This Row],[Order Date]],"mmm")</f>
        <v>Dec</v>
      </c>
      <c r="Y992">
        <f>cleaneddata[[#This Row],[Unit Price]]*cleaneddata[[#This Row],[Quantity]]*(1-cleaneddata[[#This Row],[Discount %]]/100)</f>
        <v>1293.8760000000002</v>
      </c>
      <c r="Z992">
        <f>cleaneddata[[#This Row],[sales]]-cleaneddata[[#This Row],[Cost]]</f>
        <v>549.61600000000021</v>
      </c>
    </row>
    <row r="993" spans="1:26" x14ac:dyDescent="0.3">
      <c r="A993" t="s">
        <v>2596</v>
      </c>
      <c r="B993" s="1">
        <v>45530</v>
      </c>
      <c r="C993" t="s">
        <v>2058</v>
      </c>
      <c r="D993" t="s">
        <v>2806</v>
      </c>
      <c r="E993" s="1">
        <v>45532</v>
      </c>
      <c r="F993" t="s">
        <v>115</v>
      </c>
      <c r="G993" t="s">
        <v>66</v>
      </c>
      <c r="H993" t="s">
        <v>114</v>
      </c>
      <c r="I993" t="s">
        <v>2623</v>
      </c>
      <c r="J993" t="s">
        <v>2701</v>
      </c>
      <c r="K993" t="s">
        <v>52</v>
      </c>
      <c r="L993">
        <v>43</v>
      </c>
      <c r="M993">
        <v>5</v>
      </c>
      <c r="N993">
        <v>25</v>
      </c>
      <c r="O993" t="s">
        <v>2606</v>
      </c>
      <c r="P993" t="s">
        <v>44</v>
      </c>
      <c r="Q993" t="s">
        <v>31</v>
      </c>
      <c r="R993" t="s">
        <v>71</v>
      </c>
      <c r="S993" t="s">
        <v>116</v>
      </c>
      <c r="T993">
        <v>3</v>
      </c>
      <c r="U993">
        <v>621.39</v>
      </c>
      <c r="V993">
        <v>1905.06</v>
      </c>
      <c r="W993">
        <v>2</v>
      </c>
      <c r="X993" t="str">
        <f>TEXT(cleaneddata[[#This Row],[Order Date]],"mmm")</f>
        <v>Aug</v>
      </c>
      <c r="Y993">
        <f>cleaneddata[[#This Row],[Unit Price]]*cleaneddata[[#This Row],[Quantity]]*(1-cleaneddata[[#This Row],[Discount %]]/100)</f>
        <v>2330.2124999999996</v>
      </c>
      <c r="Z993">
        <f>cleaneddata[[#This Row],[sales]]-cleaneddata[[#This Row],[Cost]]</f>
        <v>425.15249999999969</v>
      </c>
    </row>
    <row r="994" spans="1:26" x14ac:dyDescent="0.3">
      <c r="A994" t="s">
        <v>2597</v>
      </c>
      <c r="B994" s="1">
        <v>45914</v>
      </c>
      <c r="C994" t="s">
        <v>1481</v>
      </c>
      <c r="D994" t="s">
        <v>2805</v>
      </c>
      <c r="E994" s="1">
        <v>45916</v>
      </c>
      <c r="F994" t="s">
        <v>100</v>
      </c>
      <c r="G994" t="s">
        <v>98</v>
      </c>
      <c r="H994" t="s">
        <v>99</v>
      </c>
      <c r="I994" t="s">
        <v>2637</v>
      </c>
      <c r="J994" t="s">
        <v>2649</v>
      </c>
      <c r="K994" t="s">
        <v>25</v>
      </c>
      <c r="L994">
        <v>37</v>
      </c>
      <c r="M994">
        <v>1</v>
      </c>
      <c r="N994">
        <v>15</v>
      </c>
      <c r="O994" t="s">
        <v>2454</v>
      </c>
      <c r="P994" t="s">
        <v>75</v>
      </c>
      <c r="Q994" t="s">
        <v>31</v>
      </c>
      <c r="R994" t="s">
        <v>32</v>
      </c>
      <c r="S994" t="s">
        <v>101</v>
      </c>
      <c r="T994">
        <v>5</v>
      </c>
      <c r="U994">
        <v>727.4</v>
      </c>
      <c r="V994">
        <v>369.45</v>
      </c>
      <c r="W994">
        <v>2</v>
      </c>
      <c r="X994" t="str">
        <f>TEXT(cleaneddata[[#This Row],[Order Date]],"mmm")</f>
        <v>Sep</v>
      </c>
      <c r="Y994">
        <f>cleaneddata[[#This Row],[Unit Price]]*cleaneddata[[#This Row],[Quantity]]*(1-cleaneddata[[#This Row],[Discount %]]/100)</f>
        <v>618.29</v>
      </c>
      <c r="Z994">
        <f>cleaneddata[[#This Row],[sales]]-cleaneddata[[#This Row],[Cost]]</f>
        <v>248.83999999999997</v>
      </c>
    </row>
    <row r="995" spans="1:26" x14ac:dyDescent="0.3">
      <c r="A995" t="s">
        <v>2598</v>
      </c>
      <c r="B995" s="1">
        <v>45991</v>
      </c>
      <c r="C995" t="s">
        <v>2609</v>
      </c>
      <c r="D995" t="s">
        <v>2804</v>
      </c>
      <c r="E995" s="1">
        <v>45994</v>
      </c>
      <c r="F995" t="s">
        <v>29</v>
      </c>
      <c r="G995" t="s">
        <v>27</v>
      </c>
      <c r="H995" t="s">
        <v>28</v>
      </c>
      <c r="I995" t="s">
        <v>2629</v>
      </c>
      <c r="J995" t="s">
        <v>2709</v>
      </c>
      <c r="K995" t="s">
        <v>25</v>
      </c>
      <c r="L995">
        <v>40</v>
      </c>
      <c r="M995">
        <v>3</v>
      </c>
      <c r="N995">
        <v>30</v>
      </c>
      <c r="O995" t="s">
        <v>640</v>
      </c>
      <c r="P995" t="s">
        <v>44</v>
      </c>
      <c r="Q995" t="s">
        <v>70</v>
      </c>
      <c r="R995" t="s">
        <v>62</v>
      </c>
      <c r="S995" t="s">
        <v>30</v>
      </c>
      <c r="T995">
        <v>5</v>
      </c>
      <c r="U995">
        <v>173.93</v>
      </c>
      <c r="V995">
        <v>281.77999999999997</v>
      </c>
      <c r="W995">
        <v>3</v>
      </c>
      <c r="X995" t="str">
        <f>TEXT(cleaneddata[[#This Row],[Order Date]],"mmm")</f>
        <v>Nov</v>
      </c>
      <c r="Y995">
        <f>cleaneddata[[#This Row],[Unit Price]]*cleaneddata[[#This Row],[Quantity]]*(1-cleaneddata[[#This Row],[Discount %]]/100)</f>
        <v>365.25299999999993</v>
      </c>
      <c r="Z995">
        <f>cleaneddata[[#This Row],[sales]]-cleaneddata[[#This Row],[Cost]]</f>
        <v>83.472999999999956</v>
      </c>
    </row>
    <row r="996" spans="1:26" x14ac:dyDescent="0.3">
      <c r="A996" t="s">
        <v>2600</v>
      </c>
      <c r="B996" s="1">
        <v>45345</v>
      </c>
      <c r="C996" t="s">
        <v>2611</v>
      </c>
      <c r="D996" t="s">
        <v>2803</v>
      </c>
      <c r="E996" s="1">
        <v>45350</v>
      </c>
      <c r="F996" t="s">
        <v>122</v>
      </c>
      <c r="G996" t="s">
        <v>120</v>
      </c>
      <c r="H996" t="s">
        <v>121</v>
      </c>
      <c r="I996" t="s">
        <v>2623</v>
      </c>
      <c r="J996" t="s">
        <v>2701</v>
      </c>
      <c r="K996" t="s">
        <v>25</v>
      </c>
      <c r="L996">
        <v>32</v>
      </c>
      <c r="M996">
        <v>5</v>
      </c>
      <c r="N996">
        <v>10</v>
      </c>
      <c r="O996" t="s">
        <v>2612</v>
      </c>
      <c r="P996" t="s">
        <v>75</v>
      </c>
      <c r="Q996" t="s">
        <v>70</v>
      </c>
      <c r="R996" t="s">
        <v>71</v>
      </c>
      <c r="S996" t="s">
        <v>123</v>
      </c>
      <c r="T996">
        <v>5</v>
      </c>
      <c r="U996">
        <v>928.21</v>
      </c>
      <c r="V996">
        <v>2117.91</v>
      </c>
      <c r="W996">
        <v>5</v>
      </c>
      <c r="X996" t="str">
        <f>TEXT(cleaneddata[[#This Row],[Order Date]],"mmm")</f>
        <v>Feb</v>
      </c>
      <c r="Y996">
        <f>cleaneddata[[#This Row],[Unit Price]]*cleaneddata[[#This Row],[Quantity]]*(1-cleaneddata[[#This Row],[Discount %]]/100)</f>
        <v>4176.9450000000006</v>
      </c>
      <c r="Z996">
        <f>cleaneddata[[#This Row],[sales]]-cleaneddata[[#This Row],[Cost]]</f>
        <v>2059.0350000000008</v>
      </c>
    </row>
    <row r="997" spans="1:26" x14ac:dyDescent="0.3">
      <c r="A997" t="s">
        <v>2602</v>
      </c>
      <c r="B997" s="1">
        <v>45960</v>
      </c>
      <c r="C997" t="s">
        <v>2614</v>
      </c>
      <c r="D997" t="s">
        <v>2802</v>
      </c>
      <c r="E997" s="1">
        <v>45964</v>
      </c>
      <c r="F997" t="s">
        <v>56</v>
      </c>
      <c r="G997" t="s">
        <v>54</v>
      </c>
      <c r="H997" t="s">
        <v>55</v>
      </c>
      <c r="I997" t="s">
        <v>2654</v>
      </c>
      <c r="J997" t="s">
        <v>2655</v>
      </c>
      <c r="K997" t="s">
        <v>52</v>
      </c>
      <c r="L997">
        <v>65</v>
      </c>
      <c r="M997">
        <v>1</v>
      </c>
      <c r="N997">
        <v>15</v>
      </c>
      <c r="O997" t="s">
        <v>1356</v>
      </c>
      <c r="P997" t="s">
        <v>33</v>
      </c>
      <c r="Q997" t="s">
        <v>42</v>
      </c>
      <c r="R997" t="s">
        <v>62</v>
      </c>
      <c r="S997" t="s">
        <v>57</v>
      </c>
      <c r="T997">
        <v>4</v>
      </c>
      <c r="U997">
        <v>982.12</v>
      </c>
      <c r="V997">
        <v>566.82000000000005</v>
      </c>
      <c r="W997">
        <v>4</v>
      </c>
      <c r="X997" t="str">
        <f>TEXT(cleaneddata[[#This Row],[Order Date]],"mmm")</f>
        <v>Oct</v>
      </c>
      <c r="Y997">
        <f>cleaneddata[[#This Row],[Unit Price]]*cleaneddata[[#This Row],[Quantity]]*(1-cleaneddata[[#This Row],[Discount %]]/100)</f>
        <v>834.80200000000002</v>
      </c>
      <c r="Z997">
        <f>cleaneddata[[#This Row],[sales]]-cleaneddata[[#This Row],[Cost]]</f>
        <v>267.98199999999997</v>
      </c>
    </row>
    <row r="998" spans="1:26" x14ac:dyDescent="0.3">
      <c r="A998" t="s">
        <v>2605</v>
      </c>
      <c r="B998" s="1">
        <v>45991</v>
      </c>
      <c r="C998" t="s">
        <v>2444</v>
      </c>
      <c r="D998" t="s">
        <v>2727</v>
      </c>
      <c r="E998" s="1">
        <v>45995</v>
      </c>
      <c r="F998" t="s">
        <v>68</v>
      </c>
      <c r="G998" t="s">
        <v>66</v>
      </c>
      <c r="H998" t="s">
        <v>67</v>
      </c>
      <c r="I998" t="s">
        <v>2625</v>
      </c>
      <c r="J998" t="s">
        <v>2626</v>
      </c>
      <c r="K998" t="s">
        <v>52</v>
      </c>
      <c r="L998">
        <v>22</v>
      </c>
      <c r="M998">
        <v>1</v>
      </c>
      <c r="N998">
        <v>5</v>
      </c>
      <c r="O998" t="s">
        <v>1857</v>
      </c>
      <c r="P998" t="s">
        <v>75</v>
      </c>
      <c r="Q998" t="s">
        <v>42</v>
      </c>
      <c r="R998" t="s">
        <v>71</v>
      </c>
      <c r="S998" t="s">
        <v>101</v>
      </c>
      <c r="T998">
        <v>5</v>
      </c>
      <c r="U998">
        <v>394.92</v>
      </c>
      <c r="V998">
        <v>672.66</v>
      </c>
      <c r="W998">
        <v>3</v>
      </c>
      <c r="X998" t="str">
        <f>TEXT(cleaneddata[[#This Row],[Order Date]],"mmm")</f>
        <v>Nov</v>
      </c>
      <c r="Y998">
        <f>cleaneddata[[#This Row],[Unit Price]]*cleaneddata[[#This Row],[Quantity]]*(1-cleaneddata[[#This Row],[Discount %]]/100)</f>
        <v>375.17399999999998</v>
      </c>
      <c r="Z998">
        <f>cleaneddata[[#This Row],[sales]]-cleaneddata[[#This Row],[Cost]]</f>
        <v>-297.48599999999999</v>
      </c>
    </row>
    <row r="999" spans="1:26" x14ac:dyDescent="0.3">
      <c r="A999" t="s">
        <v>2607</v>
      </c>
      <c r="B999" s="1">
        <v>45846</v>
      </c>
      <c r="C999" t="s">
        <v>2447</v>
      </c>
      <c r="D999" t="s">
        <v>2726</v>
      </c>
      <c r="E999" s="1">
        <v>45850</v>
      </c>
      <c r="F999" t="s">
        <v>100</v>
      </c>
      <c r="G999" t="s">
        <v>98</v>
      </c>
      <c r="H999" t="s">
        <v>99</v>
      </c>
      <c r="I999" t="s">
        <v>2665</v>
      </c>
      <c r="J999" t="s">
        <v>2666</v>
      </c>
      <c r="K999" t="s">
        <v>52</v>
      </c>
      <c r="L999">
        <v>33</v>
      </c>
      <c r="M999">
        <v>3</v>
      </c>
      <c r="N999">
        <v>0</v>
      </c>
      <c r="O999" t="s">
        <v>886</v>
      </c>
      <c r="P999" t="s">
        <v>44</v>
      </c>
      <c r="Q999" t="s">
        <v>42</v>
      </c>
      <c r="R999" t="s">
        <v>43</v>
      </c>
      <c r="S999" t="s">
        <v>141</v>
      </c>
      <c r="T999">
        <v>6</v>
      </c>
      <c r="U999">
        <v>724.07</v>
      </c>
      <c r="V999">
        <v>716.26</v>
      </c>
      <c r="W999">
        <v>3</v>
      </c>
      <c r="X999" t="str">
        <f>TEXT(cleaneddata[[#This Row],[Order Date]],"mmm")</f>
        <v>Jul</v>
      </c>
      <c r="Y999">
        <f>cleaneddata[[#This Row],[Unit Price]]*cleaneddata[[#This Row],[Quantity]]*(1-cleaneddata[[#This Row],[Discount %]]/100)</f>
        <v>2172.21</v>
      </c>
      <c r="Z999">
        <f>cleaneddata[[#This Row],[sales]]-cleaneddata[[#This Row],[Cost]]</f>
        <v>1455.95</v>
      </c>
    </row>
    <row r="1000" spans="1:26" x14ac:dyDescent="0.3">
      <c r="A1000" t="s">
        <v>2608</v>
      </c>
      <c r="B1000" s="1">
        <v>45383</v>
      </c>
      <c r="C1000" t="s">
        <v>2450</v>
      </c>
      <c r="D1000" t="s">
        <v>2867</v>
      </c>
      <c r="E1000" s="1">
        <v>45389</v>
      </c>
      <c r="F1000" t="s">
        <v>29</v>
      </c>
      <c r="G1000" t="s">
        <v>27</v>
      </c>
      <c r="H1000" t="s">
        <v>28</v>
      </c>
      <c r="I1000" t="s">
        <v>2625</v>
      </c>
      <c r="J1000" t="s">
        <v>2703</v>
      </c>
      <c r="K1000" t="s">
        <v>52</v>
      </c>
      <c r="L1000">
        <v>24</v>
      </c>
      <c r="M1000">
        <v>5</v>
      </c>
      <c r="N1000">
        <v>10</v>
      </c>
      <c r="O1000" t="s">
        <v>409</v>
      </c>
      <c r="P1000" t="s">
        <v>44</v>
      </c>
      <c r="Q1000" t="s">
        <v>42</v>
      </c>
      <c r="R1000" t="s">
        <v>62</v>
      </c>
      <c r="S1000" t="s">
        <v>123</v>
      </c>
      <c r="T1000">
        <v>7</v>
      </c>
      <c r="U1000">
        <v>940.18</v>
      </c>
      <c r="V1000">
        <v>2707.63</v>
      </c>
      <c r="W1000">
        <v>6</v>
      </c>
      <c r="X1000" t="str">
        <f>TEXT(cleaneddata[[#This Row],[Order Date]],"mmm")</f>
        <v>Apr</v>
      </c>
      <c r="Y1000">
        <f>cleaneddata[[#This Row],[Unit Price]]*cleaneddata[[#This Row],[Quantity]]*(1-cleaneddata[[#This Row],[Discount %]]/100)</f>
        <v>4230.8099999999995</v>
      </c>
      <c r="Z1000">
        <f>cleaneddata[[#This Row],[sales]]-cleaneddata[[#This Row],[Cost]]</f>
        <v>1523.1799999999994</v>
      </c>
    </row>
    <row r="1001" spans="1:26" x14ac:dyDescent="0.3">
      <c r="A1001" t="s">
        <v>2610</v>
      </c>
      <c r="B1001" s="1">
        <v>45671</v>
      </c>
      <c r="C1001" t="s">
        <v>2453</v>
      </c>
      <c r="D1001" t="s">
        <v>2866</v>
      </c>
      <c r="E1001" s="1">
        <v>45677</v>
      </c>
      <c r="F1001" t="s">
        <v>115</v>
      </c>
      <c r="G1001" t="s">
        <v>66</v>
      </c>
      <c r="H1001" t="s">
        <v>114</v>
      </c>
      <c r="I1001" t="s">
        <v>2661</v>
      </c>
      <c r="J1001" t="s">
        <v>2671</v>
      </c>
      <c r="K1001" t="s">
        <v>25</v>
      </c>
      <c r="L1001">
        <v>20</v>
      </c>
      <c r="M1001">
        <v>4</v>
      </c>
      <c r="N1001">
        <v>25</v>
      </c>
      <c r="O1001" t="s">
        <v>3735</v>
      </c>
      <c r="P1001" t="s">
        <v>44</v>
      </c>
      <c r="Q1001" t="s">
        <v>42</v>
      </c>
      <c r="R1001" t="s">
        <v>62</v>
      </c>
      <c r="S1001" t="s">
        <v>141</v>
      </c>
      <c r="T1001">
        <v>8</v>
      </c>
      <c r="U1001">
        <v>937.03</v>
      </c>
      <c r="V1001">
        <v>1768.64</v>
      </c>
      <c r="W1001">
        <v>4</v>
      </c>
      <c r="X1001" t="str">
        <f>TEXT(cleaneddata[[#This Row],[Order Date]],"mmm")</f>
        <v>Jan</v>
      </c>
      <c r="Y1001">
        <f>cleaneddata[[#This Row],[Unit Price]]*cleaneddata[[#This Row],[Quantity]]*(1-cleaneddata[[#This Row],[Discount %]]/100)</f>
        <v>2811.09</v>
      </c>
      <c r="Z1001">
        <f>cleaneddata[[#This Row],[sales]]-cleaneddata[[#This Row],[Cost]]</f>
        <v>1042.45</v>
      </c>
    </row>
    <row r="1002" spans="1:26" x14ac:dyDescent="0.3">
      <c r="A1002" t="s">
        <v>2613</v>
      </c>
      <c r="B1002" s="1">
        <v>45851</v>
      </c>
      <c r="C1002" t="s">
        <v>2456</v>
      </c>
      <c r="D1002" t="s">
        <v>2865</v>
      </c>
      <c r="E1002" s="1">
        <v>45854</v>
      </c>
      <c r="F1002" t="s">
        <v>100</v>
      </c>
      <c r="G1002" t="s">
        <v>98</v>
      </c>
      <c r="H1002" t="s">
        <v>99</v>
      </c>
      <c r="I1002" t="s">
        <v>2629</v>
      </c>
      <c r="J1002" t="s">
        <v>2697</v>
      </c>
      <c r="K1002" t="s">
        <v>25</v>
      </c>
      <c r="L1002">
        <v>42</v>
      </c>
      <c r="M1002">
        <v>5</v>
      </c>
      <c r="N1002">
        <v>15</v>
      </c>
      <c r="O1002" t="s">
        <v>1339</v>
      </c>
      <c r="P1002" t="s">
        <v>33</v>
      </c>
      <c r="Q1002" t="s">
        <v>42</v>
      </c>
      <c r="R1002" t="s">
        <v>71</v>
      </c>
      <c r="S1002" t="s">
        <v>57</v>
      </c>
      <c r="T1002">
        <v>4</v>
      </c>
      <c r="U1002">
        <v>910.98</v>
      </c>
      <c r="V1002">
        <v>1184.8499999999999</v>
      </c>
      <c r="W1002">
        <v>4</v>
      </c>
      <c r="X1002" t="str">
        <f>TEXT(cleaneddata[[#This Row],[Order Date]],"mmm")</f>
        <v>Jul</v>
      </c>
      <c r="Y1002">
        <f>cleaneddata[[#This Row],[Unit Price]]*cleaneddata[[#This Row],[Quantity]]*(1-cleaneddata[[#This Row],[Discount %]]/100)</f>
        <v>3871.6649999999995</v>
      </c>
      <c r="Z1002">
        <f>cleaneddata[[#This Row],[sales]]-cleaneddata[[#This Row],[Cost]]</f>
        <v>2686.8149999999996</v>
      </c>
    </row>
    <row r="1003" spans="1:26" x14ac:dyDescent="0.3">
      <c r="A1003" t="s">
        <v>3717</v>
      </c>
      <c r="B1003" s="1">
        <v>45689</v>
      </c>
      <c r="C1003" t="s">
        <v>2458</v>
      </c>
      <c r="D1003" t="s">
        <v>2864</v>
      </c>
      <c r="E1003" s="1">
        <v>45696</v>
      </c>
      <c r="F1003" t="s">
        <v>122</v>
      </c>
      <c r="G1003" t="s">
        <v>120</v>
      </c>
      <c r="H1003" t="s">
        <v>121</v>
      </c>
      <c r="I1003" t="s">
        <v>2672</v>
      </c>
      <c r="J1003" t="s">
        <v>2690</v>
      </c>
      <c r="K1003" t="s">
        <v>25</v>
      </c>
      <c r="L1003">
        <v>52</v>
      </c>
      <c r="M1003">
        <v>2</v>
      </c>
      <c r="N1003">
        <v>30</v>
      </c>
      <c r="O1003" t="s">
        <v>1541</v>
      </c>
      <c r="P1003" t="s">
        <v>33</v>
      </c>
      <c r="Q1003" t="s">
        <v>42</v>
      </c>
      <c r="R1003" t="s">
        <v>62</v>
      </c>
      <c r="S1003" t="s">
        <v>123</v>
      </c>
      <c r="T1003">
        <v>5</v>
      </c>
      <c r="U1003">
        <v>252.82</v>
      </c>
      <c r="V1003">
        <v>447.42</v>
      </c>
      <c r="W1003">
        <v>6</v>
      </c>
      <c r="X1003" t="str">
        <f>TEXT(cleaneddata[[#This Row],[Order Date]],"mmm")</f>
        <v>Feb</v>
      </c>
      <c r="Y1003">
        <f>cleaneddata[[#This Row],[Unit Price]]*cleaneddata[[#This Row],[Quantity]]*(1-cleaneddata[[#This Row],[Discount %]]/100)</f>
        <v>353.94799999999998</v>
      </c>
      <c r="Z1003">
        <f>cleaneddata[[#This Row],[sales]]-cleaneddata[[#This Row],[Cost]]</f>
        <v>-93.472000000000037</v>
      </c>
    </row>
    <row r="1004" spans="1:26" x14ac:dyDescent="0.3">
      <c r="A1004" t="s">
        <v>3718</v>
      </c>
      <c r="B1004" s="1">
        <v>45427</v>
      </c>
      <c r="C1004" t="s">
        <v>2460</v>
      </c>
      <c r="D1004" t="s">
        <v>2863</v>
      </c>
      <c r="E1004" s="1">
        <v>45431</v>
      </c>
      <c r="F1004" t="s">
        <v>115</v>
      </c>
      <c r="G1004" t="s">
        <v>66</v>
      </c>
      <c r="H1004" t="s">
        <v>114</v>
      </c>
      <c r="I1004" t="s">
        <v>2623</v>
      </c>
      <c r="J1004" t="s">
        <v>2624</v>
      </c>
      <c r="K1004" t="s">
        <v>52</v>
      </c>
      <c r="L1004">
        <v>20</v>
      </c>
      <c r="M1004">
        <v>3</v>
      </c>
      <c r="N1004">
        <v>5</v>
      </c>
      <c r="O1004" t="s">
        <v>3736</v>
      </c>
      <c r="P1004" t="s">
        <v>75</v>
      </c>
      <c r="Q1004" t="s">
        <v>42</v>
      </c>
      <c r="R1004" t="s">
        <v>62</v>
      </c>
      <c r="S1004" t="s">
        <v>129</v>
      </c>
      <c r="T1004">
        <v>4</v>
      </c>
      <c r="U1004">
        <v>356.26</v>
      </c>
      <c r="V1004">
        <v>308.16000000000003</v>
      </c>
      <c r="W1004">
        <v>6</v>
      </c>
      <c r="X1004" t="str">
        <f>TEXT(cleaneddata[[#This Row],[Order Date]],"mmm")</f>
        <v>May</v>
      </c>
      <c r="Y1004">
        <f>cleaneddata[[#This Row],[Unit Price]]*cleaneddata[[#This Row],[Quantity]]*(1-cleaneddata[[#This Row],[Discount %]]/100)</f>
        <v>1015.3409999999999</v>
      </c>
      <c r="Z1004">
        <f>cleaneddata[[#This Row],[sales]]-cleaneddata[[#This Row],[Cost]]</f>
        <v>707.18099999999981</v>
      </c>
    </row>
    <row r="1005" spans="1:26" x14ac:dyDescent="0.3">
      <c r="A1005" t="s">
        <v>3719</v>
      </c>
      <c r="B1005" s="1">
        <v>45562</v>
      </c>
      <c r="C1005" t="s">
        <v>2462</v>
      </c>
      <c r="D1005" t="s">
        <v>2862</v>
      </c>
      <c r="E1005" s="1">
        <v>45566</v>
      </c>
      <c r="F1005" t="s">
        <v>100</v>
      </c>
      <c r="G1005" t="s">
        <v>98</v>
      </c>
      <c r="H1005" t="s">
        <v>99</v>
      </c>
      <c r="I1005" t="s">
        <v>2679</v>
      </c>
      <c r="J1005" t="s">
        <v>2685</v>
      </c>
      <c r="K1005" t="s">
        <v>25</v>
      </c>
      <c r="L1005">
        <v>32</v>
      </c>
      <c r="M1005">
        <v>3</v>
      </c>
      <c r="N1005">
        <v>0</v>
      </c>
      <c r="O1005" t="s">
        <v>1848</v>
      </c>
      <c r="P1005" t="s">
        <v>75</v>
      </c>
      <c r="Q1005" t="s">
        <v>42</v>
      </c>
      <c r="R1005" t="s">
        <v>71</v>
      </c>
      <c r="S1005" t="s">
        <v>57</v>
      </c>
      <c r="T1005">
        <v>3</v>
      </c>
      <c r="U1005">
        <v>418.12</v>
      </c>
      <c r="V1005">
        <v>685.76</v>
      </c>
      <c r="W1005">
        <v>3</v>
      </c>
      <c r="X1005" t="str">
        <f>TEXT(cleaneddata[[#This Row],[Order Date]],"mmm")</f>
        <v>Sep</v>
      </c>
      <c r="Y1005">
        <f>cleaneddata[[#This Row],[Unit Price]]*cleaneddata[[#This Row],[Quantity]]*(1-cleaneddata[[#This Row],[Discount %]]/100)</f>
        <v>1254.3600000000001</v>
      </c>
      <c r="Z1005">
        <f>cleaneddata[[#This Row],[sales]]-cleaneddata[[#This Row],[Cost]]</f>
        <v>568.60000000000014</v>
      </c>
    </row>
    <row r="1006" spans="1:26" x14ac:dyDescent="0.3">
      <c r="A1006" t="s">
        <v>3720</v>
      </c>
      <c r="B1006" s="1">
        <v>45971</v>
      </c>
      <c r="C1006" t="s">
        <v>2464</v>
      </c>
      <c r="D1006" t="s">
        <v>2861</v>
      </c>
      <c r="E1006" s="1">
        <v>45978</v>
      </c>
      <c r="F1006" t="s">
        <v>29</v>
      </c>
      <c r="G1006" t="s">
        <v>27</v>
      </c>
      <c r="H1006" t="s">
        <v>28</v>
      </c>
      <c r="I1006" t="s">
        <v>2663</v>
      </c>
      <c r="J1006" t="s">
        <v>2694</v>
      </c>
      <c r="K1006" t="s">
        <v>25</v>
      </c>
      <c r="L1006">
        <v>32</v>
      </c>
      <c r="M1006">
        <v>1</v>
      </c>
      <c r="N1006">
        <v>10</v>
      </c>
      <c r="O1006" t="s">
        <v>434</v>
      </c>
      <c r="P1006" t="s">
        <v>33</v>
      </c>
      <c r="Q1006" t="s">
        <v>42</v>
      </c>
      <c r="R1006" t="s">
        <v>62</v>
      </c>
      <c r="S1006" t="s">
        <v>116</v>
      </c>
      <c r="T1006">
        <v>4</v>
      </c>
      <c r="U1006">
        <v>554.15</v>
      </c>
      <c r="V1006">
        <v>813.15</v>
      </c>
      <c r="W1006">
        <v>7</v>
      </c>
      <c r="X1006" t="str">
        <f>TEXT(cleaneddata[[#This Row],[Order Date]],"mmm")</f>
        <v>Nov</v>
      </c>
      <c r="Y1006">
        <f>cleaneddata[[#This Row],[Unit Price]]*cleaneddata[[#This Row],[Quantity]]*(1-cleaneddata[[#This Row],[Discount %]]/100)</f>
        <v>498.73500000000001</v>
      </c>
      <c r="Z1006">
        <f>cleaneddata[[#This Row],[sales]]-cleaneddata[[#This Row],[Cost]]</f>
        <v>-314.41499999999996</v>
      </c>
    </row>
    <row r="1007" spans="1:26" x14ac:dyDescent="0.3">
      <c r="A1007" t="s">
        <v>3721</v>
      </c>
      <c r="B1007" s="1">
        <v>45763</v>
      </c>
      <c r="C1007" t="s">
        <v>2466</v>
      </c>
      <c r="D1007" t="s">
        <v>2860</v>
      </c>
      <c r="E1007" s="1">
        <v>45768</v>
      </c>
      <c r="F1007" t="s">
        <v>68</v>
      </c>
      <c r="G1007" t="s">
        <v>66</v>
      </c>
      <c r="H1007" t="s">
        <v>67</v>
      </c>
      <c r="I1007" t="s">
        <v>2625</v>
      </c>
      <c r="J1007" t="s">
        <v>2703</v>
      </c>
      <c r="K1007" t="s">
        <v>25</v>
      </c>
      <c r="L1007">
        <v>61</v>
      </c>
      <c r="M1007">
        <v>2</v>
      </c>
      <c r="N1007">
        <v>25</v>
      </c>
      <c r="O1007" t="s">
        <v>829</v>
      </c>
      <c r="P1007" t="s">
        <v>33</v>
      </c>
      <c r="Q1007" t="s">
        <v>42</v>
      </c>
      <c r="R1007" t="s">
        <v>32</v>
      </c>
      <c r="S1007" t="s">
        <v>123</v>
      </c>
      <c r="T1007">
        <v>3</v>
      </c>
      <c r="U1007">
        <v>680.97</v>
      </c>
      <c r="V1007">
        <v>1178.71</v>
      </c>
      <c r="W1007">
        <v>4</v>
      </c>
      <c r="X1007" t="str">
        <f>TEXT(cleaneddata[[#This Row],[Order Date]],"mmm")</f>
        <v>Apr</v>
      </c>
      <c r="Y1007">
        <f>cleaneddata[[#This Row],[Unit Price]]*cleaneddata[[#This Row],[Quantity]]*(1-cleaneddata[[#This Row],[Discount %]]/100)</f>
        <v>1021.455</v>
      </c>
      <c r="Z1007">
        <f>cleaneddata[[#This Row],[sales]]-cleaneddata[[#This Row],[Cost]]</f>
        <v>-157.255</v>
      </c>
    </row>
    <row r="1008" spans="1:26" x14ac:dyDescent="0.3">
      <c r="A1008" t="s">
        <v>3722</v>
      </c>
      <c r="B1008" s="1">
        <v>45982</v>
      </c>
      <c r="C1008" t="s">
        <v>2469</v>
      </c>
      <c r="D1008" t="s">
        <v>2859</v>
      </c>
      <c r="E1008" s="1">
        <v>45986</v>
      </c>
      <c r="F1008" t="s">
        <v>40</v>
      </c>
      <c r="G1008" t="s">
        <v>38</v>
      </c>
      <c r="H1008" t="s">
        <v>39</v>
      </c>
      <c r="I1008" t="s">
        <v>2661</v>
      </c>
      <c r="J1008" t="s">
        <v>2700</v>
      </c>
      <c r="K1008" t="s">
        <v>25</v>
      </c>
      <c r="L1008">
        <v>51</v>
      </c>
      <c r="M1008">
        <v>2</v>
      </c>
      <c r="N1008">
        <v>15</v>
      </c>
      <c r="O1008" t="s">
        <v>1572</v>
      </c>
      <c r="P1008" t="s">
        <v>33</v>
      </c>
      <c r="Q1008" t="s">
        <v>42</v>
      </c>
      <c r="R1008" t="s">
        <v>71</v>
      </c>
      <c r="S1008" t="s">
        <v>57</v>
      </c>
      <c r="T1008">
        <v>1</v>
      </c>
      <c r="U1008">
        <v>256.25</v>
      </c>
      <c r="V1008">
        <v>224.44</v>
      </c>
      <c r="W1008">
        <v>4</v>
      </c>
      <c r="X1008" t="str">
        <f>TEXT(cleaneddata[[#This Row],[Order Date]],"mmm")</f>
        <v>Nov</v>
      </c>
      <c r="Y1008">
        <f>cleaneddata[[#This Row],[Unit Price]]*cleaneddata[[#This Row],[Quantity]]*(1-cleaneddata[[#This Row],[Discount %]]/100)</f>
        <v>435.625</v>
      </c>
      <c r="Z1008">
        <f>cleaneddata[[#This Row],[sales]]-cleaneddata[[#This Row],[Cost]]</f>
        <v>211.185</v>
      </c>
    </row>
    <row r="1009" spans="1:26" x14ac:dyDescent="0.3">
      <c r="A1009" t="s">
        <v>3723</v>
      </c>
      <c r="B1009" s="1">
        <v>45552</v>
      </c>
      <c r="C1009" t="s">
        <v>2471</v>
      </c>
      <c r="D1009" t="s">
        <v>2858</v>
      </c>
      <c r="E1009" s="1">
        <v>45558</v>
      </c>
      <c r="F1009" t="s">
        <v>115</v>
      </c>
      <c r="G1009" t="s">
        <v>66</v>
      </c>
      <c r="H1009" t="s">
        <v>114</v>
      </c>
      <c r="I1009" t="s">
        <v>2654</v>
      </c>
      <c r="J1009" t="s">
        <v>2655</v>
      </c>
      <c r="K1009" t="s">
        <v>25</v>
      </c>
      <c r="L1009">
        <v>40</v>
      </c>
      <c r="M1009">
        <v>1</v>
      </c>
      <c r="N1009">
        <v>30</v>
      </c>
      <c r="O1009" t="s">
        <v>204</v>
      </c>
      <c r="P1009" t="s">
        <v>44</v>
      </c>
      <c r="Q1009" t="s">
        <v>42</v>
      </c>
      <c r="R1009" t="s">
        <v>43</v>
      </c>
      <c r="S1009" t="s">
        <v>30</v>
      </c>
      <c r="T1009">
        <v>4</v>
      </c>
      <c r="U1009">
        <v>340.44</v>
      </c>
      <c r="V1009">
        <v>186.83</v>
      </c>
      <c r="W1009">
        <v>7</v>
      </c>
      <c r="X1009" t="str">
        <f>TEXT(cleaneddata[[#This Row],[Order Date]],"mmm")</f>
        <v>Sep</v>
      </c>
      <c r="Y1009">
        <f>cleaneddata[[#This Row],[Unit Price]]*cleaneddata[[#This Row],[Quantity]]*(1-cleaneddata[[#This Row],[Discount %]]/100)</f>
        <v>238.30799999999999</v>
      </c>
      <c r="Z1009">
        <f>cleaneddata[[#This Row],[sales]]-cleaneddata[[#This Row],[Cost]]</f>
        <v>51.47799999999998</v>
      </c>
    </row>
    <row r="1010" spans="1:26" x14ac:dyDescent="0.3">
      <c r="A1010" t="s">
        <v>3724</v>
      </c>
      <c r="B1010" s="1">
        <v>45923</v>
      </c>
      <c r="C1010" t="s">
        <v>2474</v>
      </c>
      <c r="D1010" t="s">
        <v>2857</v>
      </c>
      <c r="E1010" s="1">
        <v>45924</v>
      </c>
      <c r="F1010" t="s">
        <v>115</v>
      </c>
      <c r="G1010" t="s">
        <v>66</v>
      </c>
      <c r="H1010" t="s">
        <v>114</v>
      </c>
      <c r="I1010" t="s">
        <v>2641</v>
      </c>
      <c r="J1010" t="s">
        <v>2642</v>
      </c>
      <c r="K1010" t="s">
        <v>25</v>
      </c>
      <c r="L1010">
        <v>55</v>
      </c>
      <c r="M1010">
        <v>5</v>
      </c>
      <c r="N1010">
        <v>5</v>
      </c>
      <c r="O1010" t="s">
        <v>183</v>
      </c>
      <c r="P1010" t="s">
        <v>44</v>
      </c>
      <c r="Q1010" t="s">
        <v>42</v>
      </c>
      <c r="R1010" t="s">
        <v>62</v>
      </c>
      <c r="S1010" t="s">
        <v>30</v>
      </c>
      <c r="T1010">
        <v>2</v>
      </c>
      <c r="U1010">
        <v>674.64</v>
      </c>
      <c r="V1010">
        <v>1988.82</v>
      </c>
      <c r="W1010">
        <v>5</v>
      </c>
      <c r="X1010" t="str">
        <f>TEXT(cleaneddata[[#This Row],[Order Date]],"mmm")</f>
        <v>Sep</v>
      </c>
      <c r="Y1010">
        <f>cleaneddata[[#This Row],[Unit Price]]*cleaneddata[[#This Row],[Quantity]]*(1-cleaneddata[[#This Row],[Discount %]]/100)</f>
        <v>3204.5399999999995</v>
      </c>
      <c r="Z1010">
        <f>cleaneddata[[#This Row],[sales]]-cleaneddata[[#This Row],[Cost]]</f>
        <v>1215.7199999999996</v>
      </c>
    </row>
    <row r="1011" spans="1:26" x14ac:dyDescent="0.3">
      <c r="A1011" t="s">
        <v>3725</v>
      </c>
      <c r="B1011" s="1">
        <v>45296</v>
      </c>
      <c r="C1011" t="s">
        <v>2477</v>
      </c>
      <c r="D1011" t="s">
        <v>2856</v>
      </c>
      <c r="E1011" s="1">
        <v>45300</v>
      </c>
      <c r="F1011" t="s">
        <v>122</v>
      </c>
      <c r="G1011" t="s">
        <v>120</v>
      </c>
      <c r="H1011" t="s">
        <v>121</v>
      </c>
      <c r="I1011" t="s">
        <v>2625</v>
      </c>
      <c r="J1011" t="s">
        <v>2667</v>
      </c>
      <c r="K1011" t="s">
        <v>52</v>
      </c>
      <c r="L1011">
        <v>38</v>
      </c>
      <c r="M1011">
        <v>1</v>
      </c>
      <c r="N1011">
        <v>0</v>
      </c>
      <c r="O1011" t="s">
        <v>255</v>
      </c>
      <c r="P1011" t="s">
        <v>75</v>
      </c>
      <c r="Q1011" t="s">
        <v>42</v>
      </c>
      <c r="R1011" t="s">
        <v>62</v>
      </c>
      <c r="S1011" t="s">
        <v>30</v>
      </c>
      <c r="T1011">
        <v>3</v>
      </c>
      <c r="U1011">
        <v>637.44000000000005</v>
      </c>
      <c r="V1011">
        <v>1555.32</v>
      </c>
      <c r="W1011">
        <v>4</v>
      </c>
      <c r="X1011" t="str">
        <f>TEXT(cleaneddata[[#This Row],[Order Date]],"mmm")</f>
        <v>Jan</v>
      </c>
      <c r="Y1011">
        <f>cleaneddata[[#This Row],[Unit Price]]*cleaneddata[[#This Row],[Quantity]]*(1-cleaneddata[[#This Row],[Discount %]]/100)</f>
        <v>637.44000000000005</v>
      </c>
      <c r="Z1011">
        <f>cleaneddata[[#This Row],[sales]]-cleaneddata[[#This Row],[Cost]]</f>
        <v>-917.87999999999988</v>
      </c>
    </row>
    <row r="1012" spans="1:26" x14ac:dyDescent="0.3">
      <c r="A1012" t="s">
        <v>3726</v>
      </c>
      <c r="B1012" s="1">
        <v>45933</v>
      </c>
      <c r="C1012" t="s">
        <v>2479</v>
      </c>
      <c r="D1012" t="s">
        <v>2855</v>
      </c>
      <c r="E1012" s="1">
        <v>45939</v>
      </c>
      <c r="F1012" t="s">
        <v>140</v>
      </c>
      <c r="G1012" t="s">
        <v>38</v>
      </c>
      <c r="H1012" t="s">
        <v>139</v>
      </c>
      <c r="I1012" t="s">
        <v>2631</v>
      </c>
      <c r="J1012" t="s">
        <v>2694</v>
      </c>
      <c r="K1012" t="s">
        <v>52</v>
      </c>
      <c r="L1012">
        <v>38</v>
      </c>
      <c r="M1012">
        <v>4</v>
      </c>
      <c r="N1012">
        <v>10</v>
      </c>
      <c r="O1012" t="s">
        <v>2237</v>
      </c>
      <c r="P1012" t="s">
        <v>33</v>
      </c>
      <c r="Q1012" t="s">
        <v>42</v>
      </c>
      <c r="R1012" t="s">
        <v>71</v>
      </c>
      <c r="S1012" t="s">
        <v>123</v>
      </c>
      <c r="T1012">
        <v>1</v>
      </c>
      <c r="U1012">
        <v>800.88</v>
      </c>
      <c r="V1012">
        <v>1889.51</v>
      </c>
      <c r="W1012">
        <v>6</v>
      </c>
      <c r="X1012" t="str">
        <f>TEXT(cleaneddata[[#This Row],[Order Date]],"mmm")</f>
        <v>Oct</v>
      </c>
      <c r="Y1012">
        <f>cleaneddata[[#This Row],[Unit Price]]*cleaneddata[[#This Row],[Quantity]]*(1-cleaneddata[[#This Row],[Discount %]]/100)</f>
        <v>2883.1680000000001</v>
      </c>
      <c r="Z1012">
        <f>cleaneddata[[#This Row],[sales]]-cleaneddata[[#This Row],[Cost]]</f>
        <v>993.65800000000013</v>
      </c>
    </row>
    <row r="1013" spans="1:26" x14ac:dyDescent="0.3">
      <c r="A1013" t="s">
        <v>3727</v>
      </c>
      <c r="B1013" s="1">
        <v>45856</v>
      </c>
      <c r="C1013" t="s">
        <v>2493</v>
      </c>
      <c r="D1013" t="s">
        <v>2849</v>
      </c>
      <c r="E1013" s="1">
        <v>45863</v>
      </c>
      <c r="F1013" t="s">
        <v>40</v>
      </c>
      <c r="G1013" t="s">
        <v>38</v>
      </c>
      <c r="H1013" t="s">
        <v>39</v>
      </c>
      <c r="I1013" t="s">
        <v>2629</v>
      </c>
      <c r="J1013" t="s">
        <v>2697</v>
      </c>
      <c r="K1013" t="s">
        <v>52</v>
      </c>
      <c r="L1013">
        <v>57</v>
      </c>
      <c r="M1013">
        <v>5</v>
      </c>
      <c r="N1013">
        <v>25</v>
      </c>
      <c r="O1013" t="s">
        <v>3737</v>
      </c>
      <c r="P1013" t="s">
        <v>44</v>
      </c>
      <c r="Q1013" t="s">
        <v>42</v>
      </c>
      <c r="R1013" t="s">
        <v>62</v>
      </c>
      <c r="S1013" t="s">
        <v>69</v>
      </c>
      <c r="T1013">
        <v>1</v>
      </c>
      <c r="U1013">
        <v>217.31</v>
      </c>
      <c r="V1013">
        <v>373.2</v>
      </c>
      <c r="W1013">
        <v>1</v>
      </c>
      <c r="X1013" t="str">
        <f>TEXT(cleaneddata[[#This Row],[Order Date]],"mmm")</f>
        <v>Jul</v>
      </c>
      <c r="Y1013">
        <f>cleaneddata[[#This Row],[Unit Price]]*cleaneddata[[#This Row],[Quantity]]*(1-cleaneddata[[#This Row],[Discount %]]/100)</f>
        <v>814.91249999999991</v>
      </c>
      <c r="Z1013">
        <f>cleaneddata[[#This Row],[sales]]-cleaneddata[[#This Row],[Cost]]</f>
        <v>441.71249999999992</v>
      </c>
    </row>
    <row r="1014" spans="1:26" x14ac:dyDescent="0.3">
      <c r="A1014" t="s">
        <v>3728</v>
      </c>
      <c r="B1014" s="1">
        <v>45916</v>
      </c>
      <c r="C1014" t="s">
        <v>2496</v>
      </c>
      <c r="D1014" t="s">
        <v>2848</v>
      </c>
      <c r="E1014" s="1">
        <v>45917</v>
      </c>
      <c r="F1014" t="s">
        <v>56</v>
      </c>
      <c r="G1014" t="s">
        <v>54</v>
      </c>
      <c r="H1014" t="s">
        <v>55</v>
      </c>
      <c r="I1014" t="s">
        <v>2661</v>
      </c>
      <c r="J1014" t="s">
        <v>2671</v>
      </c>
      <c r="K1014" t="s">
        <v>25</v>
      </c>
      <c r="L1014">
        <v>51</v>
      </c>
      <c r="M1014">
        <v>1</v>
      </c>
      <c r="N1014">
        <v>15</v>
      </c>
      <c r="O1014" t="s">
        <v>3738</v>
      </c>
      <c r="P1014" t="s">
        <v>75</v>
      </c>
      <c r="Q1014" t="s">
        <v>42</v>
      </c>
      <c r="R1014" t="s">
        <v>62</v>
      </c>
      <c r="S1014" t="s">
        <v>101</v>
      </c>
      <c r="T1014">
        <v>3</v>
      </c>
      <c r="U1014">
        <v>242.03</v>
      </c>
      <c r="V1014">
        <v>213.33</v>
      </c>
      <c r="W1014">
        <v>4</v>
      </c>
      <c r="X1014" t="str">
        <f>TEXT(cleaneddata[[#This Row],[Order Date]],"mmm")</f>
        <v>Sep</v>
      </c>
      <c r="Y1014">
        <f>cleaneddata[[#This Row],[Unit Price]]*cleaneddata[[#This Row],[Quantity]]*(1-cleaneddata[[#This Row],[Discount %]]/100)</f>
        <v>205.72549999999998</v>
      </c>
      <c r="Z1014">
        <f>cleaneddata[[#This Row],[sales]]-cleaneddata[[#This Row],[Cost]]</f>
        <v>-7.60450000000003</v>
      </c>
    </row>
    <row r="1015" spans="1:26" x14ac:dyDescent="0.3">
      <c r="A1015" t="s">
        <v>3729</v>
      </c>
      <c r="B1015" s="1">
        <v>45794</v>
      </c>
      <c r="C1015" t="s">
        <v>2499</v>
      </c>
      <c r="D1015" t="s">
        <v>2847</v>
      </c>
      <c r="E1015" s="1">
        <v>45801</v>
      </c>
      <c r="F1015" t="s">
        <v>122</v>
      </c>
      <c r="G1015" t="s">
        <v>120</v>
      </c>
      <c r="H1015" t="s">
        <v>121</v>
      </c>
      <c r="I1015" t="s">
        <v>2637</v>
      </c>
      <c r="J1015" t="s">
        <v>99</v>
      </c>
      <c r="K1015" t="s">
        <v>25</v>
      </c>
      <c r="L1015">
        <v>34</v>
      </c>
      <c r="M1015">
        <v>3</v>
      </c>
      <c r="N1015">
        <v>30</v>
      </c>
      <c r="O1015" t="s">
        <v>3739</v>
      </c>
      <c r="P1015" t="s">
        <v>44</v>
      </c>
      <c r="Q1015" t="s">
        <v>42</v>
      </c>
      <c r="R1015" t="s">
        <v>71</v>
      </c>
      <c r="S1015" t="s">
        <v>57</v>
      </c>
      <c r="T1015">
        <v>3</v>
      </c>
      <c r="U1015">
        <v>335.53</v>
      </c>
      <c r="V1015">
        <v>1155.73</v>
      </c>
      <c r="W1015">
        <v>6</v>
      </c>
      <c r="X1015" t="str">
        <f>TEXT(cleaneddata[[#This Row],[Order Date]],"mmm")</f>
        <v>May</v>
      </c>
      <c r="Y1015">
        <f>cleaneddata[[#This Row],[Unit Price]]*cleaneddata[[#This Row],[Quantity]]*(1-cleaneddata[[#This Row],[Discount %]]/100)</f>
        <v>704.61299999999994</v>
      </c>
      <c r="Z1015">
        <f>cleaneddata[[#This Row],[sales]]-cleaneddata[[#This Row],[Cost]]</f>
        <v>-451.11700000000008</v>
      </c>
    </row>
    <row r="1016" spans="1:26" x14ac:dyDescent="0.3">
      <c r="A1016" t="s">
        <v>3730</v>
      </c>
      <c r="B1016" s="1">
        <v>45889</v>
      </c>
      <c r="C1016" t="s">
        <v>2501</v>
      </c>
      <c r="D1016" t="s">
        <v>2846</v>
      </c>
      <c r="E1016" s="1">
        <v>45896</v>
      </c>
      <c r="F1016" t="s">
        <v>100</v>
      </c>
      <c r="G1016" t="s">
        <v>98</v>
      </c>
      <c r="H1016" t="s">
        <v>99</v>
      </c>
      <c r="I1016" t="s">
        <v>2668</v>
      </c>
      <c r="J1016" t="s">
        <v>2669</v>
      </c>
      <c r="K1016" t="s">
        <v>25</v>
      </c>
      <c r="L1016">
        <v>49</v>
      </c>
      <c r="M1016">
        <v>5</v>
      </c>
      <c r="N1016">
        <v>32.5</v>
      </c>
      <c r="O1016" t="s">
        <v>1029</v>
      </c>
      <c r="P1016" t="s">
        <v>75</v>
      </c>
      <c r="Q1016" t="s">
        <v>42</v>
      </c>
      <c r="R1016" t="s">
        <v>62</v>
      </c>
      <c r="S1016" t="s">
        <v>30</v>
      </c>
      <c r="T1016">
        <v>3</v>
      </c>
      <c r="U1016">
        <v>713.22</v>
      </c>
      <c r="V1016">
        <v>1970.88</v>
      </c>
      <c r="W1016">
        <v>7</v>
      </c>
      <c r="X1016" t="str">
        <f>TEXT(cleaneddata[[#This Row],[Order Date]],"mmm")</f>
        <v>Aug</v>
      </c>
      <c r="Y1016">
        <f>cleaneddata[[#This Row],[Unit Price]]*cleaneddata[[#This Row],[Quantity]]*(1-cleaneddata[[#This Row],[Discount %]]/100)</f>
        <v>2407.1175000000003</v>
      </c>
      <c r="Z1016">
        <f>cleaneddata[[#This Row],[sales]]-cleaneddata[[#This Row],[Cost]]</f>
        <v>436.23750000000018</v>
      </c>
    </row>
    <row r="1017" spans="1:26" x14ac:dyDescent="0.3">
      <c r="A1017" t="s">
        <v>3731</v>
      </c>
      <c r="B1017" s="1">
        <v>45595</v>
      </c>
      <c r="C1017" t="s">
        <v>2504</v>
      </c>
      <c r="D1017" t="s">
        <v>2845</v>
      </c>
      <c r="E1017" s="1">
        <v>45597</v>
      </c>
      <c r="F1017" t="s">
        <v>115</v>
      </c>
      <c r="G1017" t="s">
        <v>66</v>
      </c>
      <c r="H1017" t="s">
        <v>114</v>
      </c>
      <c r="I1017" t="s">
        <v>2665</v>
      </c>
      <c r="J1017" t="s">
        <v>2666</v>
      </c>
      <c r="K1017" t="s">
        <v>25</v>
      </c>
      <c r="L1017">
        <v>38</v>
      </c>
      <c r="M1017">
        <v>4</v>
      </c>
      <c r="N1017">
        <v>37.5</v>
      </c>
      <c r="O1017" t="s">
        <v>264</v>
      </c>
      <c r="P1017" t="s">
        <v>33</v>
      </c>
      <c r="Q1017" t="s">
        <v>42</v>
      </c>
      <c r="R1017" t="s">
        <v>32</v>
      </c>
      <c r="S1017" t="s">
        <v>30</v>
      </c>
      <c r="T1017">
        <v>3</v>
      </c>
      <c r="U1017">
        <v>146.41999999999999</v>
      </c>
      <c r="V1017">
        <v>357.52</v>
      </c>
      <c r="W1017">
        <v>6</v>
      </c>
      <c r="X1017" t="str">
        <f>TEXT(cleaneddata[[#This Row],[Order Date]],"mmm")</f>
        <v>Oct</v>
      </c>
      <c r="Y1017">
        <f>cleaneddata[[#This Row],[Unit Price]]*cleaneddata[[#This Row],[Quantity]]*(1-cleaneddata[[#This Row],[Discount %]]/100)</f>
        <v>366.04999999999995</v>
      </c>
      <c r="Z1017">
        <f>cleaneddata[[#This Row],[sales]]-cleaneddata[[#This Row],[Cost]]</f>
        <v>8.5299999999999727</v>
      </c>
    </row>
    <row r="1018" spans="1:26" x14ac:dyDescent="0.3">
      <c r="A1018" t="s">
        <v>3732</v>
      </c>
      <c r="B1018" s="1">
        <v>45871</v>
      </c>
      <c r="C1018" t="s">
        <v>2506</v>
      </c>
      <c r="D1018" t="s">
        <v>2844</v>
      </c>
      <c r="E1018" s="1">
        <v>45873</v>
      </c>
      <c r="F1018" t="s">
        <v>29</v>
      </c>
      <c r="G1018" t="s">
        <v>27</v>
      </c>
      <c r="H1018" t="s">
        <v>28</v>
      </c>
      <c r="I1018" t="s">
        <v>2623</v>
      </c>
      <c r="J1018" t="s">
        <v>2624</v>
      </c>
      <c r="K1018" t="s">
        <v>25</v>
      </c>
      <c r="L1018">
        <v>43</v>
      </c>
      <c r="M1018">
        <v>4.2</v>
      </c>
      <c r="N1018">
        <v>42.5</v>
      </c>
      <c r="O1018" t="s">
        <v>2592</v>
      </c>
      <c r="P1018" t="s">
        <v>75</v>
      </c>
      <c r="Q1018" t="s">
        <v>42</v>
      </c>
      <c r="R1018" t="s">
        <v>71</v>
      </c>
      <c r="S1018" t="s">
        <v>30</v>
      </c>
      <c r="T1018">
        <v>1</v>
      </c>
      <c r="U1018">
        <v>215.84</v>
      </c>
      <c r="V1018">
        <v>513.41</v>
      </c>
      <c r="W1018">
        <v>2</v>
      </c>
      <c r="X1018" t="str">
        <f>TEXT(cleaneddata[[#This Row],[Order Date]],"mmm")</f>
        <v>Aug</v>
      </c>
      <c r="Y1018">
        <f>cleaneddata[[#This Row],[Unit Price]]*cleaneddata[[#This Row],[Quantity]]*(1-cleaneddata[[#This Row],[Discount %]]/100)</f>
        <v>521.25360000000001</v>
      </c>
      <c r="Z1018">
        <f>cleaneddata[[#This Row],[sales]]-cleaneddata[[#This Row],[Cost]]</f>
        <v>7.8436000000000377</v>
      </c>
    </row>
    <row r="1019" spans="1:26" x14ac:dyDescent="0.3">
      <c r="A1019" t="s">
        <v>3733</v>
      </c>
      <c r="B1019" s="1">
        <v>45764</v>
      </c>
      <c r="C1019" t="s">
        <v>2509</v>
      </c>
      <c r="D1019" t="s">
        <v>2843</v>
      </c>
      <c r="E1019" s="1">
        <v>45770</v>
      </c>
      <c r="F1019" t="s">
        <v>29</v>
      </c>
      <c r="G1019" t="s">
        <v>27</v>
      </c>
      <c r="H1019" t="s">
        <v>28</v>
      </c>
      <c r="I1019" t="s">
        <v>2631</v>
      </c>
      <c r="J1019" t="s">
        <v>2711</v>
      </c>
      <c r="K1019" t="s">
        <v>52</v>
      </c>
      <c r="L1019">
        <v>37</v>
      </c>
      <c r="M1019">
        <v>4.4000000000000004</v>
      </c>
      <c r="N1019">
        <v>47.5</v>
      </c>
      <c r="O1019" t="s">
        <v>862</v>
      </c>
      <c r="P1019" t="s">
        <v>44</v>
      </c>
      <c r="Q1019" t="s">
        <v>42</v>
      </c>
      <c r="R1019" t="s">
        <v>71</v>
      </c>
      <c r="S1019" t="s">
        <v>123</v>
      </c>
      <c r="T1019">
        <v>1</v>
      </c>
      <c r="U1019">
        <v>516.5</v>
      </c>
      <c r="V1019">
        <v>1313.65</v>
      </c>
      <c r="W1019">
        <v>4</v>
      </c>
      <c r="X1019" t="str">
        <f>TEXT(cleaneddata[[#This Row],[Order Date]],"mmm")</f>
        <v>Apr</v>
      </c>
      <c r="Y1019">
        <f>cleaneddata[[#This Row],[Unit Price]]*cleaneddata[[#This Row],[Quantity]]*(1-cleaneddata[[#This Row],[Discount %]]/100)</f>
        <v>1193.1150000000002</v>
      </c>
      <c r="Z1019">
        <f>cleaneddata[[#This Row],[sales]]-cleaneddata[[#This Row],[Cost]]</f>
        <v>-120.53499999999985</v>
      </c>
    </row>
    <row r="1020" spans="1:26" x14ac:dyDescent="0.3">
      <c r="A1020" t="s">
        <v>3734</v>
      </c>
      <c r="B1020" s="1">
        <v>45865</v>
      </c>
      <c r="C1020" t="s">
        <v>2511</v>
      </c>
      <c r="D1020" t="s">
        <v>2842</v>
      </c>
      <c r="E1020" s="1">
        <v>45871</v>
      </c>
      <c r="F1020" t="s">
        <v>100</v>
      </c>
      <c r="G1020" t="s">
        <v>98</v>
      </c>
      <c r="H1020" t="s">
        <v>99</v>
      </c>
      <c r="I1020" t="s">
        <v>2665</v>
      </c>
      <c r="J1020" t="s">
        <v>2719</v>
      </c>
      <c r="K1020" t="s">
        <v>25</v>
      </c>
      <c r="L1020">
        <v>37</v>
      </c>
      <c r="M1020">
        <v>4.5999999999999996</v>
      </c>
      <c r="N1020">
        <v>52.5</v>
      </c>
      <c r="O1020" t="s">
        <v>2351</v>
      </c>
      <c r="P1020" t="s">
        <v>75</v>
      </c>
      <c r="Q1020" t="s">
        <v>42</v>
      </c>
      <c r="R1020" t="s">
        <v>43</v>
      </c>
      <c r="S1020" t="s">
        <v>69</v>
      </c>
      <c r="T1020">
        <v>2</v>
      </c>
      <c r="U1020">
        <v>790.89</v>
      </c>
      <c r="V1020">
        <v>1990.33</v>
      </c>
      <c r="W1020">
        <v>4</v>
      </c>
      <c r="X1020" t="str">
        <f>TEXT(cleaneddata[[#This Row],[Order Date]],"mmm")</f>
        <v>Jul</v>
      </c>
      <c r="Y1020">
        <f>cleaneddata[[#This Row],[Unit Price]]*cleaneddata[[#This Row],[Quantity]]*(1-cleaneddata[[#This Row],[Discount %]]/100)</f>
        <v>1728.0946499999998</v>
      </c>
      <c r="Z1020">
        <f>cleaneddata[[#This Row],[sales]]-cleaneddata[[#This Row],[Cost]]</f>
        <v>-262.23535000000015</v>
      </c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Nischitha Potharaju</cp:lastModifiedBy>
  <dcterms:created xsi:type="dcterms:W3CDTF">2026-07-25T07:10:08Z</dcterms:created>
  <dcterms:modified xsi:type="dcterms:W3CDTF">2026-09-26T09:07:00Z</dcterms:modified>
</cp:coreProperties>
</file>